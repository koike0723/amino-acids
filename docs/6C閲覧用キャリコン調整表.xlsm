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1.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12.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管理者\OneDrive\ドキュメント\Desktop\"/>
    </mc:Choice>
  </mc:AlternateContent>
  <xr:revisionPtr revIDLastSave="0" documentId="13_ncr:1_{BE261162-9B26-440B-8C16-14FDA47204C4}" xr6:coauthVersionLast="47" xr6:coauthVersionMax="47" xr10:uidLastSave="{00000000-0000-0000-0000-000000000000}"/>
  <bookViews>
    <workbookView xWindow="11424" yWindow="0" windowWidth="11712" windowHeight="12336" tabRatio="716" firstSheet="6" activeTab="9" xr2:uid="{00000000-000D-0000-FFFF-FFFF00000000}"/>
  </bookViews>
  <sheets>
    <sheet name="管理表" sheetId="1" r:id="rId1"/>
    <sheet name="top" sheetId="26" r:id="rId2"/>
    <sheet name="list" sheetId="27" r:id="rId3"/>
    <sheet name="student" sheetId="42" r:id="rId4"/>
    <sheet name="Sheet1" sheetId="22" state="hidden" r:id="rId5"/>
    <sheet name="config" sheetId="43" r:id="rId6"/>
    <sheet name="日程表→" sheetId="40" r:id="rId7"/>
    <sheet name="6B日程 " sheetId="132" r:id="rId8"/>
    <sheet name="6D日程" sheetId="123" r:id="rId9"/>
    <sheet name="6E日程" sheetId="82" r:id="rId10"/>
    <sheet name="←日程表" sheetId="41" r:id="rId11"/>
    <sheet name="日別表→" sheetId="24" r:id="rId12"/>
    <sheet name="6B" sheetId="112" r:id="rId13"/>
    <sheet name="6D" sheetId="118" r:id="rId14"/>
    <sheet name="6E" sheetId="115" r:id="rId15"/>
    <sheet name="6F" sheetId="103" r:id="rId16"/>
    <sheet name="6F+" sheetId="130" r:id="rId17"/>
    <sheet name="6H" sheetId="114" r:id="rId18"/>
    <sheet name="7A" sheetId="125" r:id="rId19"/>
    <sheet name="7B" sheetId="116" r:id="rId20"/>
    <sheet name="7C" sheetId="113" r:id="rId21"/>
    <sheet name="7D" sheetId="126" r:id="rId22"/>
    <sheet name="←日別表" sheetId="25" r:id="rId23"/>
    <sheet name="リスト表" sheetId="5" r:id="rId24"/>
    <sheet name="日程 (コピーして利用) (6回版原紙)" sheetId="106" state="hidden"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s>
  <definedNames>
    <definedName name="_xlnm._FilterDatabase" localSheetId="2" hidden="1">list!$A$1:$D$25</definedName>
    <definedName name="_key" hidden="1">#REF!</definedName>
    <definedName name="_Key1" localSheetId="16" hidden="1">#REF!</definedName>
    <definedName name="_Key1" localSheetId="18" hidden="1">#REF!</definedName>
    <definedName name="_Key1" localSheetId="21" hidden="1">#REF!</definedName>
    <definedName name="_Key1" hidden="1">#REF!</definedName>
    <definedName name="_Key2" localSheetId="16" hidden="1">#REF!</definedName>
    <definedName name="_Key2" localSheetId="18" hidden="1">#REF!</definedName>
    <definedName name="_Key2" localSheetId="21" hidden="1">#REF!</definedName>
    <definedName name="_Key2" hidden="1">#REF!</definedName>
    <definedName name="_key4" localSheetId="16" hidden="1">#REF!</definedName>
    <definedName name="_key4" localSheetId="18" hidden="1">#REF!</definedName>
    <definedName name="_key4" localSheetId="21" hidden="1">#REF!</definedName>
    <definedName name="_key4" hidden="1">#REF!</definedName>
    <definedName name="_Order1">255</definedName>
    <definedName name="_Order2">255</definedName>
    <definedName name="_sor" localSheetId="16" hidden="1">#REF!</definedName>
    <definedName name="_sor" localSheetId="18" hidden="1">#REF!</definedName>
    <definedName name="_sor" localSheetId="21" hidden="1">#REF!</definedName>
    <definedName name="_Sor" hidden="1">#REF!</definedName>
    <definedName name="_Sort" localSheetId="16" hidden="1">#REF!</definedName>
    <definedName name="_Sort" localSheetId="18" hidden="1">#REF!</definedName>
    <definedName name="_Sort" localSheetId="21" hidden="1">#REF!</definedName>
    <definedName name="_Sort" hidden="1">#REF!</definedName>
    <definedName name="a" localSheetId="16" hidden="1">#REF!</definedName>
    <definedName name="a" localSheetId="18" hidden="1">#REF!</definedName>
    <definedName name="a" localSheetId="21" hidden="1">#REF!</definedName>
    <definedName name="a" hidden="1">#REF!</definedName>
    <definedName name="aa" localSheetId="16" hidden="1">#REF!</definedName>
    <definedName name="aa" localSheetId="18" hidden="1">#REF!</definedName>
    <definedName name="aa" localSheetId="21" hidden="1">#REF!</definedName>
    <definedName name="aa" hidden="1">#REF!</definedName>
    <definedName name="aaa" localSheetId="16" hidden="1">#REF!</definedName>
    <definedName name="aaa" localSheetId="18" hidden="1">#REF!</definedName>
    <definedName name="aaa" localSheetId="21" hidden="1">#REF!</definedName>
    <definedName name="aaa" hidden="1">#REF!</definedName>
    <definedName name="aaaa" localSheetId="16" hidden="1">#REF!</definedName>
    <definedName name="aaaa" localSheetId="18" hidden="1">#REF!</definedName>
    <definedName name="aaaa" localSheetId="21" hidden="1">#REF!</definedName>
    <definedName name="aaaa" hidden="1">#REF!</definedName>
    <definedName name="aaaaa" localSheetId="16" hidden="1">#REF!</definedName>
    <definedName name="aaaaa" localSheetId="18" hidden="1">#REF!</definedName>
    <definedName name="aaaaa" localSheetId="21" hidden="1">#REF!</definedName>
    <definedName name="aaaaa" hidden="1">#REF!</definedName>
    <definedName name="aaaaaa" localSheetId="16" hidden="1">#REF!</definedName>
    <definedName name="aaaaaa" localSheetId="18" hidden="1">#REF!</definedName>
    <definedName name="aaaaaa" localSheetId="21" hidden="1">#REF!</definedName>
    <definedName name="aaaaaa" hidden="1">#REF!</definedName>
    <definedName name="abc" localSheetId="16" hidden="1">#REF!</definedName>
    <definedName name="abc" localSheetId="18" hidden="1">#REF!</definedName>
    <definedName name="abc" localSheetId="21" hidden="1">#REF!</definedName>
    <definedName name="abc" hidden="1">#REF!</definedName>
    <definedName name="ass" localSheetId="16" hidden="1">#REF!</definedName>
    <definedName name="ass" localSheetId="18" hidden="1">#REF!</definedName>
    <definedName name="ass" localSheetId="21" hidden="1">#REF!</definedName>
    <definedName name="ass" hidden="1">#REF!</definedName>
    <definedName name="b" localSheetId="16" hidden="1">#REF!</definedName>
    <definedName name="b" localSheetId="18" hidden="1">#REF!</definedName>
    <definedName name="b" localSheetId="21" hidden="1">#REF!</definedName>
    <definedName name="b" hidden="1">#REF!</definedName>
    <definedName name="bb" localSheetId="16" hidden="1">#REF!</definedName>
    <definedName name="bb" localSheetId="18" hidden="1">#REF!</definedName>
    <definedName name="bb" localSheetId="21" hidden="1">#REF!</definedName>
    <definedName name="bb" hidden="1">#REF!</definedName>
    <definedName name="bbb" localSheetId="16" hidden="1">#REF!</definedName>
    <definedName name="bbb" localSheetId="18" hidden="1">#REF!</definedName>
    <definedName name="bbb" localSheetId="21" hidden="1">#REF!</definedName>
    <definedName name="bbb" hidden="1">#REF!</definedName>
    <definedName name="bhgh" localSheetId="16" hidden="1">#REF!</definedName>
    <definedName name="bhgh" localSheetId="18" hidden="1">#REF!</definedName>
    <definedName name="bhgh" localSheetId="21" hidden="1">#REF!</definedName>
    <definedName name="bhgh" hidden="1">#REF!</definedName>
    <definedName name="bjh" localSheetId="16" hidden="1">#REF!</definedName>
    <definedName name="bjh" localSheetId="18" hidden="1">#REF!</definedName>
    <definedName name="bjh" localSheetId="21" hidden="1">#REF!</definedName>
    <definedName name="bjh" hidden="1">#REF!</definedName>
    <definedName name="d" localSheetId="16" hidden="1">#REF!</definedName>
    <definedName name="d" localSheetId="18" hidden="1">#REF!</definedName>
    <definedName name="d" localSheetId="21" hidden="1">#REF!</definedName>
    <definedName name="d" hidden="1">#REF!</definedName>
    <definedName name="dd" localSheetId="16" hidden="1">#REF!</definedName>
    <definedName name="dd" localSheetId="18" hidden="1">#REF!</definedName>
    <definedName name="dd" localSheetId="21" hidden="1">#REF!</definedName>
    <definedName name="dd" hidden="1">#REF!</definedName>
    <definedName name="dfd" localSheetId="16" hidden="1">#REF!</definedName>
    <definedName name="dfd" localSheetId="18" hidden="1">#REF!</definedName>
    <definedName name="dfd" localSheetId="21" hidden="1">#REF!</definedName>
    <definedName name="dfd" hidden="1">#REF!</definedName>
    <definedName name="dfdf" localSheetId="16" hidden="1">#REF!</definedName>
    <definedName name="dfdf" localSheetId="18" hidden="1">#REF!</definedName>
    <definedName name="dfdf" localSheetId="21" hidden="1">#REF!</definedName>
    <definedName name="dfdf" hidden="1">#REF!</definedName>
    <definedName name="dfdfdf" localSheetId="16" hidden="1">#REF!</definedName>
    <definedName name="dfdfdf" localSheetId="18" hidden="1">#REF!</definedName>
    <definedName name="dfdfdf" localSheetId="21" hidden="1">#REF!</definedName>
    <definedName name="dfdfdf" hidden="1">#REF!</definedName>
    <definedName name="dfdfdfd" localSheetId="16" hidden="1">#REF!</definedName>
    <definedName name="dfdfdfd" localSheetId="18" hidden="1">#REF!</definedName>
    <definedName name="dfdfdfd" localSheetId="21" hidden="1">#REF!</definedName>
    <definedName name="dfdfdfd" hidden="1">#REF!</definedName>
    <definedName name="dfdff" localSheetId="16" hidden="1">#REF!</definedName>
    <definedName name="dfdff" localSheetId="18" hidden="1">#REF!</definedName>
    <definedName name="dfdff" localSheetId="21" hidden="1">#REF!</definedName>
    <definedName name="dfdff" hidden="1">#REF!</definedName>
    <definedName name="dw" localSheetId="16" hidden="1">#REF!</definedName>
    <definedName name="dw" localSheetId="18" hidden="1">#REF!</definedName>
    <definedName name="dw" localSheetId="21" hidden="1">#REF!</definedName>
    <definedName name="dw" hidden="1">#REF!</definedName>
    <definedName name="dwd" localSheetId="16" hidden="1">#REF!</definedName>
    <definedName name="dwd" localSheetId="18" hidden="1">#REF!</definedName>
    <definedName name="dwd" localSheetId="21" hidden="1">#REF!</definedName>
    <definedName name="dwd" hidden="1">#REF!</definedName>
    <definedName name="dwdw" localSheetId="16" hidden="1">#REF!</definedName>
    <definedName name="dwdw" localSheetId="18" hidden="1">#REF!</definedName>
    <definedName name="dwdw" localSheetId="21" hidden="1">#REF!</definedName>
    <definedName name="dwdw" hidden="1">#REF!</definedName>
    <definedName name="dwdwd" localSheetId="16" hidden="1">#REF!</definedName>
    <definedName name="dwdwd" localSheetId="18" hidden="1">#REF!</definedName>
    <definedName name="dwdwd" localSheetId="21" hidden="1">#REF!</definedName>
    <definedName name="dwdwd" hidden="1">#REF!</definedName>
    <definedName name="e" localSheetId="16" hidden="1">#REF!</definedName>
    <definedName name="e" localSheetId="18" hidden="1">#REF!</definedName>
    <definedName name="e" localSheetId="21" hidden="1">#REF!</definedName>
    <definedName name="e" hidden="1">#REF!</definedName>
    <definedName name="ee" localSheetId="16" hidden="1">#REF!</definedName>
    <definedName name="ee" localSheetId="18" hidden="1">#REF!</definedName>
    <definedName name="ee" localSheetId="21" hidden="1">#REF!</definedName>
    <definedName name="ee" hidden="1">#REF!</definedName>
    <definedName name="eee" localSheetId="16" hidden="1">#REF!</definedName>
    <definedName name="eee" localSheetId="18" hidden="1">#REF!</definedName>
    <definedName name="eee" localSheetId="21" hidden="1">#REF!</definedName>
    <definedName name="eee" hidden="1">#REF!</definedName>
    <definedName name="eeee" localSheetId="16" hidden="1">#REF!</definedName>
    <definedName name="eeee" localSheetId="18" hidden="1">#REF!</definedName>
    <definedName name="eeee" localSheetId="21" hidden="1">#REF!</definedName>
    <definedName name="eeee" hidden="1">#REF!</definedName>
    <definedName name="eeeee" localSheetId="16" hidden="1">#REF!</definedName>
    <definedName name="eeeee" localSheetId="18" hidden="1">#REF!</definedName>
    <definedName name="eeeee" localSheetId="21" hidden="1">#REF!</definedName>
    <definedName name="eeeee" hidden="1">#REF!</definedName>
    <definedName name="eeeeee" localSheetId="16" hidden="1">#REF!</definedName>
    <definedName name="eeeeee" localSheetId="18" hidden="1">#REF!</definedName>
    <definedName name="eeeeee" localSheetId="21" hidden="1">#REF!</definedName>
    <definedName name="eeeeee" hidden="1">#REF!</definedName>
    <definedName name="eeeeeee" localSheetId="16" hidden="1">#REF!</definedName>
    <definedName name="eeeeeee" localSheetId="18" hidden="1">#REF!</definedName>
    <definedName name="eeeeeee" localSheetId="21" hidden="1">#REF!</definedName>
    <definedName name="eeeeeee" hidden="1">#REF!</definedName>
    <definedName name="eeeeeeee" localSheetId="16" hidden="1">#REF!</definedName>
    <definedName name="eeeeeeee" localSheetId="18" hidden="1">#REF!</definedName>
    <definedName name="eeeeeeee" localSheetId="21" hidden="1">#REF!</definedName>
    <definedName name="eeeeeeee" hidden="1">#REF!</definedName>
    <definedName name="eeeeeeeee" localSheetId="16" hidden="1">#REF!</definedName>
    <definedName name="eeeeeeeee" localSheetId="18" hidden="1">#REF!</definedName>
    <definedName name="eeeeeeeee" localSheetId="21" hidden="1">#REF!</definedName>
    <definedName name="eeeeeeeee" hidden="1">#REF!</definedName>
    <definedName name="eeeeeeeeee" localSheetId="16" hidden="1">#REF!</definedName>
    <definedName name="eeeeeeeeee" localSheetId="18" hidden="1">#REF!</definedName>
    <definedName name="eeeeeeeeee" localSheetId="21" hidden="1">#REF!</definedName>
    <definedName name="eeeeeeeeee" hidden="1">#REF!</definedName>
    <definedName name="esub" localSheetId="16" hidden="1">#REF!</definedName>
    <definedName name="esub" localSheetId="18" hidden="1">#REF!</definedName>
    <definedName name="esub" localSheetId="21" hidden="1">#REF!</definedName>
    <definedName name="Esub" hidden="1">#REF!</definedName>
    <definedName name="Esub一覧" localSheetId="16" hidden="1">#REF!</definedName>
    <definedName name="Esub一覧" localSheetId="18" hidden="1">#REF!</definedName>
    <definedName name="Esub一覧" localSheetId="21" hidden="1">#REF!</definedName>
    <definedName name="Esub一覧" hidden="1">#REF!</definedName>
    <definedName name="f" localSheetId="16" hidden="1">#REF!</definedName>
    <definedName name="f" localSheetId="18" hidden="1">#REF!</definedName>
    <definedName name="f" localSheetId="21" hidden="1">#REF!</definedName>
    <definedName name="f" hidden="1">#REF!</definedName>
    <definedName name="fd" localSheetId="16" hidden="1">#REF!</definedName>
    <definedName name="fd" localSheetId="18" hidden="1">#REF!</definedName>
    <definedName name="fd" localSheetId="21" hidden="1">#REF!</definedName>
    <definedName name="fd" hidden="1">#REF!</definedName>
    <definedName name="fdf" localSheetId="16" hidden="1">#REF!</definedName>
    <definedName name="fdf" localSheetId="18" hidden="1">#REF!</definedName>
    <definedName name="fdf" localSheetId="21" hidden="1">#REF!</definedName>
    <definedName name="fdf" hidden="1">#REF!</definedName>
    <definedName name="fdfdf" localSheetId="16" hidden="1">#REF!</definedName>
    <definedName name="fdfdf" localSheetId="18" hidden="1">#REF!</definedName>
    <definedName name="fdfdf" localSheetId="21" hidden="1">#REF!</definedName>
    <definedName name="fdfdf" hidden="1">#REF!</definedName>
    <definedName name="fdfdfdfdf" localSheetId="16" hidden="1">#REF!</definedName>
    <definedName name="fdfdfdfdf" localSheetId="18" hidden="1">#REF!</definedName>
    <definedName name="fdfdfdfdf" localSheetId="21" hidden="1">#REF!</definedName>
    <definedName name="fdfdfdfdf" hidden="1">#REF!</definedName>
    <definedName name="fdfdffd" localSheetId="16" hidden="1">#REF!</definedName>
    <definedName name="fdfdffd" localSheetId="18" hidden="1">#REF!</definedName>
    <definedName name="fdfdffd" localSheetId="21" hidden="1">#REF!</definedName>
    <definedName name="fdfdffd" hidden="1">#REF!</definedName>
    <definedName name="frf" localSheetId="16" hidden="1">#REF!</definedName>
    <definedName name="frf" localSheetId="18" hidden="1">#REF!</definedName>
    <definedName name="frf" localSheetId="21" hidden="1">#REF!</definedName>
    <definedName name="frf" hidden="1">#REF!</definedName>
    <definedName name="frfr" localSheetId="16" hidden="1">#REF!</definedName>
    <definedName name="frfr" localSheetId="18" hidden="1">#REF!</definedName>
    <definedName name="frfr" localSheetId="21" hidden="1">#REF!</definedName>
    <definedName name="frfr" hidden="1">#REF!</definedName>
    <definedName name="ｇ" localSheetId="16" hidden="1">#REF!</definedName>
    <definedName name="ｇ" localSheetId="18" hidden="1">#REF!</definedName>
    <definedName name="ｇ" localSheetId="21" hidden="1">#REF!</definedName>
    <definedName name="ｇ" hidden="1">#REF!</definedName>
    <definedName name="gg" localSheetId="16" hidden="1">#REF!</definedName>
    <definedName name="gg" localSheetId="18" hidden="1">#REF!</definedName>
    <definedName name="gg" localSheetId="21" hidden="1">#REF!</definedName>
    <definedName name="gg" hidden="1">#REF!</definedName>
    <definedName name="ggt" localSheetId="16" hidden="1">#REF!</definedName>
    <definedName name="ggt" localSheetId="18" hidden="1">#REF!</definedName>
    <definedName name="ggt" localSheetId="21" hidden="1">#REF!</definedName>
    <definedName name="ggt" hidden="1">#REF!</definedName>
    <definedName name="gh" localSheetId="16" hidden="1">#REF!</definedName>
    <definedName name="gh" localSheetId="18" hidden="1">#REF!</definedName>
    <definedName name="gh" localSheetId="21" hidden="1">#REF!</definedName>
    <definedName name="gh" hidden="1">#REF!</definedName>
    <definedName name="ghghgh" localSheetId="16" hidden="1">#REF!</definedName>
    <definedName name="ghghgh" localSheetId="18" hidden="1">#REF!</definedName>
    <definedName name="ghghgh" localSheetId="21" hidden="1">#REF!</definedName>
    <definedName name="ghghgh" hidden="1">#REF!</definedName>
    <definedName name="hghgh" localSheetId="16" hidden="1">#REF!</definedName>
    <definedName name="hghgh" localSheetId="18" hidden="1">#REF!</definedName>
    <definedName name="hghgh" localSheetId="21" hidden="1">#REF!</definedName>
    <definedName name="hghgh" hidden="1">#REF!</definedName>
    <definedName name="hghghh" localSheetId="16" hidden="1">#REF!</definedName>
    <definedName name="hghghh" localSheetId="18" hidden="1">#REF!</definedName>
    <definedName name="hghghh" localSheetId="21" hidden="1">#REF!</definedName>
    <definedName name="hghghh" hidden="1">#REF!</definedName>
    <definedName name="hh" localSheetId="16" hidden="1">#REF!</definedName>
    <definedName name="hh" localSheetId="18" hidden="1">#REF!</definedName>
    <definedName name="hh" localSheetId="21" hidden="1">#REF!</definedName>
    <definedName name="hh" hidden="1">#REF!</definedName>
    <definedName name="hhhh" localSheetId="16" hidden="1">#REF!</definedName>
    <definedName name="hhhh" localSheetId="18" hidden="1">#REF!</definedName>
    <definedName name="hhhh" localSheetId="21" hidden="1">#REF!</definedName>
    <definedName name="hhhh" hidden="1">#REF!</definedName>
    <definedName name="hu" localSheetId="16" hidden="1">#REF!</definedName>
    <definedName name="hu" localSheetId="18" hidden="1">#REF!</definedName>
    <definedName name="hu" localSheetId="21" hidden="1">#REF!</definedName>
    <definedName name="HU" hidden="1">#REF!</definedName>
    <definedName name="hujh" localSheetId="16" hidden="1">#REF!</definedName>
    <definedName name="hujh" localSheetId="18" hidden="1">#REF!</definedName>
    <definedName name="hujh" localSheetId="21" hidden="1">#REF!</definedName>
    <definedName name="hujh" hidden="1">#REF!</definedName>
    <definedName name="ＨＵＵ" localSheetId="16" hidden="1">#REF!</definedName>
    <definedName name="ＨＵＵ" localSheetId="18" hidden="1">#REF!</definedName>
    <definedName name="ＨＵＵ" localSheetId="21" hidden="1">#REF!</definedName>
    <definedName name="ＨＵＵ" hidden="1">#REF!</definedName>
    <definedName name="ＨＵＵＵ" localSheetId="16" hidden="1">#REF!</definedName>
    <definedName name="ＨＵＵＵ" localSheetId="18" hidden="1">#REF!</definedName>
    <definedName name="ＨＵＵＵ" localSheetId="21" hidden="1">#REF!</definedName>
    <definedName name="ＨＵＵＵ" hidden="1">#REF!</definedName>
    <definedName name="hyhy" localSheetId="16" hidden="1">#REF!</definedName>
    <definedName name="hyhy" localSheetId="18" hidden="1">#REF!</definedName>
    <definedName name="hyhy" localSheetId="21" hidden="1">#REF!</definedName>
    <definedName name="hyhy" hidden="1">#REF!</definedName>
    <definedName name="i" localSheetId="16" hidden="1">#REF!</definedName>
    <definedName name="i" localSheetId="18" hidden="1">#REF!</definedName>
    <definedName name="i" localSheetId="21" hidden="1">#REF!</definedName>
    <definedName name="i" hidden="1">#REF!</definedName>
    <definedName name="ii" localSheetId="16" hidden="1">#REF!</definedName>
    <definedName name="ii" localSheetId="18" hidden="1">#REF!</definedName>
    <definedName name="ii" localSheetId="21" hidden="1">#REF!</definedName>
    <definedName name="ii" hidden="1">#REF!</definedName>
    <definedName name="iii" localSheetId="16" hidden="1">#REF!</definedName>
    <definedName name="iii" localSheetId="18" hidden="1">#REF!</definedName>
    <definedName name="iii" localSheetId="21" hidden="1">#REF!</definedName>
    <definedName name="iii" hidden="1">#REF!</definedName>
    <definedName name="iiii" localSheetId="16" hidden="1">#REF!</definedName>
    <definedName name="iiii" localSheetId="18" hidden="1">#REF!</definedName>
    <definedName name="iiii" localSheetId="21" hidden="1">#REF!</definedName>
    <definedName name="iiii" hidden="1">#REF!</definedName>
    <definedName name="iiiii" localSheetId="16" hidden="1">#REF!</definedName>
    <definedName name="iiiii" localSheetId="18" hidden="1">#REF!</definedName>
    <definedName name="iiiii" localSheetId="21" hidden="1">#REF!</definedName>
    <definedName name="iiiii" hidden="1">#REF!</definedName>
    <definedName name="iiiiii" localSheetId="16" hidden="1">#REF!</definedName>
    <definedName name="iiiiii" localSheetId="18" hidden="1">#REF!</definedName>
    <definedName name="iiiiii" localSheetId="21" hidden="1">#REF!</definedName>
    <definedName name="iiiiii" hidden="1">#REF!</definedName>
    <definedName name="iiiiiii" localSheetId="16" hidden="1">#REF!</definedName>
    <definedName name="iiiiiii" localSheetId="18" hidden="1">#REF!</definedName>
    <definedName name="iiiiiii" localSheetId="21" hidden="1">#REF!</definedName>
    <definedName name="iiiiiii" hidden="1">#REF!</definedName>
    <definedName name="iiiiiiii" localSheetId="16" hidden="1">#REF!</definedName>
    <definedName name="iiiiiiii" localSheetId="18" hidden="1">#REF!</definedName>
    <definedName name="iiiiiiii" localSheetId="21" hidden="1">#REF!</definedName>
    <definedName name="iiiiiiii" hidden="1">#REF!</definedName>
    <definedName name="iiiiiiiii" localSheetId="16" hidden="1">#REF!</definedName>
    <definedName name="iiiiiiiii" localSheetId="18" hidden="1">#REF!</definedName>
    <definedName name="iiiiiiiii" localSheetId="21" hidden="1">#REF!</definedName>
    <definedName name="iiiiiiiii" hidden="1">#REF!</definedName>
    <definedName name="iiijj" localSheetId="16" hidden="1">#REF!</definedName>
    <definedName name="iiijj" localSheetId="18" hidden="1">#REF!</definedName>
    <definedName name="iiijj" localSheetId="21" hidden="1">#REF!</definedName>
    <definedName name="iiijj" hidden="1">#REF!</definedName>
    <definedName name="iio" localSheetId="16" hidden="1">#REF!</definedName>
    <definedName name="iio" localSheetId="18" hidden="1">#REF!</definedName>
    <definedName name="iio" localSheetId="21" hidden="1">#REF!</definedName>
    <definedName name="iio" hidden="1">#REF!</definedName>
    <definedName name="iiuii" localSheetId="16" hidden="1">#REF!</definedName>
    <definedName name="iiuii" localSheetId="18" hidden="1">#REF!</definedName>
    <definedName name="iiuii" localSheetId="21" hidden="1">#REF!</definedName>
    <definedName name="iiuii" hidden="1">#REF!</definedName>
    <definedName name="iiuu" localSheetId="16" hidden="1">#REF!</definedName>
    <definedName name="iiuu" localSheetId="18" hidden="1">#REF!</definedName>
    <definedName name="iiuu" localSheetId="21" hidden="1">#REF!</definedName>
    <definedName name="iiuu" hidden="1">#REF!</definedName>
    <definedName name="iiuuii" localSheetId="16" hidden="1">#REF!</definedName>
    <definedName name="iiuuii" localSheetId="18" hidden="1">#REF!</definedName>
    <definedName name="iiuuii" localSheetId="21" hidden="1">#REF!</definedName>
    <definedName name="iiuuii" hidden="1">#REF!</definedName>
    <definedName name="iiuuyu" localSheetId="16" hidden="1">#REF!</definedName>
    <definedName name="iiuuyu" localSheetId="18" hidden="1">#REF!</definedName>
    <definedName name="iiuuyu" localSheetId="21" hidden="1">#REF!</definedName>
    <definedName name="iiuuyu" hidden="1">#REF!</definedName>
    <definedName name="ijh" localSheetId="16" hidden="1">#REF!</definedName>
    <definedName name="ijh" localSheetId="18" hidden="1">#REF!</definedName>
    <definedName name="ijh" localSheetId="21" hidden="1">#REF!</definedName>
    <definedName name="ijh" hidden="1">#REF!</definedName>
    <definedName name="ijhk" localSheetId="16" hidden="1">#REF!</definedName>
    <definedName name="ijhk" localSheetId="18" hidden="1">#REF!</definedName>
    <definedName name="ijhk" localSheetId="21" hidden="1">#REF!</definedName>
    <definedName name="ijhk" hidden="1">#REF!</definedName>
    <definedName name="io" localSheetId="16" hidden="1">#REF!</definedName>
    <definedName name="io" localSheetId="18" hidden="1">#REF!</definedName>
    <definedName name="io" localSheetId="21" hidden="1">#REF!</definedName>
    <definedName name="io" hidden="1">#REF!</definedName>
    <definedName name="ioio" localSheetId="16" hidden="1">#REF!</definedName>
    <definedName name="ioio" localSheetId="18" hidden="1">#REF!</definedName>
    <definedName name="ioio" localSheetId="21" hidden="1">#REF!</definedName>
    <definedName name="ioio" hidden="1">#REF!</definedName>
    <definedName name="ioioi" localSheetId="16" hidden="1">#REF!</definedName>
    <definedName name="ioioi" localSheetId="18" hidden="1">#REF!</definedName>
    <definedName name="ioioi" localSheetId="21" hidden="1">#REF!</definedName>
    <definedName name="ioioi" hidden="1">#REF!</definedName>
    <definedName name="ioioioio" localSheetId="16" hidden="1">#REF!</definedName>
    <definedName name="ioioioio" localSheetId="18" hidden="1">#REF!</definedName>
    <definedName name="ioioioio" localSheetId="21" hidden="1">#REF!</definedName>
    <definedName name="ioioioio" hidden="1">#REF!</definedName>
    <definedName name="ioioiou" localSheetId="16" hidden="1">#REF!</definedName>
    <definedName name="ioioiou" localSheetId="18" hidden="1">#REF!</definedName>
    <definedName name="ioioiou" localSheetId="21" hidden="1">#REF!</definedName>
    <definedName name="ioioiou" hidden="1">#REF!</definedName>
    <definedName name="ioiou" localSheetId="16" hidden="1">#REF!</definedName>
    <definedName name="ioiou" localSheetId="18" hidden="1">#REF!</definedName>
    <definedName name="ioiou" localSheetId="21" hidden="1">#REF!</definedName>
    <definedName name="ioiou" hidden="1">#REF!</definedName>
    <definedName name="iuji" localSheetId="16" hidden="1">#REF!</definedName>
    <definedName name="iuji" localSheetId="18" hidden="1">#REF!</definedName>
    <definedName name="iuji" localSheetId="21" hidden="1">#REF!</definedName>
    <definedName name="iuji" hidden="1">#REF!</definedName>
    <definedName name="iyi" localSheetId="16" hidden="1">#REF!</definedName>
    <definedName name="iyi" localSheetId="18" hidden="1">#REF!</definedName>
    <definedName name="iyi" localSheetId="21" hidden="1">#REF!</definedName>
    <definedName name="iyi" hidden="1">#REF!</definedName>
    <definedName name="iyjku" localSheetId="16" hidden="1">#REF!</definedName>
    <definedName name="iyjku" localSheetId="18" hidden="1">#REF!</definedName>
    <definedName name="iyjku" localSheetId="21" hidden="1">#REF!</definedName>
    <definedName name="iyjku" hidden="1">#REF!</definedName>
    <definedName name="jhg" localSheetId="16" hidden="1">#REF!</definedName>
    <definedName name="jhg" localSheetId="18" hidden="1">#REF!</definedName>
    <definedName name="jhg" localSheetId="21" hidden="1">#REF!</definedName>
    <definedName name="jhg" hidden="1">#REF!</definedName>
    <definedName name="jhgg" localSheetId="16" hidden="1">#REF!</definedName>
    <definedName name="jhgg" localSheetId="18" hidden="1">#REF!</definedName>
    <definedName name="jhgg" localSheetId="21" hidden="1">#REF!</definedName>
    <definedName name="jhgg" hidden="1">#REF!</definedName>
    <definedName name="jhhk" localSheetId="16" hidden="1">#REF!</definedName>
    <definedName name="jhhk" localSheetId="18" hidden="1">#REF!</definedName>
    <definedName name="jhhk" localSheetId="21" hidden="1">#REF!</definedName>
    <definedName name="jhhk" hidden="1">#REF!</definedName>
    <definedName name="jj" localSheetId="16" hidden="1">#REF!</definedName>
    <definedName name="jj" localSheetId="18" hidden="1">#REF!</definedName>
    <definedName name="jj" localSheetId="21" hidden="1">#REF!</definedName>
    <definedName name="jj" hidden="1">#REF!</definedName>
    <definedName name="jjj" localSheetId="16" hidden="1">#REF!</definedName>
    <definedName name="jjj" localSheetId="18" hidden="1">#REF!</definedName>
    <definedName name="jjj" localSheetId="21" hidden="1">#REF!</definedName>
    <definedName name="jjj" hidden="1">#REF!</definedName>
    <definedName name="jjjj" localSheetId="16" hidden="1">#REF!</definedName>
    <definedName name="jjjj" localSheetId="18" hidden="1">#REF!</definedName>
    <definedName name="jjjj" localSheetId="21" hidden="1">#REF!</definedName>
    <definedName name="jjjj" hidden="1">#REF!</definedName>
    <definedName name="jjjjj" localSheetId="16" hidden="1">#REF!</definedName>
    <definedName name="jjjjj" localSheetId="18" hidden="1">#REF!</definedName>
    <definedName name="jjjjj" localSheetId="21" hidden="1">#REF!</definedName>
    <definedName name="jjjjj" hidden="1">#REF!</definedName>
    <definedName name="jjjjjj" localSheetId="16" hidden="1">#REF!</definedName>
    <definedName name="jjjjjj" localSheetId="18" hidden="1">#REF!</definedName>
    <definedName name="jjjjjj" localSheetId="21" hidden="1">#REF!</definedName>
    <definedName name="jjjjjj" hidden="1">#REF!</definedName>
    <definedName name="jjjjjjj" localSheetId="16" hidden="1">#REF!</definedName>
    <definedName name="jjjjjjj" localSheetId="18" hidden="1">#REF!</definedName>
    <definedName name="jjjjjjj" localSheetId="21" hidden="1">#REF!</definedName>
    <definedName name="jjjjjjj" hidden="1">#REF!</definedName>
    <definedName name="jjuu" localSheetId="16" hidden="1">#REF!</definedName>
    <definedName name="jjuu" localSheetId="18" hidden="1">#REF!</definedName>
    <definedName name="jjuu" localSheetId="21" hidden="1">#REF!</definedName>
    <definedName name="jjuu" hidden="1">#REF!</definedName>
    <definedName name="juju" localSheetId="16" hidden="1">#REF!</definedName>
    <definedName name="juju" localSheetId="18" hidden="1">#REF!</definedName>
    <definedName name="juju" localSheetId="21" hidden="1">#REF!</definedName>
    <definedName name="juju" hidden="1">#REF!</definedName>
    <definedName name="ｋ" localSheetId="16" hidden="1">#REF!</definedName>
    <definedName name="ｋ" localSheetId="18" hidden="1">#REF!</definedName>
    <definedName name="ｋ" localSheetId="21" hidden="1">#REF!</definedName>
    <definedName name="ｋ" hidden="1">#REF!</definedName>
    <definedName name="kjui" localSheetId="16" hidden="1">#REF!</definedName>
    <definedName name="kjui" localSheetId="18" hidden="1">#REF!</definedName>
    <definedName name="kjui" localSheetId="21" hidden="1">#REF!</definedName>
    <definedName name="kjui" hidden="1">#REF!</definedName>
    <definedName name="kk" localSheetId="16" hidden="1">#REF!</definedName>
    <definedName name="kk" localSheetId="18" hidden="1">#REF!</definedName>
    <definedName name="kk" localSheetId="21" hidden="1">#REF!</definedName>
    <definedName name="kk" hidden="1">#REF!</definedName>
    <definedName name="kkk" localSheetId="16" hidden="1">#REF!</definedName>
    <definedName name="kkk" localSheetId="18" hidden="1">#REF!</definedName>
    <definedName name="kkk" localSheetId="21" hidden="1">#REF!</definedName>
    <definedName name="kkk" hidden="1">#REF!</definedName>
    <definedName name="kkkk" localSheetId="16" hidden="1">#REF!</definedName>
    <definedName name="kkkk" localSheetId="18" hidden="1">#REF!</definedName>
    <definedName name="kkkk" localSheetId="21" hidden="1">#REF!</definedName>
    <definedName name="kkkk" hidden="1">#REF!</definedName>
    <definedName name="kkkkk" localSheetId="16" hidden="1">#REF!</definedName>
    <definedName name="kkkkk" localSheetId="18" hidden="1">#REF!</definedName>
    <definedName name="kkkkk" localSheetId="21" hidden="1">#REF!</definedName>
    <definedName name="kkkkk" hidden="1">#REF!</definedName>
    <definedName name="kkkkkk" localSheetId="16" hidden="1">#REF!</definedName>
    <definedName name="kkkkkk" localSheetId="18" hidden="1">#REF!</definedName>
    <definedName name="kkkkkk" localSheetId="21" hidden="1">#REF!</definedName>
    <definedName name="kkkkkk" hidden="1">#REF!</definedName>
    <definedName name="kkkkkkk" localSheetId="16" hidden="1">#REF!</definedName>
    <definedName name="kkkkkkk" localSheetId="18" hidden="1">#REF!</definedName>
    <definedName name="kkkkkkk" localSheetId="21" hidden="1">#REF!</definedName>
    <definedName name="kkkkkkk" hidden="1">#REF!</definedName>
    <definedName name="kkkkkkkk" localSheetId="16" hidden="1">#REF!</definedName>
    <definedName name="kkkkkkkk" localSheetId="18" hidden="1">#REF!</definedName>
    <definedName name="kkkkkkkk" localSheetId="21" hidden="1">#REF!</definedName>
    <definedName name="kkkkkkkk" hidden="1">#REF!</definedName>
    <definedName name="kkkkkkkkk" localSheetId="16" hidden="1">#REF!</definedName>
    <definedName name="kkkkkkkkk" localSheetId="18" hidden="1">#REF!</definedName>
    <definedName name="kkkkkkkkk" localSheetId="21" hidden="1">#REF!</definedName>
    <definedName name="kkkkkkkkk" hidden="1">#REF!</definedName>
    <definedName name="kkkkkkkkkk" localSheetId="16" hidden="1">#REF!</definedName>
    <definedName name="kkkkkkkkkk" localSheetId="18" hidden="1">#REF!</definedName>
    <definedName name="kkkkkkkkkk" localSheetId="21" hidden="1">#REF!</definedName>
    <definedName name="kkkkkkkkkk" hidden="1">#REF!</definedName>
    <definedName name="l" localSheetId="16" hidden="1">#REF!</definedName>
    <definedName name="l" localSheetId="18" hidden="1">#REF!</definedName>
    <definedName name="l" localSheetId="21" hidden="1">#REF!</definedName>
    <definedName name="l" hidden="1">#REF!</definedName>
    <definedName name="ll" localSheetId="16" hidden="1">#REF!</definedName>
    <definedName name="ll" localSheetId="18" hidden="1">#REF!</definedName>
    <definedName name="ll" localSheetId="21" hidden="1">#REF!</definedName>
    <definedName name="ll" hidden="1">#REF!</definedName>
    <definedName name="lll" localSheetId="16" hidden="1">#REF!</definedName>
    <definedName name="lll" localSheetId="18" hidden="1">#REF!</definedName>
    <definedName name="lll" localSheetId="21" hidden="1">#REF!</definedName>
    <definedName name="lll" hidden="1">#REF!</definedName>
    <definedName name="llll" localSheetId="16" hidden="1">#REF!</definedName>
    <definedName name="llll" localSheetId="18" hidden="1">#REF!</definedName>
    <definedName name="llll" localSheetId="21" hidden="1">#REF!</definedName>
    <definedName name="llll" hidden="1">#REF!</definedName>
    <definedName name="ｍ" localSheetId="16" hidden="1">#REF!</definedName>
    <definedName name="ｍ" localSheetId="18" hidden="1">#REF!</definedName>
    <definedName name="ｍ" localSheetId="21" hidden="1">#REF!</definedName>
    <definedName name="m" hidden="1">#REF!</definedName>
    <definedName name="mmn" localSheetId="16" hidden="1">#REF!</definedName>
    <definedName name="mmn" localSheetId="18" hidden="1">#REF!</definedName>
    <definedName name="mmn" localSheetId="21" hidden="1">#REF!</definedName>
    <definedName name="mmn" hidden="1">#REF!</definedName>
    <definedName name="mn" localSheetId="16" hidden="1">#REF!</definedName>
    <definedName name="mn" localSheetId="18" hidden="1">#REF!</definedName>
    <definedName name="mn" localSheetId="21" hidden="1">#REF!</definedName>
    <definedName name="mn" hidden="1">#REF!</definedName>
    <definedName name="n" localSheetId="16" hidden="1">#REF!</definedName>
    <definedName name="n" localSheetId="18" hidden="1">#REF!</definedName>
    <definedName name="n" localSheetId="21" hidden="1">#REF!</definedName>
    <definedName name="n" hidden="1">#REF!</definedName>
    <definedName name="ngu" localSheetId="16" hidden="1">#REF!</definedName>
    <definedName name="ngu" localSheetId="18" hidden="1">#REF!</definedName>
    <definedName name="ngu" localSheetId="21" hidden="1">#REF!</definedName>
    <definedName name="ngu" hidden="1">#REF!</definedName>
    <definedName name="nn" localSheetId="16" hidden="1">#REF!</definedName>
    <definedName name="nn" localSheetId="18" hidden="1">#REF!</definedName>
    <definedName name="nn" localSheetId="21" hidden="1">#REF!</definedName>
    <definedName name="nn" hidden="1">#REF!</definedName>
    <definedName name="nnn" localSheetId="16" hidden="1">#REF!</definedName>
    <definedName name="nnn" localSheetId="18" hidden="1">#REF!</definedName>
    <definedName name="nnn" localSheetId="21" hidden="1">#REF!</definedName>
    <definedName name="nnn" hidden="1">#REF!</definedName>
    <definedName name="o" localSheetId="16" hidden="1">#REF!</definedName>
    <definedName name="o" localSheetId="18" hidden="1">#REF!</definedName>
    <definedName name="o" localSheetId="21" hidden="1">#REF!</definedName>
    <definedName name="o" hidden="1">#REF!</definedName>
    <definedName name="oioioi" localSheetId="16" hidden="1">#REF!</definedName>
    <definedName name="oioioi" localSheetId="18" hidden="1">#REF!</definedName>
    <definedName name="oioioi" localSheetId="21" hidden="1">#REF!</definedName>
    <definedName name="oioioi" hidden="1">#REF!</definedName>
    <definedName name="oiui" localSheetId="16" hidden="1">#REF!</definedName>
    <definedName name="oiui" localSheetId="18" hidden="1">#REF!</definedName>
    <definedName name="oiui" localSheetId="21" hidden="1">#REF!</definedName>
    <definedName name="oiui" hidden="1">#REF!</definedName>
    <definedName name="oo" localSheetId="16" hidden="1">#REF!</definedName>
    <definedName name="oo" localSheetId="18" hidden="1">#REF!</definedName>
    <definedName name="oo" localSheetId="21" hidden="1">#REF!</definedName>
    <definedName name="oo" hidden="1">#REF!</definedName>
    <definedName name="oooo" localSheetId="16" hidden="1">#REF!</definedName>
    <definedName name="oooo" localSheetId="18" hidden="1">#REF!</definedName>
    <definedName name="oooo" localSheetId="21" hidden="1">#REF!</definedName>
    <definedName name="oooo" hidden="1">#REF!</definedName>
    <definedName name="oooooo" localSheetId="16" hidden="1">#REF!</definedName>
    <definedName name="oooooo" localSheetId="18" hidden="1">#REF!</definedName>
    <definedName name="oooooo" localSheetId="21" hidden="1">#REF!</definedName>
    <definedName name="oooooo" hidden="1">#REF!</definedName>
    <definedName name="ooooooo" localSheetId="16" hidden="1">#REF!</definedName>
    <definedName name="ooooooo" localSheetId="18" hidden="1">#REF!</definedName>
    <definedName name="ooooooo" localSheetId="21" hidden="1">#REF!</definedName>
    <definedName name="ooooooo" hidden="1">#REF!</definedName>
    <definedName name="oooooooo" localSheetId="16" hidden="1">#REF!</definedName>
    <definedName name="oooooooo" localSheetId="18" hidden="1">#REF!</definedName>
    <definedName name="oooooooo" localSheetId="21" hidden="1">#REF!</definedName>
    <definedName name="oooooooo" hidden="1">#REF!</definedName>
    <definedName name="ooooooooo" localSheetId="16" hidden="1">#REF!</definedName>
    <definedName name="ooooooooo" localSheetId="18" hidden="1">#REF!</definedName>
    <definedName name="ooooooooo" localSheetId="21" hidden="1">#REF!</definedName>
    <definedName name="ooooooooo" hidden="1">#REF!</definedName>
    <definedName name="oooooooooo" localSheetId="16" hidden="1">#REF!</definedName>
    <definedName name="oooooooooo" localSheetId="18" hidden="1">#REF!</definedName>
    <definedName name="oooooooooo" localSheetId="21" hidden="1">#REF!</definedName>
    <definedName name="oooooooooo" hidden="1">#REF!</definedName>
    <definedName name="ooui" localSheetId="16" hidden="1">#REF!</definedName>
    <definedName name="ooui" localSheetId="18" hidden="1">#REF!</definedName>
    <definedName name="ooui" localSheetId="21" hidden="1">#REF!</definedName>
    <definedName name="ooui" hidden="1">#REF!</definedName>
    <definedName name="p" localSheetId="16" hidden="1">#REF!</definedName>
    <definedName name="p" localSheetId="18" hidden="1">#REF!</definedName>
    <definedName name="p" localSheetId="21" hidden="1">#REF!</definedName>
    <definedName name="p" hidden="1">#REF!</definedName>
    <definedName name="pp" localSheetId="16" hidden="1">#REF!</definedName>
    <definedName name="pp" localSheetId="18" hidden="1">#REF!</definedName>
    <definedName name="pp" localSheetId="21" hidden="1">#REF!</definedName>
    <definedName name="pp" hidden="1">#REF!</definedName>
    <definedName name="ppp" localSheetId="16" hidden="1">#REF!</definedName>
    <definedName name="ppp" localSheetId="18" hidden="1">#REF!</definedName>
    <definedName name="ppp" localSheetId="21" hidden="1">#REF!</definedName>
    <definedName name="ppp" hidden="1">#REF!</definedName>
    <definedName name="pppp" localSheetId="16" hidden="1">#REF!</definedName>
    <definedName name="pppp" localSheetId="18" hidden="1">#REF!</definedName>
    <definedName name="pppp" localSheetId="21" hidden="1">#REF!</definedName>
    <definedName name="pppp" hidden="1">#REF!</definedName>
    <definedName name="ppppp" localSheetId="16" hidden="1">#REF!</definedName>
    <definedName name="ppppp" localSheetId="18" hidden="1">#REF!</definedName>
    <definedName name="ppppp" localSheetId="21" hidden="1">#REF!</definedName>
    <definedName name="ppppp" hidden="1">#REF!</definedName>
    <definedName name="pppppp" localSheetId="16" hidden="1">#REF!</definedName>
    <definedName name="pppppp" localSheetId="18" hidden="1">#REF!</definedName>
    <definedName name="pppppp" localSheetId="21" hidden="1">#REF!</definedName>
    <definedName name="pppppp" hidden="1">#REF!</definedName>
    <definedName name="ppppppp" localSheetId="16" hidden="1">#REF!</definedName>
    <definedName name="ppppppp" localSheetId="18" hidden="1">#REF!</definedName>
    <definedName name="ppppppp" localSheetId="21" hidden="1">#REF!</definedName>
    <definedName name="ppppppp" hidden="1">#REF!</definedName>
    <definedName name="pppppppp" localSheetId="16" hidden="1">#REF!</definedName>
    <definedName name="pppppppp" localSheetId="18" hidden="1">#REF!</definedName>
    <definedName name="pppppppp" localSheetId="21" hidden="1">#REF!</definedName>
    <definedName name="pppppppp" hidden="1">#REF!</definedName>
    <definedName name="ppppppppp" localSheetId="16" hidden="1">#REF!</definedName>
    <definedName name="ppppppppp" localSheetId="18" hidden="1">#REF!</definedName>
    <definedName name="ppppppppp" localSheetId="21" hidden="1">#REF!</definedName>
    <definedName name="ppppppppp" hidden="1">#REF!</definedName>
    <definedName name="pppppppppp" localSheetId="16" hidden="1">#REF!</definedName>
    <definedName name="pppppppppp" localSheetId="18" hidden="1">#REF!</definedName>
    <definedName name="pppppppppp" localSheetId="21" hidden="1">#REF!</definedName>
    <definedName name="pppppppppp" hidden="1">#REF!</definedName>
    <definedName name="_xlnm.Print_Area" localSheetId="12">'6B'!$A$1:$AG$179</definedName>
    <definedName name="_xlnm.Print_Area" localSheetId="7">'6B日程 '!$A$1:$W$47</definedName>
    <definedName name="_xlnm.Print_Area" localSheetId="13">'6D'!$A$1:$AG$179</definedName>
    <definedName name="_xlnm.Print_Area" localSheetId="8">'6D日程'!$A$1:$W$48</definedName>
    <definedName name="_xlnm.Print_Area" localSheetId="14">'6E'!$A$1:$AG$179</definedName>
    <definedName name="_xlnm.Print_Area" localSheetId="9">'6E日程'!$A$1:$W$47</definedName>
    <definedName name="_xlnm.Print_Area" localSheetId="15">'6F'!$A$1:$AG$179</definedName>
    <definedName name="_xlnm.Print_Area" localSheetId="16">'6F+'!$A$1:$AG$179</definedName>
    <definedName name="_xlnm.Print_Area" localSheetId="17">'6H'!$A$1:$AG$179</definedName>
    <definedName name="_xlnm.Print_Area" localSheetId="18">'7A'!$A$1:$AG$179</definedName>
    <definedName name="_xlnm.Print_Area" localSheetId="19">'7B'!$A$1:$AG$179</definedName>
    <definedName name="_xlnm.Print_Area" localSheetId="20">'7C'!$A$1:$AG$179</definedName>
    <definedName name="_xlnm.Print_Area" localSheetId="21">'7D'!$A$1:$AG$179</definedName>
    <definedName name="_xlnm.Print_Area" localSheetId="0">管理表!$A$1:$B$65</definedName>
    <definedName name="_xlnm.Print_Area" localSheetId="24">'日程 (コピーして利用) (6回版原紙)'!$A$1:$W$94</definedName>
    <definedName name="ｑ" localSheetId="16" hidden="1">#REF!</definedName>
    <definedName name="ｑ" localSheetId="18" hidden="1">#REF!</definedName>
    <definedName name="ｑ" localSheetId="21" hidden="1">#REF!</definedName>
    <definedName name="ｑ" hidden="1">#REF!</definedName>
    <definedName name="rf" localSheetId="16" hidden="1">#REF!</definedName>
    <definedName name="rf" localSheetId="18" hidden="1">#REF!</definedName>
    <definedName name="rf" localSheetId="21" hidden="1">#REF!</definedName>
    <definedName name="rf" hidden="1">#REF!</definedName>
    <definedName name="rff" localSheetId="16" hidden="1">#REF!</definedName>
    <definedName name="rff" localSheetId="18" hidden="1">#REF!</definedName>
    <definedName name="rff" localSheetId="21" hidden="1">#REF!</definedName>
    <definedName name="rff" hidden="1">#REF!</definedName>
    <definedName name="rffrfr" localSheetId="16" hidden="1">#REF!</definedName>
    <definedName name="rffrfr" localSheetId="18" hidden="1">#REF!</definedName>
    <definedName name="rffrfr" localSheetId="21" hidden="1">#REF!</definedName>
    <definedName name="rffrfr" hidden="1">#REF!</definedName>
    <definedName name="rr" localSheetId="16" hidden="1">#REF!</definedName>
    <definedName name="rr" localSheetId="18" hidden="1">#REF!</definedName>
    <definedName name="rr" localSheetId="21" hidden="1">#REF!</definedName>
    <definedName name="rr" hidden="1">#REF!</definedName>
    <definedName name="rre" localSheetId="16" hidden="1">#REF!</definedName>
    <definedName name="rre" localSheetId="18" hidden="1">#REF!</definedName>
    <definedName name="rre" localSheetId="21" hidden="1">#REF!</definedName>
    <definedName name="rre" hidden="1">#REF!</definedName>
    <definedName name="rree" localSheetId="16" hidden="1">#REF!</definedName>
    <definedName name="rree" localSheetId="18" hidden="1">#REF!</definedName>
    <definedName name="rree" localSheetId="21" hidden="1">#REF!</definedName>
    <definedName name="rree" hidden="1">#REF!</definedName>
    <definedName name="rreee" localSheetId="16" hidden="1">#REF!</definedName>
    <definedName name="rreee" localSheetId="18" hidden="1">#REF!</definedName>
    <definedName name="rreee" localSheetId="21" hidden="1">#REF!</definedName>
    <definedName name="rreee" hidden="1">#REF!</definedName>
    <definedName name="rreeee" localSheetId="16" hidden="1">#REF!</definedName>
    <definedName name="rreeee" localSheetId="18" hidden="1">#REF!</definedName>
    <definedName name="rreeee" localSheetId="21" hidden="1">#REF!</definedName>
    <definedName name="rreeee" hidden="1">#REF!</definedName>
    <definedName name="rreeeee" localSheetId="16" hidden="1">#REF!</definedName>
    <definedName name="rreeeee" localSheetId="18" hidden="1">#REF!</definedName>
    <definedName name="rreeeee" localSheetId="21" hidden="1">#REF!</definedName>
    <definedName name="rreeeee" hidden="1">#REF!</definedName>
    <definedName name="rrr" localSheetId="16" hidden="1">#REF!</definedName>
    <definedName name="rrr" localSheetId="18" hidden="1">#REF!</definedName>
    <definedName name="rrr" localSheetId="21" hidden="1">#REF!</definedName>
    <definedName name="rrr" hidden="1">#REF!</definedName>
    <definedName name="rrre" localSheetId="16" hidden="1">#REF!</definedName>
    <definedName name="rrre" localSheetId="18" hidden="1">#REF!</definedName>
    <definedName name="rrre" localSheetId="21" hidden="1">#REF!</definedName>
    <definedName name="rrre" hidden="1">#REF!</definedName>
    <definedName name="rrree" localSheetId="16" hidden="1">#REF!</definedName>
    <definedName name="rrree" localSheetId="18" hidden="1">#REF!</definedName>
    <definedName name="rrree" localSheetId="21" hidden="1">#REF!</definedName>
    <definedName name="rrree" hidden="1">#REF!</definedName>
    <definedName name="rrreee" localSheetId="16" hidden="1">#REF!</definedName>
    <definedName name="rrreee" localSheetId="18" hidden="1">#REF!</definedName>
    <definedName name="rrreee" localSheetId="21" hidden="1">#REF!</definedName>
    <definedName name="rrreee" hidden="1">#REF!</definedName>
    <definedName name="rrrre" localSheetId="16" hidden="1">#REF!</definedName>
    <definedName name="rrrre" localSheetId="18" hidden="1">#REF!</definedName>
    <definedName name="rrrre" localSheetId="21" hidden="1">#REF!</definedName>
    <definedName name="rrrre" hidden="1">#REF!</definedName>
    <definedName name="rrrree" localSheetId="16" hidden="1">#REF!</definedName>
    <definedName name="rrrree" localSheetId="18" hidden="1">#REF!</definedName>
    <definedName name="rrrree" localSheetId="21" hidden="1">#REF!</definedName>
    <definedName name="rrrree" hidden="1">#REF!</definedName>
    <definedName name="rrrreee" localSheetId="16" hidden="1">#REF!</definedName>
    <definedName name="rrrreee" localSheetId="18" hidden="1">#REF!</definedName>
    <definedName name="rrrreee" localSheetId="21" hidden="1">#REF!</definedName>
    <definedName name="rrrreee" hidden="1">#REF!</definedName>
    <definedName name="rrrreeee" localSheetId="16" hidden="1">#REF!</definedName>
    <definedName name="rrrreeee" localSheetId="18" hidden="1">#REF!</definedName>
    <definedName name="rrrreeee" localSheetId="21" hidden="1">#REF!</definedName>
    <definedName name="rrrreeee" hidden="1">#REF!</definedName>
    <definedName name="rrrrre" localSheetId="16" hidden="1">#REF!</definedName>
    <definedName name="rrrrre" localSheetId="18" hidden="1">#REF!</definedName>
    <definedName name="rrrrre" localSheetId="21" hidden="1">#REF!</definedName>
    <definedName name="rrrrre" hidden="1">#REF!</definedName>
    <definedName name="rrrrree" localSheetId="16" hidden="1">#REF!</definedName>
    <definedName name="rrrrree" localSheetId="18" hidden="1">#REF!</definedName>
    <definedName name="rrrrree" localSheetId="21" hidden="1">#REF!</definedName>
    <definedName name="rrrrree" hidden="1">#REF!</definedName>
    <definedName name="rrrrreee" localSheetId="16" hidden="1">#REF!</definedName>
    <definedName name="rrrrreee" localSheetId="18" hidden="1">#REF!</definedName>
    <definedName name="rrrrreee" localSheetId="21" hidden="1">#REF!</definedName>
    <definedName name="rrrrreee" hidden="1">#REF!</definedName>
    <definedName name="rrrrreeee" localSheetId="16" hidden="1">#REF!</definedName>
    <definedName name="rrrrreeee" localSheetId="18" hidden="1">#REF!</definedName>
    <definedName name="rrrrreeee" localSheetId="21" hidden="1">#REF!</definedName>
    <definedName name="rrrrreeee" hidden="1">#REF!</definedName>
    <definedName name="rrrrreeeee" localSheetId="16" hidden="1">#REF!</definedName>
    <definedName name="rrrrreeeee" localSheetId="18" hidden="1">#REF!</definedName>
    <definedName name="rrrrreeeee" localSheetId="21" hidden="1">#REF!</definedName>
    <definedName name="rrrrreeeee" hidden="1">#REF!</definedName>
    <definedName name="rrrrreeeeee" localSheetId="16" hidden="1">#REF!</definedName>
    <definedName name="rrrrreeeeee" localSheetId="18" hidden="1">#REF!</definedName>
    <definedName name="rrrrreeeeee" localSheetId="21" hidden="1">#REF!</definedName>
    <definedName name="rrrrreeeeee" hidden="1">#REF!</definedName>
    <definedName name="rrrrrre" localSheetId="16" hidden="1">#REF!</definedName>
    <definedName name="rrrrrre" localSheetId="18" hidden="1">#REF!</definedName>
    <definedName name="rrrrrre" localSheetId="21" hidden="1">#REF!</definedName>
    <definedName name="rrrrrre" hidden="1">#REF!</definedName>
    <definedName name="rrrrrree" localSheetId="16" hidden="1">#REF!</definedName>
    <definedName name="rrrrrree" localSheetId="18" hidden="1">#REF!</definedName>
    <definedName name="rrrrrree" localSheetId="21" hidden="1">#REF!</definedName>
    <definedName name="rrrrrree" hidden="1">#REF!</definedName>
    <definedName name="rrrrrreee" localSheetId="16" hidden="1">#REF!</definedName>
    <definedName name="rrrrrreee" localSheetId="18" hidden="1">#REF!</definedName>
    <definedName name="rrrrrreee" localSheetId="21" hidden="1">#REF!</definedName>
    <definedName name="rrrrrreee" hidden="1">#REF!</definedName>
    <definedName name="rrrrrreeee" localSheetId="16" hidden="1">#REF!</definedName>
    <definedName name="rrrrrreeee" localSheetId="18" hidden="1">#REF!</definedName>
    <definedName name="rrrrrreeee" localSheetId="21" hidden="1">#REF!</definedName>
    <definedName name="rrrrrreeee" hidden="1">#REF!</definedName>
    <definedName name="rrrrrreeeee" localSheetId="16" hidden="1">#REF!</definedName>
    <definedName name="rrrrrreeeee" localSheetId="18" hidden="1">#REF!</definedName>
    <definedName name="rrrrrreeeee" localSheetId="21" hidden="1">#REF!</definedName>
    <definedName name="rrrrrreeeee" hidden="1">#REF!</definedName>
    <definedName name="rrrrrreeeeee" localSheetId="16" hidden="1">#REF!</definedName>
    <definedName name="rrrrrreeeeee" localSheetId="18" hidden="1">#REF!</definedName>
    <definedName name="rrrrrreeeeee" localSheetId="21" hidden="1">#REF!</definedName>
    <definedName name="rrrrrreeeeee" hidden="1">#REF!</definedName>
    <definedName name="rrrrrreeeeeee" localSheetId="16" hidden="1">#REF!</definedName>
    <definedName name="rrrrrreeeeeee" localSheetId="18" hidden="1">#REF!</definedName>
    <definedName name="rrrrrreeeeeee" localSheetId="21" hidden="1">#REF!</definedName>
    <definedName name="rrrrrreeeeeee" hidden="1">#REF!</definedName>
    <definedName name="rrrrrrre" localSheetId="16" hidden="1">#REF!</definedName>
    <definedName name="rrrrrrre" localSheetId="18" hidden="1">#REF!</definedName>
    <definedName name="rrrrrrre" localSheetId="21" hidden="1">#REF!</definedName>
    <definedName name="rrrrrrre" hidden="1">#REF!</definedName>
    <definedName name="rrrrrrree" localSheetId="16" hidden="1">#REF!</definedName>
    <definedName name="rrrrrrree" localSheetId="18" hidden="1">#REF!</definedName>
    <definedName name="rrrrrrree" localSheetId="21" hidden="1">#REF!</definedName>
    <definedName name="rrrrrrree" hidden="1">#REF!</definedName>
    <definedName name="rrrrrrreee" localSheetId="16" hidden="1">#REF!</definedName>
    <definedName name="rrrrrrreee" localSheetId="18" hidden="1">#REF!</definedName>
    <definedName name="rrrrrrreee" localSheetId="21" hidden="1">#REF!</definedName>
    <definedName name="rrrrrrreee" hidden="1">#REF!</definedName>
    <definedName name="rrrrrrreeee" localSheetId="16" hidden="1">#REF!</definedName>
    <definedName name="rrrrrrreeee" localSheetId="18" hidden="1">#REF!</definedName>
    <definedName name="rrrrrrreeee" localSheetId="21" hidden="1">#REF!</definedName>
    <definedName name="rrrrrrreeee" hidden="1">#REF!</definedName>
    <definedName name="rrrrrrreeeee" localSheetId="16" hidden="1">#REF!</definedName>
    <definedName name="rrrrrrreeeee" localSheetId="18" hidden="1">#REF!</definedName>
    <definedName name="rrrrrrreeeee" localSheetId="21" hidden="1">#REF!</definedName>
    <definedName name="rrrrrrreeeee" hidden="1">#REF!</definedName>
    <definedName name="rrrrrrreeeeee" localSheetId="16" hidden="1">#REF!</definedName>
    <definedName name="rrrrrrreeeeee" localSheetId="18" hidden="1">#REF!</definedName>
    <definedName name="rrrrrrreeeeee" localSheetId="21" hidden="1">#REF!</definedName>
    <definedName name="rrrrrrreeeeee" hidden="1">#REF!</definedName>
    <definedName name="rrrrrrreeeeeee" localSheetId="16" hidden="1">#REF!</definedName>
    <definedName name="rrrrrrreeeeeee" localSheetId="18" hidden="1">#REF!</definedName>
    <definedName name="rrrrrrreeeeeee" localSheetId="21" hidden="1">#REF!</definedName>
    <definedName name="rrrrrrreeeeeee" hidden="1">#REF!</definedName>
    <definedName name="rrrrrrreeeeeeee" localSheetId="16" hidden="1">#REF!</definedName>
    <definedName name="rrrrrrreeeeeeee" localSheetId="18" hidden="1">#REF!</definedName>
    <definedName name="rrrrrrreeeeeeee" localSheetId="21" hidden="1">#REF!</definedName>
    <definedName name="rrrrrrreeeeeeee" hidden="1">#REF!</definedName>
    <definedName name="rrrrrrrre" localSheetId="16" hidden="1">#REF!</definedName>
    <definedName name="rrrrrrrre" localSheetId="18" hidden="1">#REF!</definedName>
    <definedName name="rrrrrrrre" localSheetId="21" hidden="1">#REF!</definedName>
    <definedName name="rrrrrrrre" hidden="1">#REF!</definedName>
    <definedName name="rrrrrrrree" localSheetId="16" hidden="1">#REF!</definedName>
    <definedName name="rrrrrrrree" localSheetId="18" hidden="1">#REF!</definedName>
    <definedName name="rrrrrrrree" localSheetId="21" hidden="1">#REF!</definedName>
    <definedName name="rrrrrrrree" hidden="1">#REF!</definedName>
    <definedName name="rrrrrrrreee" localSheetId="16" hidden="1">#REF!</definedName>
    <definedName name="rrrrrrrreee" localSheetId="18" hidden="1">#REF!</definedName>
    <definedName name="rrrrrrrreee" localSheetId="21" hidden="1">#REF!</definedName>
    <definedName name="rrrrrrrreee" hidden="1">#REF!</definedName>
    <definedName name="rrrrrrrreeee" localSheetId="16" hidden="1">#REF!</definedName>
    <definedName name="rrrrrrrreeee" localSheetId="18" hidden="1">#REF!</definedName>
    <definedName name="rrrrrrrreeee" localSheetId="21" hidden="1">#REF!</definedName>
    <definedName name="rrrrrrrreeee" hidden="1">#REF!</definedName>
    <definedName name="rrrrrrrreeeee" localSheetId="16" hidden="1">#REF!</definedName>
    <definedName name="rrrrrrrreeeee" localSheetId="18" hidden="1">#REF!</definedName>
    <definedName name="rrrrrrrreeeee" localSheetId="21" hidden="1">#REF!</definedName>
    <definedName name="rrrrrrrreeeee" hidden="1">#REF!</definedName>
    <definedName name="rrrrrrrreeeeee" localSheetId="16" hidden="1">#REF!</definedName>
    <definedName name="rrrrrrrreeeeee" localSheetId="18" hidden="1">#REF!</definedName>
    <definedName name="rrrrrrrreeeeee" localSheetId="21" hidden="1">#REF!</definedName>
    <definedName name="rrrrrrrreeeeee" hidden="1">#REF!</definedName>
    <definedName name="rrrrrrrreeeeeee" localSheetId="16" hidden="1">#REF!</definedName>
    <definedName name="rrrrrrrreeeeeee" localSheetId="18" hidden="1">#REF!</definedName>
    <definedName name="rrrrrrrreeeeeee" localSheetId="21" hidden="1">#REF!</definedName>
    <definedName name="rrrrrrrreeeeeee" hidden="1">#REF!</definedName>
    <definedName name="rrrrrrrreeeeeeee" localSheetId="16" hidden="1">#REF!</definedName>
    <definedName name="rrrrrrrreeeeeeee" localSheetId="18" hidden="1">#REF!</definedName>
    <definedName name="rrrrrrrreeeeeeee" localSheetId="21" hidden="1">#REF!</definedName>
    <definedName name="rrrrrrrreeeeeeee" hidden="1">#REF!</definedName>
    <definedName name="rtj" localSheetId="16" hidden="1">#REF!</definedName>
    <definedName name="rtj" localSheetId="18" hidden="1">#REF!</definedName>
    <definedName name="rtj" localSheetId="21" hidden="1">#REF!</definedName>
    <definedName name="rtj" hidden="1">#REF!</definedName>
    <definedName name="ryfgv" localSheetId="16" hidden="1">#REF!</definedName>
    <definedName name="ryfgv" localSheetId="18" hidden="1">#REF!</definedName>
    <definedName name="ryfgv" localSheetId="21" hidden="1">#REF!</definedName>
    <definedName name="ryfgv" hidden="1">#REF!</definedName>
    <definedName name="ryh" localSheetId="16" hidden="1">#REF!</definedName>
    <definedName name="ryh" localSheetId="18" hidden="1">#REF!</definedName>
    <definedName name="ryh" localSheetId="21" hidden="1">#REF!</definedName>
    <definedName name="ryh" hidden="1">#REF!</definedName>
    <definedName name="ryhtg" localSheetId="16" hidden="1">#REF!</definedName>
    <definedName name="ryhtg" localSheetId="18" hidden="1">#REF!</definedName>
    <definedName name="ryhtg" localSheetId="21" hidden="1">#REF!</definedName>
    <definedName name="ryhtg" hidden="1">#REF!</definedName>
    <definedName name="s" localSheetId="16" hidden="1">#REF!</definedName>
    <definedName name="s" localSheetId="18" hidden="1">#REF!</definedName>
    <definedName name="s" localSheetId="21" hidden="1">#REF!</definedName>
    <definedName name="ｓ" hidden="1">#REF!</definedName>
    <definedName name="t" localSheetId="16" hidden="1">#REF!</definedName>
    <definedName name="t" localSheetId="18" hidden="1">#REF!</definedName>
    <definedName name="t" localSheetId="21" hidden="1">#REF!</definedName>
    <definedName name="t" hidden="1">#REF!</definedName>
    <definedName name="th" localSheetId="16" hidden="1">#REF!</definedName>
    <definedName name="th" localSheetId="18" hidden="1">#REF!</definedName>
    <definedName name="th" localSheetId="21" hidden="1">#REF!</definedName>
    <definedName name="th" hidden="1">#REF!</definedName>
    <definedName name="tjh" localSheetId="16" hidden="1">#REF!</definedName>
    <definedName name="tjh" localSheetId="18" hidden="1">#REF!</definedName>
    <definedName name="tjh" localSheetId="21" hidden="1">#REF!</definedName>
    <definedName name="tjh" hidden="1">#REF!</definedName>
    <definedName name="tt" localSheetId="16" hidden="1">#REF!</definedName>
    <definedName name="tt" localSheetId="18" hidden="1">#REF!</definedName>
    <definedName name="tt" localSheetId="21" hidden="1">#REF!</definedName>
    <definedName name="tt" hidden="1">#REF!</definedName>
    <definedName name="ttr" localSheetId="16" hidden="1">#REF!</definedName>
    <definedName name="ttr" localSheetId="18" hidden="1">#REF!</definedName>
    <definedName name="ttr" localSheetId="21" hidden="1">#REF!</definedName>
    <definedName name="ttr" hidden="1">#REF!</definedName>
    <definedName name="ttrr" localSheetId="16" hidden="1">#REF!</definedName>
    <definedName name="ttrr" localSheetId="18" hidden="1">#REF!</definedName>
    <definedName name="ttrr" localSheetId="21" hidden="1">#REF!</definedName>
    <definedName name="ttrr" hidden="1">#REF!</definedName>
    <definedName name="ttrrr" localSheetId="16" hidden="1">#REF!</definedName>
    <definedName name="ttrrr" localSheetId="18" hidden="1">#REF!</definedName>
    <definedName name="ttrrr" localSheetId="21" hidden="1">#REF!</definedName>
    <definedName name="ttrrr" hidden="1">#REF!</definedName>
    <definedName name="ttt" localSheetId="16" hidden="1">#REF!</definedName>
    <definedName name="ttt" localSheetId="18" hidden="1">#REF!</definedName>
    <definedName name="ttt" localSheetId="21" hidden="1">#REF!</definedName>
    <definedName name="ttt" hidden="1">#REF!</definedName>
    <definedName name="tttr" localSheetId="16" hidden="1">#REF!</definedName>
    <definedName name="tttr" localSheetId="18" hidden="1">#REF!</definedName>
    <definedName name="tttr" localSheetId="21" hidden="1">#REF!</definedName>
    <definedName name="tttr" hidden="1">#REF!</definedName>
    <definedName name="tttt" localSheetId="16" hidden="1">#REF!</definedName>
    <definedName name="tttt" localSheetId="18" hidden="1">#REF!</definedName>
    <definedName name="tttt" localSheetId="21" hidden="1">#REF!</definedName>
    <definedName name="tttt" hidden="1">#REF!</definedName>
    <definedName name="ttttt" localSheetId="16" hidden="1">#REF!</definedName>
    <definedName name="ttttt" localSheetId="18" hidden="1">#REF!</definedName>
    <definedName name="ttttt" localSheetId="21" hidden="1">#REF!</definedName>
    <definedName name="ttttt" hidden="1">#REF!</definedName>
    <definedName name="tttttt" localSheetId="16" hidden="1">#REF!</definedName>
    <definedName name="tttttt" localSheetId="18" hidden="1">#REF!</definedName>
    <definedName name="tttttt" localSheetId="21" hidden="1">#REF!</definedName>
    <definedName name="tttttt" hidden="1">#REF!</definedName>
    <definedName name="ttttttt" localSheetId="16" hidden="1">#REF!</definedName>
    <definedName name="ttttttt" localSheetId="18" hidden="1">#REF!</definedName>
    <definedName name="ttttttt" localSheetId="21" hidden="1">#REF!</definedName>
    <definedName name="ttttttt" hidden="1">#REF!</definedName>
    <definedName name="tttttttt" localSheetId="16" hidden="1">#REF!</definedName>
    <definedName name="tttttttt" localSheetId="18" hidden="1">#REF!</definedName>
    <definedName name="tttttttt" localSheetId="21" hidden="1">#REF!</definedName>
    <definedName name="tttttttt" hidden="1">#REF!</definedName>
    <definedName name="ttttttttt" localSheetId="16" hidden="1">#REF!</definedName>
    <definedName name="ttttttttt" localSheetId="18" hidden="1">#REF!</definedName>
    <definedName name="ttttttttt" localSheetId="21" hidden="1">#REF!</definedName>
    <definedName name="ttttttttt" hidden="1">#REF!</definedName>
    <definedName name="ttttttttttt" localSheetId="16" hidden="1">#REF!</definedName>
    <definedName name="ttttttttttt" localSheetId="18" hidden="1">#REF!</definedName>
    <definedName name="ttttttttttt" localSheetId="21" hidden="1">#REF!</definedName>
    <definedName name="ttttttttttt" hidden="1">#REF!</definedName>
    <definedName name="tyuy" localSheetId="16" hidden="1">#REF!</definedName>
    <definedName name="tyuy" localSheetId="18" hidden="1">#REF!</definedName>
    <definedName name="tyuy" localSheetId="21" hidden="1">#REF!</definedName>
    <definedName name="tyuy" hidden="1">#REF!</definedName>
    <definedName name="u" localSheetId="16" hidden="1">#REF!</definedName>
    <definedName name="u" localSheetId="18" hidden="1">#REF!</definedName>
    <definedName name="u" localSheetId="21" hidden="1">#REF!</definedName>
    <definedName name="u" hidden="1">#REF!</definedName>
    <definedName name="uij" localSheetId="16" hidden="1">#REF!</definedName>
    <definedName name="uij" localSheetId="18" hidden="1">#REF!</definedName>
    <definedName name="uij" localSheetId="21" hidden="1">#REF!</definedName>
    <definedName name="uij" hidden="1">#REF!</definedName>
    <definedName name="uiouo" localSheetId="16" hidden="1">#REF!</definedName>
    <definedName name="uiouo" localSheetId="18" hidden="1">#REF!</definedName>
    <definedName name="uiouo" localSheetId="21" hidden="1">#REF!</definedName>
    <definedName name="uiouo" hidden="1">#REF!</definedName>
    <definedName name="uiuo" localSheetId="16" hidden="1">#REF!</definedName>
    <definedName name="uiuo" localSheetId="18" hidden="1">#REF!</definedName>
    <definedName name="uiuo" localSheetId="21" hidden="1">#REF!</definedName>
    <definedName name="uiuo" hidden="1">#REF!</definedName>
    <definedName name="ujhu" localSheetId="16" hidden="1">#REF!</definedName>
    <definedName name="ujhu" localSheetId="18" hidden="1">#REF!</definedName>
    <definedName name="ujhu" localSheetId="21" hidden="1">#REF!</definedName>
    <definedName name="ujhu" hidden="1">#REF!</definedName>
    <definedName name="uu" localSheetId="16" hidden="1">#REF!</definedName>
    <definedName name="uu" localSheetId="18" hidden="1">#REF!</definedName>
    <definedName name="uu" localSheetId="21" hidden="1">#REF!</definedName>
    <definedName name="uu" hidden="1">#REF!</definedName>
    <definedName name="uuii" localSheetId="16" hidden="1">#REF!</definedName>
    <definedName name="uuii" localSheetId="18" hidden="1">#REF!</definedName>
    <definedName name="uuii" localSheetId="21" hidden="1">#REF!</definedName>
    <definedName name="uuii" hidden="1">#REF!</definedName>
    <definedName name="uuu" localSheetId="16" hidden="1">#REF!</definedName>
    <definedName name="uuu" localSheetId="18" hidden="1">#REF!</definedName>
    <definedName name="uuu" localSheetId="21" hidden="1">#REF!</definedName>
    <definedName name="uuu" hidden="1">#REF!</definedName>
    <definedName name="uuuu" localSheetId="16" hidden="1">#REF!</definedName>
    <definedName name="uuuu" localSheetId="18" hidden="1">#REF!</definedName>
    <definedName name="uuuu" localSheetId="21" hidden="1">#REF!</definedName>
    <definedName name="uuuu" hidden="1">#REF!</definedName>
    <definedName name="uuuuu" localSheetId="16" hidden="1">#REF!</definedName>
    <definedName name="uuuuu" localSheetId="18" hidden="1">#REF!</definedName>
    <definedName name="uuuuu" localSheetId="21" hidden="1">#REF!</definedName>
    <definedName name="uuuuu" hidden="1">#REF!</definedName>
    <definedName name="uuuuuu" localSheetId="16" hidden="1">#REF!</definedName>
    <definedName name="uuuuuu" localSheetId="18" hidden="1">#REF!</definedName>
    <definedName name="uuuuuu" localSheetId="21" hidden="1">#REF!</definedName>
    <definedName name="uuuuuu" hidden="1">#REF!</definedName>
    <definedName name="uuuuuuu" localSheetId="16" hidden="1">#REF!</definedName>
    <definedName name="uuuuuuu" localSheetId="18" hidden="1">#REF!</definedName>
    <definedName name="uuuuuuu" localSheetId="21" hidden="1">#REF!</definedName>
    <definedName name="uuuuuuu" hidden="1">#REF!</definedName>
    <definedName name="uuuuuuuu" localSheetId="16" hidden="1">#REF!</definedName>
    <definedName name="uuuuuuuu" localSheetId="18" hidden="1">#REF!</definedName>
    <definedName name="uuuuuuuu" localSheetId="21" hidden="1">#REF!</definedName>
    <definedName name="uuuuuuuu" hidden="1">#REF!</definedName>
    <definedName name="uuuuuuuuu" localSheetId="16" hidden="1">#REF!</definedName>
    <definedName name="uuuuuuuuu" localSheetId="18" hidden="1">#REF!</definedName>
    <definedName name="uuuuuuuuu" localSheetId="21" hidden="1">#REF!</definedName>
    <definedName name="uuuuuuuuu" hidden="1">#REF!</definedName>
    <definedName name="uuuuuuuuuu" localSheetId="16" hidden="1">#REF!</definedName>
    <definedName name="uuuuuuuuuu" localSheetId="18" hidden="1">#REF!</definedName>
    <definedName name="uuuuuuuuuu" localSheetId="21" hidden="1">#REF!</definedName>
    <definedName name="uuuuuuuuuu" hidden="1">#REF!</definedName>
    <definedName name="uuuuuuuuuuu" localSheetId="16" hidden="1">#REF!</definedName>
    <definedName name="uuuuuuuuuuu" localSheetId="18" hidden="1">#REF!</definedName>
    <definedName name="uuuuuuuuuuu" localSheetId="21" hidden="1">#REF!</definedName>
    <definedName name="uuuuuuuuuuu" hidden="1">#REF!</definedName>
    <definedName name="uuyyi" localSheetId="16" hidden="1">#REF!</definedName>
    <definedName name="uuyyi" localSheetId="18" hidden="1">#REF!</definedName>
    <definedName name="uuyyi" localSheetId="21" hidden="1">#REF!</definedName>
    <definedName name="uuyyi" hidden="1">#REF!</definedName>
    <definedName name="uyjh" localSheetId="16" hidden="1">#REF!</definedName>
    <definedName name="uyjh" localSheetId="18" hidden="1">#REF!</definedName>
    <definedName name="uyjh" localSheetId="21" hidden="1">#REF!</definedName>
    <definedName name="uyjh" hidden="1">#REF!</definedName>
    <definedName name="uyjhu" localSheetId="16" hidden="1">#REF!</definedName>
    <definedName name="uyjhu" localSheetId="18" hidden="1">#REF!</definedName>
    <definedName name="uyjhu" localSheetId="21" hidden="1">#REF!</definedName>
    <definedName name="uyjhu" hidden="1">#REF!</definedName>
    <definedName name="ｗ" localSheetId="16" hidden="1">#REF!</definedName>
    <definedName name="ｗ" localSheetId="18" hidden="1">#REF!</definedName>
    <definedName name="ｗ" localSheetId="21" hidden="1">#REF!</definedName>
    <definedName name="ｗ" hidden="1">#REF!</definedName>
    <definedName name="wdwd" localSheetId="16" hidden="1">#REF!</definedName>
    <definedName name="wdwd" localSheetId="18" hidden="1">#REF!</definedName>
    <definedName name="wdwd" localSheetId="21" hidden="1">#REF!</definedName>
    <definedName name="wdwd" hidden="1">#REF!</definedName>
    <definedName name="ww" localSheetId="16" hidden="1">#REF!</definedName>
    <definedName name="ww" localSheetId="18" hidden="1">#REF!</definedName>
    <definedName name="ww" localSheetId="21" hidden="1">#REF!</definedName>
    <definedName name="ww" hidden="1">#REF!</definedName>
    <definedName name="www" localSheetId="16" hidden="1">#REF!</definedName>
    <definedName name="www" localSheetId="18" hidden="1">#REF!</definedName>
    <definedName name="www" localSheetId="21" hidden="1">#REF!</definedName>
    <definedName name="www" hidden="1">#REF!</definedName>
    <definedName name="wwww" localSheetId="16" hidden="1">#REF!</definedName>
    <definedName name="wwww" localSheetId="18" hidden="1">#REF!</definedName>
    <definedName name="wwww" localSheetId="21" hidden="1">#REF!</definedName>
    <definedName name="wwww" hidden="1">#REF!</definedName>
    <definedName name="wwwww" localSheetId="16" hidden="1">#REF!</definedName>
    <definedName name="wwwww" localSheetId="18" hidden="1">#REF!</definedName>
    <definedName name="wwwww" localSheetId="21" hidden="1">#REF!</definedName>
    <definedName name="wwwww" hidden="1">#REF!</definedName>
    <definedName name="wwwwww" localSheetId="16" hidden="1">#REF!</definedName>
    <definedName name="wwwwww" localSheetId="18" hidden="1">#REF!</definedName>
    <definedName name="wwwwww" localSheetId="21" hidden="1">#REF!</definedName>
    <definedName name="wwwwww" hidden="1">#REF!</definedName>
    <definedName name="wwwwwww" localSheetId="16" hidden="1">#REF!</definedName>
    <definedName name="wwwwwww" localSheetId="18" hidden="1">#REF!</definedName>
    <definedName name="wwwwwww" localSheetId="21" hidden="1">#REF!</definedName>
    <definedName name="wwwwwww" hidden="1">#REF!</definedName>
    <definedName name="wwwwwwww" localSheetId="16" hidden="1">#REF!</definedName>
    <definedName name="wwwwwwww" localSheetId="18" hidden="1">#REF!</definedName>
    <definedName name="wwwwwwww" localSheetId="21" hidden="1">#REF!</definedName>
    <definedName name="wwwwwwww" hidden="1">#REF!</definedName>
    <definedName name="wwwwwwwww" localSheetId="16" hidden="1">#REF!</definedName>
    <definedName name="wwwwwwwww" localSheetId="18" hidden="1">#REF!</definedName>
    <definedName name="wwwwwwwww" localSheetId="21" hidden="1">#REF!</definedName>
    <definedName name="wwwwwwwww" hidden="1">#REF!</definedName>
    <definedName name="wwwwwwwwww" localSheetId="16" hidden="1">#REF!</definedName>
    <definedName name="wwwwwwwwww" localSheetId="18" hidden="1">#REF!</definedName>
    <definedName name="wwwwwwwwww" localSheetId="21" hidden="1">#REF!</definedName>
    <definedName name="wwwwwwwwww" hidden="1">#REF!</definedName>
    <definedName name="y" localSheetId="16" hidden="1">#REF!</definedName>
    <definedName name="y" localSheetId="18" hidden="1">#REF!</definedName>
    <definedName name="y" localSheetId="21" hidden="1">#REF!</definedName>
    <definedName name="y" hidden="1">#REF!</definedName>
    <definedName name="yh" localSheetId="16" hidden="1">#REF!</definedName>
    <definedName name="yh" localSheetId="18" hidden="1">#REF!</definedName>
    <definedName name="yh" localSheetId="21" hidden="1">#REF!</definedName>
    <definedName name="yh" hidden="1">#REF!</definedName>
    <definedName name="yhh" localSheetId="16" hidden="1">#REF!</definedName>
    <definedName name="yhh" localSheetId="18" hidden="1">#REF!</definedName>
    <definedName name="yhh" localSheetId="21" hidden="1">#REF!</definedName>
    <definedName name="yhh" hidden="1">#REF!</definedName>
    <definedName name="yhy" localSheetId="16" hidden="1">#REF!</definedName>
    <definedName name="yhy" localSheetId="18" hidden="1">#REF!</definedName>
    <definedName name="yhy" localSheetId="21" hidden="1">#REF!</definedName>
    <definedName name="yhy" hidden="1">#REF!</definedName>
    <definedName name="yhyhy" localSheetId="16" hidden="1">#REF!</definedName>
    <definedName name="yhyhy" localSheetId="18" hidden="1">#REF!</definedName>
    <definedName name="yhyhy" localSheetId="21" hidden="1">#REF!</definedName>
    <definedName name="yhyhy" hidden="1">#REF!</definedName>
    <definedName name="yjhu" localSheetId="16" hidden="1">#REF!</definedName>
    <definedName name="yjhu" localSheetId="18" hidden="1">#REF!</definedName>
    <definedName name="yjhu" localSheetId="21" hidden="1">#REF!</definedName>
    <definedName name="yjhu" hidden="1">#REF!</definedName>
    <definedName name="yt" localSheetId="16" hidden="1">#REF!</definedName>
    <definedName name="yt" localSheetId="18" hidden="1">#REF!</definedName>
    <definedName name="yt" localSheetId="21" hidden="1">#REF!</definedName>
    <definedName name="yt" hidden="1">#REF!</definedName>
    <definedName name="yty" localSheetId="16" hidden="1">#REF!</definedName>
    <definedName name="yty" localSheetId="18" hidden="1">#REF!</definedName>
    <definedName name="yty" localSheetId="21" hidden="1">#REF!</definedName>
    <definedName name="yty" hidden="1">#REF!</definedName>
    <definedName name="ytyt" localSheetId="16" hidden="1">#REF!</definedName>
    <definedName name="ytyt" localSheetId="18" hidden="1">#REF!</definedName>
    <definedName name="ytyt" localSheetId="21" hidden="1">#REF!</definedName>
    <definedName name="ytyt" hidden="1">#REF!</definedName>
    <definedName name="yujj" localSheetId="16" hidden="1">#REF!</definedName>
    <definedName name="yujj" localSheetId="18" hidden="1">#REF!</definedName>
    <definedName name="yujj" localSheetId="21" hidden="1">#REF!</definedName>
    <definedName name="yujj" hidden="1">#REF!</definedName>
    <definedName name="yuyi" localSheetId="16" hidden="1">#REF!</definedName>
    <definedName name="yuyi" localSheetId="18" hidden="1">#REF!</definedName>
    <definedName name="yuyi" localSheetId="21" hidden="1">#REF!</definedName>
    <definedName name="yuyi" hidden="1">#REF!</definedName>
    <definedName name="yyy" localSheetId="16" hidden="1">#REF!</definedName>
    <definedName name="yyy" localSheetId="18" hidden="1">#REF!</definedName>
    <definedName name="yyy" localSheetId="21" hidden="1">#REF!</definedName>
    <definedName name="yyy" hidden="1">#REF!</definedName>
    <definedName name="yyyy" localSheetId="16" hidden="1">#REF!</definedName>
    <definedName name="yyyy" localSheetId="18" hidden="1">#REF!</definedName>
    <definedName name="yyyy" localSheetId="21" hidden="1">#REF!</definedName>
    <definedName name="yyyy" hidden="1">#REF!</definedName>
    <definedName name="yyyyy" localSheetId="16" hidden="1">#REF!</definedName>
    <definedName name="yyyyy" localSheetId="18" hidden="1">#REF!</definedName>
    <definedName name="yyyyy" localSheetId="21" hidden="1">#REF!</definedName>
    <definedName name="yyyyy" hidden="1">#REF!</definedName>
    <definedName name="yyyyyy" localSheetId="16" hidden="1">#REF!</definedName>
    <definedName name="yyyyyy" localSheetId="18" hidden="1">#REF!</definedName>
    <definedName name="yyyyyy" localSheetId="21" hidden="1">#REF!</definedName>
    <definedName name="yyyyyy" hidden="1">#REF!</definedName>
    <definedName name="yyyyyyy" localSheetId="16" hidden="1">#REF!</definedName>
    <definedName name="yyyyyyy" localSheetId="18" hidden="1">#REF!</definedName>
    <definedName name="yyyyyyy" localSheetId="21" hidden="1">#REF!</definedName>
    <definedName name="yyyyyyy" hidden="1">#REF!</definedName>
    <definedName name="yyyyyyyy" localSheetId="16" hidden="1">#REF!</definedName>
    <definedName name="yyyyyyyy" localSheetId="18" hidden="1">#REF!</definedName>
    <definedName name="yyyyyyyy" localSheetId="21" hidden="1">#REF!</definedName>
    <definedName name="yyyyyyyy" hidden="1">#REF!</definedName>
    <definedName name="yyyyyyyyy" localSheetId="16" hidden="1">#REF!</definedName>
    <definedName name="yyyyyyyyy" localSheetId="18" hidden="1">#REF!</definedName>
    <definedName name="yyyyyyyyy" localSheetId="21" hidden="1">#REF!</definedName>
    <definedName name="yyyyyyyyy" hidden="1">#REF!</definedName>
    <definedName name="yyyyyyyyyy" localSheetId="16" hidden="1">#REF!</definedName>
    <definedName name="yyyyyyyyyy" localSheetId="18" hidden="1">#REF!</definedName>
    <definedName name="yyyyyyyyyy" localSheetId="21" hidden="1">#REF!</definedName>
    <definedName name="yyyyyyyyyy" hidden="1">#REF!</definedName>
    <definedName name="あ" localSheetId="16" hidden="1">#REF!</definedName>
    <definedName name="あ" localSheetId="18" hidden="1">#REF!</definedName>
    <definedName name="あ" localSheetId="21" hidden="1">#REF!</definedName>
    <definedName name="あ" hidden="1">#REF!</definedName>
    <definedName name="ああ" localSheetId="16" hidden="1">#REF!</definedName>
    <definedName name="ああ" localSheetId="18" hidden="1">#REF!</definedName>
    <definedName name="ああ" localSheetId="21" hidden="1">#REF!</definedName>
    <definedName name="ああ" hidden="1">#REF!</definedName>
    <definedName name="い" localSheetId="16" hidden="1">#REF!</definedName>
    <definedName name="い" localSheetId="18" hidden="1">#REF!</definedName>
    <definedName name="い" localSheetId="21" hidden="1">#REF!</definedName>
    <definedName name="い" hidden="1">#REF!</definedName>
    <definedName name="いい" localSheetId="16" hidden="1">#REF!</definedName>
    <definedName name="いい" localSheetId="18" hidden="1">#REF!</definedName>
    <definedName name="いい" localSheetId="21" hidden="1">#REF!</definedName>
    <definedName name="いい" hidden="1">#REF!</definedName>
    <definedName name="いお" localSheetId="16" hidden="1">#REF!</definedName>
    <definedName name="いお" localSheetId="18" hidden="1">#REF!</definedName>
    <definedName name="いお" localSheetId="21" hidden="1">#REF!</definedName>
    <definedName name="いお" hidden="1">#REF!</definedName>
    <definedName name="う" localSheetId="16" hidden="1">#REF!</definedName>
    <definedName name="う" localSheetId="18" hidden="1">#REF!</definedName>
    <definedName name="う" localSheetId="21" hidden="1">#REF!</definedName>
    <definedName name="う" hidden="1">#REF!</definedName>
    <definedName name="え" localSheetId="16" hidden="1">#REF!</definedName>
    <definedName name="え" localSheetId="18" hidden="1">#REF!</definedName>
    <definedName name="え" localSheetId="21" hidden="1">#REF!</definedName>
    <definedName name="え" hidden="1">#REF!</definedName>
    <definedName name="ぉ" localSheetId="16" hidden="1">#REF!</definedName>
    <definedName name="ぉ" localSheetId="18" hidden="1">#REF!</definedName>
    <definedName name="ぉ" localSheetId="21" hidden="1">#REF!</definedName>
    <definedName name="ぉ" hidden="1">#REF!</definedName>
    <definedName name="お" localSheetId="16" hidden="1">#REF!</definedName>
    <definedName name="お" localSheetId="18" hidden="1">#REF!</definedName>
    <definedName name="お" localSheetId="21" hidden="1">#REF!</definedName>
    <definedName name="お" hidden="1">#REF!</definedName>
    <definedName name="か" localSheetId="16" hidden="1">#REF!</definedName>
    <definedName name="か" localSheetId="18" hidden="1">#REF!</definedName>
    <definedName name="か" localSheetId="21" hidden="1">#REF!</definedName>
    <definedName name="か" hidden="1">#REF!</definedName>
    <definedName name="さ" localSheetId="16" hidden="1">#REF!</definedName>
    <definedName name="さ" localSheetId="18" hidden="1">#REF!</definedName>
    <definedName name="さ" localSheetId="21" hidden="1">#REF!</definedName>
    <definedName name="さ" hidden="1">#REF!</definedName>
    <definedName name="し" localSheetId="16" hidden="1">#REF!</definedName>
    <definedName name="し" localSheetId="18" hidden="1">#REF!</definedName>
    <definedName name="し" localSheetId="21" hidden="1">#REF!</definedName>
    <definedName name="し" hidden="1">#REF!</definedName>
    <definedName name="じ" localSheetId="16" hidden="1">#REF!</definedName>
    <definedName name="じ" localSheetId="18" hidden="1">#REF!</definedName>
    <definedName name="じ" localSheetId="21" hidden="1">#REF!</definedName>
    <definedName name="じ" hidden="1">#REF!</definedName>
    <definedName name="す" localSheetId="16" hidden="1">#REF!</definedName>
    <definedName name="す" localSheetId="18" hidden="1">#REF!</definedName>
    <definedName name="す" localSheetId="21" hidden="1">#REF!</definedName>
    <definedName name="す" hidden="1">#REF!</definedName>
    <definedName name="せ" localSheetId="16" hidden="1">#REF!</definedName>
    <definedName name="せ" localSheetId="18" hidden="1">#REF!</definedName>
    <definedName name="せ" localSheetId="21" hidden="1">#REF!</definedName>
    <definedName name="せ" hidden="1">#REF!</definedName>
    <definedName name="そ" localSheetId="16" hidden="1">#REF!</definedName>
    <definedName name="そ" localSheetId="18" hidden="1">#REF!</definedName>
    <definedName name="そ" localSheetId="21" hidden="1">#REF!</definedName>
    <definedName name="そ" hidden="1">#REF!</definedName>
    <definedName name="た" localSheetId="16" hidden="1">#REF!</definedName>
    <definedName name="た" localSheetId="18" hidden="1">#REF!</definedName>
    <definedName name="た" localSheetId="21" hidden="1">#REF!</definedName>
    <definedName name="た" hidden="1">#REF!</definedName>
    <definedName name="ち" localSheetId="16" hidden="1">#REF!</definedName>
    <definedName name="ち" localSheetId="18" hidden="1">#REF!</definedName>
    <definedName name="ち" localSheetId="21" hidden="1">#REF!</definedName>
    <definedName name="ち" hidden="1">#REF!</definedName>
    <definedName name="つ" localSheetId="16" hidden="1">#REF!</definedName>
    <definedName name="つ" localSheetId="18" hidden="1">#REF!</definedName>
    <definedName name="つ" localSheetId="21" hidden="1">#REF!</definedName>
    <definedName name="つ" hidden="1">#REF!</definedName>
    <definedName name="て" localSheetId="16" hidden="1">#REF!</definedName>
    <definedName name="て" localSheetId="18" hidden="1">#REF!</definedName>
    <definedName name="て" localSheetId="21" hidden="1">#REF!</definedName>
    <definedName name="て" hidden="1">#REF!</definedName>
    <definedName name="ハローワーク来所日1" localSheetId="12">[1]開講スケジュール!$D$11</definedName>
    <definedName name="ハローワーク来所日1" localSheetId="13">[2]開講スケジュール!$D$11</definedName>
    <definedName name="ハローワーク来所日1" localSheetId="14">[3]開講スケジュール!$D$11</definedName>
    <definedName name="ハローワーク来所日1" localSheetId="15">[4]開講スケジュール!$D$11</definedName>
    <definedName name="ハローワーク来所日1" localSheetId="16">[10]開講スケジュール!$D$11</definedName>
    <definedName name="ハローワーク来所日1" localSheetId="17">[5]開講スケジュール!$D$11</definedName>
    <definedName name="ハローワーク来所日1" localSheetId="18">[6]開講スケジュール!$D$11</definedName>
    <definedName name="ハローワーク来所日1" localSheetId="19">[7]開講スケジュール!$D$11</definedName>
    <definedName name="ハローワーク来所日1" localSheetId="20">[8]開講スケジュール!$D$11</definedName>
    <definedName name="ハローワーク来所日1" localSheetId="21">[9]開講スケジュール!$D$11</definedName>
    <definedName name="ハローワーク来所日1">[11]開講スケジュール!$D$11</definedName>
    <definedName name="ハローワーク来所日2" localSheetId="12">[1]開講スケジュール!$D$12</definedName>
    <definedName name="ハローワーク来所日2" localSheetId="13">[2]開講スケジュール!$D$12</definedName>
    <definedName name="ハローワーク来所日2" localSheetId="14">[3]開講スケジュール!$D$12</definedName>
    <definedName name="ハローワーク来所日2" localSheetId="15">[4]開講スケジュール!$D$12</definedName>
    <definedName name="ハローワーク来所日2" localSheetId="16">[10]開講スケジュール!$D$12</definedName>
    <definedName name="ハローワーク来所日2" localSheetId="17">[5]開講スケジュール!$D$12</definedName>
    <definedName name="ハローワーク来所日2" localSheetId="18">[6]開講スケジュール!$D$12</definedName>
    <definedName name="ハローワーク来所日2" localSheetId="19">[7]開講スケジュール!$D$12</definedName>
    <definedName name="ハローワーク来所日2" localSheetId="20">[8]開講スケジュール!$D$12</definedName>
    <definedName name="ハローワーク来所日2" localSheetId="21">[9]開講スケジュール!$D$12</definedName>
    <definedName name="ハローワーク来所日2">[11]開講スケジュール!$D$12</definedName>
    <definedName name="ハローワーク来所日3" localSheetId="12">[1]開講スケジュール!$D$13</definedName>
    <definedName name="ハローワーク来所日3" localSheetId="13">[2]開講スケジュール!$D$13</definedName>
    <definedName name="ハローワーク来所日3" localSheetId="14">[3]開講スケジュール!$D$13</definedName>
    <definedName name="ハローワーク来所日3" localSheetId="15">[4]開講スケジュール!$D$13</definedName>
    <definedName name="ハローワーク来所日3" localSheetId="16">[10]開講スケジュール!$D$13</definedName>
    <definedName name="ハローワーク来所日3" localSheetId="17">[5]開講スケジュール!$D$13</definedName>
    <definedName name="ハローワーク来所日3" localSheetId="18">[6]開講スケジュール!$D$13</definedName>
    <definedName name="ハローワーク来所日3" localSheetId="19">[7]開講スケジュール!$D$13</definedName>
    <definedName name="ハローワーク来所日3" localSheetId="20">[8]開講スケジュール!$D$13</definedName>
    <definedName name="ハローワーク来所日3" localSheetId="21">[9]開講スケジュール!$D$13</definedName>
    <definedName name="ハローワーク来所日3">[11]開講スケジュール!$D$13</definedName>
    <definedName name="ハローワーク来所日4" localSheetId="12">[1]開講スケジュール!$D$14</definedName>
    <definedName name="ハローワーク来所日4" localSheetId="13">[2]開講スケジュール!$D$14</definedName>
    <definedName name="ハローワーク来所日4" localSheetId="14">[3]開講スケジュール!$D$14</definedName>
    <definedName name="ハローワーク来所日4" localSheetId="15">[4]開講スケジュール!$D$14</definedName>
    <definedName name="ハローワーク来所日4" localSheetId="16">[10]開講スケジュール!$D$14</definedName>
    <definedName name="ハローワーク来所日4" localSheetId="17">[5]開講スケジュール!$D$14</definedName>
    <definedName name="ハローワーク来所日4" localSheetId="18">[6]開講スケジュール!$D$14</definedName>
    <definedName name="ハローワーク来所日4" localSheetId="19">[7]開講スケジュール!$D$14</definedName>
    <definedName name="ハローワーク来所日4" localSheetId="20">[8]開講スケジュール!$D$14</definedName>
    <definedName name="ハローワーク来所日4" localSheetId="21">[9]開講スケジュール!$D$14</definedName>
    <definedName name="ハローワーク来所日4">[11]開講スケジュール!$D$14</definedName>
    <definedName name="ハローワーク来所日5" localSheetId="12">[1]開講スケジュール!$D$15</definedName>
    <definedName name="ハローワーク来所日5" localSheetId="13">[2]開講スケジュール!$D$15</definedName>
    <definedName name="ハローワーク来所日5" localSheetId="14">[3]開講スケジュール!$D$15</definedName>
    <definedName name="ハローワーク来所日5" localSheetId="15">[4]開講スケジュール!$D$15</definedName>
    <definedName name="ハローワーク来所日5" localSheetId="16">[10]開講スケジュール!$D$15</definedName>
    <definedName name="ハローワーク来所日5" localSheetId="17">[5]開講スケジュール!$D$15</definedName>
    <definedName name="ハローワーク来所日5" localSheetId="18">[6]開講スケジュール!$D$15</definedName>
    <definedName name="ハローワーク来所日5" localSheetId="19">[7]開講スケジュール!$D$15</definedName>
    <definedName name="ハローワーク来所日5" localSheetId="20">[8]開講スケジュール!$D$15</definedName>
    <definedName name="ハローワーク来所日5" localSheetId="21">[9]開講スケジュール!$D$15</definedName>
    <definedName name="ハローワーク来所日5">[11]開講スケジュール!$D$15</definedName>
    <definedName name="ハローワーク来所日パターン" localSheetId="12">[1]開講スケジュール!$H$10</definedName>
    <definedName name="ハローワーク来所日パターン" localSheetId="13">[2]開講スケジュール!$H$10</definedName>
    <definedName name="ハローワーク来所日パターン" localSheetId="14">[3]開講スケジュール!$H$10</definedName>
    <definedName name="ハローワーク来所日パターン" localSheetId="15">[4]開講スケジュール!$H$10</definedName>
    <definedName name="ハローワーク来所日パターン" localSheetId="16">[10]開講スケジュール!$H$10</definedName>
    <definedName name="ハローワーク来所日パターン" localSheetId="17">[5]開講スケジュール!$H$10</definedName>
    <definedName name="ハローワーク来所日パターン" localSheetId="18">[6]開講スケジュール!$H$10</definedName>
    <definedName name="ハローワーク来所日パターン" localSheetId="19">[7]開講スケジュール!$H$10</definedName>
    <definedName name="ハローワーク来所日パターン" localSheetId="20">[8]開講スケジュール!$H$10</definedName>
    <definedName name="ハローワーク来所日パターン" localSheetId="21">[9]開講スケジュール!$H$10</definedName>
    <definedName name="ハローワーク来所日パターン">[11]開講スケジュール!$H$10</definedName>
    <definedName name="一覧表新" localSheetId="16" hidden="1">#REF!</definedName>
    <definedName name="一覧表新" localSheetId="18" hidden="1">#REF!</definedName>
    <definedName name="一覧表新" localSheetId="21" hidden="1">#REF!</definedName>
    <definedName name="一覧表新" hidden="1">#REF!</definedName>
    <definedName name="科目リスト2" localSheetId="12">OFFSET([1]機構処理!$G$43,0,0,[1]機構処理!$B$130,1)</definedName>
    <definedName name="科目リスト2" localSheetId="13">OFFSET([2]機構処理!$G$43,0,0,[2]機構処理!$B$130,1)</definedName>
    <definedName name="科目リスト2" localSheetId="14">OFFSET([3]機構処理!$G$43,0,0,[3]機構処理!$B$130,1)</definedName>
    <definedName name="科目リスト2" localSheetId="15">OFFSET([4]機構処理!$G$43,0,0,[4]機構処理!$B$130,1)</definedName>
    <definedName name="科目リスト2" localSheetId="16">OFFSET([10]機構処理!$G$43,0,0,[10]機構処理!$B$130,1)</definedName>
    <definedName name="科目リスト2" localSheetId="17">OFFSET([5]機構処理!$G$43,0,0,[5]機構処理!$B$130,1)</definedName>
    <definedName name="科目リスト2" localSheetId="18">OFFSET([6]機構処理!$G$43,0,0,[6]機構処理!$B$130,1)</definedName>
    <definedName name="科目リスト2" localSheetId="19">OFFSET([7]機構処理!$G$43,0,0,[7]機構処理!$B$130,1)</definedName>
    <definedName name="科目リスト2" localSheetId="20">OFFSET([8]機構処理!$G$43,0,0,[8]機構処理!$B$130,1)</definedName>
    <definedName name="科目リスト2" localSheetId="21">OFFSET([9]機構処理!$G$43,0,0,[9]機構処理!$B$130,1)</definedName>
    <definedName name="科目リスト2">OFFSET([11]機構処理!$G$43,0,0,[11]機構処理!$B$130,1)</definedName>
    <definedName name="科目表" localSheetId="12">OFFSET([1]機構処理!$C$43,0,0,[1]機構処理!$C$130,1)</definedName>
    <definedName name="科目表" localSheetId="13">OFFSET([2]機構処理!$C$43,0,0,[2]機構処理!$C$130,1)</definedName>
    <definedName name="科目表" localSheetId="14">OFFSET([3]機構処理!$C$43,0,0,[3]機構処理!$C$130,1)</definedName>
    <definedName name="科目表" localSheetId="15">OFFSET([4]機構処理!$C$43,0,0,[4]機構処理!$C$130,1)</definedName>
    <definedName name="科目表" localSheetId="16">OFFSET([10]機構処理!$C$43,0,0,[10]機構処理!$C$130,1)</definedName>
    <definedName name="科目表" localSheetId="17">OFFSET([5]機構処理!$C$43,0,0,[5]機構処理!$C$130,1)</definedName>
    <definedName name="科目表" localSheetId="18">OFFSET([6]機構処理!$C$43,0,0,[6]機構処理!$C$130,1)</definedName>
    <definedName name="科目表" localSheetId="19">OFFSET([7]機構処理!$C$43,0,0,[7]機構処理!$C$130,1)</definedName>
    <definedName name="科目表" localSheetId="20">OFFSET([8]機構処理!$C$43,0,0,[8]機構処理!$C$130,1)</definedName>
    <definedName name="科目表" localSheetId="21">OFFSET([9]機構処理!$C$43,0,0,[9]機構処理!$C$130,1)</definedName>
    <definedName name="科目表">OFFSET([11]機構処理!$C$43,0,0,[11]機構処理!$C$130,1)</definedName>
    <definedName name="科目名" localSheetId="12">[12]様式5!#REF!</definedName>
    <definedName name="科目名" localSheetId="13">[12]様式5!#REF!</definedName>
    <definedName name="科目名" localSheetId="14">[12]様式5!#REF!</definedName>
    <definedName name="科目名" localSheetId="16">[12]様式5!#REF!</definedName>
    <definedName name="科目名" localSheetId="17">[12]様式5!#REF!</definedName>
    <definedName name="科目名" localSheetId="18">[12]様式5!#REF!</definedName>
    <definedName name="科目名" localSheetId="19">[12]様式5!#REF!</definedName>
    <definedName name="科目名" localSheetId="20">[12]様式5!#REF!</definedName>
    <definedName name="科目名" localSheetId="21">[13]様式5!#REF!</definedName>
    <definedName name="科目名">[14]様式5!#REF!</definedName>
    <definedName name="課目" localSheetId="12">[12]様式5!#REF!</definedName>
    <definedName name="課目" localSheetId="13">[12]様式5!#REF!</definedName>
    <definedName name="課目" localSheetId="14">[12]様式5!#REF!</definedName>
    <definedName name="課目" localSheetId="16">[12]様式5!#REF!</definedName>
    <definedName name="課目" localSheetId="17">[12]様式5!#REF!</definedName>
    <definedName name="課目" localSheetId="18">[12]様式5!#REF!</definedName>
    <definedName name="課目" localSheetId="19">[12]様式5!#REF!</definedName>
    <definedName name="課目" localSheetId="20">[12]様式5!#REF!</definedName>
    <definedName name="課目" localSheetId="21">[13]様式5!#REF!</definedName>
    <definedName name="課目">[14]様式5!#REF!</definedName>
    <definedName name="開講予定日" localSheetId="12">[1]開講スケジュール!$B$20:$B$67</definedName>
    <definedName name="開講予定日" localSheetId="13">[2]開講スケジュール!$B$20:$B$67</definedName>
    <definedName name="開講予定日" localSheetId="14">[3]開講スケジュール!$B$20:$B$67</definedName>
    <definedName name="開講予定日" localSheetId="15">[4]開講スケジュール!$B$20:$B$67</definedName>
    <definedName name="開講予定日" localSheetId="16">[10]開講スケジュール!$B$20:$B$67</definedName>
    <definedName name="開講予定日" localSheetId="17">[5]開講スケジュール!$B$20:$B$67</definedName>
    <definedName name="開講予定日" localSheetId="18">[6]開講スケジュール!$B$20:$B$67</definedName>
    <definedName name="開講予定日" localSheetId="19">[7]開講スケジュール!$B$20:$B$67</definedName>
    <definedName name="開講予定日" localSheetId="20">[8]開講スケジュール!$B$20:$B$67</definedName>
    <definedName name="開講予定日" localSheetId="21">[9]開講スケジュール!$B$20:$B$67</definedName>
    <definedName name="開講予定日">[11]開講スケジュール!$B$20:$B$67</definedName>
    <definedName name="学科" localSheetId="12">OFFSET([1]機構処理!$O$172,0,0,[1]機構処理!$N$204-[1]機構処理!$N$175+1,1)</definedName>
    <definedName name="学科" localSheetId="13">OFFSET([2]機構処理!$O$172,0,0,[2]機構処理!$N$204-[2]機構処理!$N$175+1,1)</definedName>
    <definedName name="学科" localSheetId="14">OFFSET([3]機構処理!$O$172,0,0,[3]機構処理!$N$204-[3]機構処理!$N$175+1,1)</definedName>
    <definedName name="学科" localSheetId="15">OFFSET([4]機構処理!$O$172,0,0,[4]機構処理!$N$204-[4]機構処理!$N$175+1,1)</definedName>
    <definedName name="学科" localSheetId="16">OFFSET([10]機構処理!$O$172,0,0,[10]機構処理!$N$204-[10]機構処理!$N$175+1,1)</definedName>
    <definedName name="学科" localSheetId="17">OFFSET([5]機構処理!$O$172,0,0,[5]機構処理!$N$204-[5]機構処理!$N$175+1,1)</definedName>
    <definedName name="学科" localSheetId="18">OFFSET([6]機構処理!$O$172,0,0,[6]機構処理!$N$204-[6]機構処理!$N$175+1,1)</definedName>
    <definedName name="学科" localSheetId="19">OFFSET([7]機構処理!$O$172,0,0,[7]機構処理!$N$204-[7]機構処理!$N$175+1,1)</definedName>
    <definedName name="学科" localSheetId="20">OFFSET([8]機構処理!$O$172,0,0,[8]機構処理!$N$204-[8]機構処理!$N$175+1,1)</definedName>
    <definedName name="学科" localSheetId="21">OFFSET([9]機構処理!$O$172,0,0,[9]機構処理!$N$204-[9]機構処理!$N$175+1,1)</definedName>
    <definedName name="学科">OFFSET([11]機構処理!$O$172,0,0,[11]機構処理!$N$204-[11]機構処理!$N$175+1,1)</definedName>
    <definedName name="企業実習時間" localSheetId="12">[1]機構処理!$G$38</definedName>
    <definedName name="企業実習時間" localSheetId="13">[2]機構処理!$G$38</definedName>
    <definedName name="企業実習時間" localSheetId="14">[3]機構処理!$G$38</definedName>
    <definedName name="企業実習時間" localSheetId="15">[4]機構処理!$G$38</definedName>
    <definedName name="企業実習時間" localSheetId="16">[10]機構処理!$G$38</definedName>
    <definedName name="企業実習時間" localSheetId="17">[5]機構処理!$G$38</definedName>
    <definedName name="企業実習時間" localSheetId="18">[6]機構処理!$G$38</definedName>
    <definedName name="企業実習時間" localSheetId="19">[7]機構処理!$G$38</definedName>
    <definedName name="企業実習時間" localSheetId="20">[8]機構処理!$G$38</definedName>
    <definedName name="企業実習時間" localSheetId="21">[9]機構処理!$G$38</definedName>
    <definedName name="企業実習時間">[11]機構処理!$G$38</definedName>
    <definedName name="企業実習有無" localSheetId="12">[1]機構処理!$G$37</definedName>
    <definedName name="企業実習有無" localSheetId="13">[2]機構処理!$G$37</definedName>
    <definedName name="企業実習有無" localSheetId="14">[3]機構処理!$G$37</definedName>
    <definedName name="企業実習有無" localSheetId="15">[4]機構処理!$G$37</definedName>
    <definedName name="企業実習有無" localSheetId="16">[10]機構処理!$G$37</definedName>
    <definedName name="企業実習有無" localSheetId="17">[5]機構処理!$G$37</definedName>
    <definedName name="企業実習有無" localSheetId="18">[6]機構処理!$G$37</definedName>
    <definedName name="企業実習有無" localSheetId="19">[7]機構処理!$G$37</definedName>
    <definedName name="企業実習有無" localSheetId="20">[8]機構処理!$G$37</definedName>
    <definedName name="企業実習有無" localSheetId="21">[9]機構処理!$G$37</definedName>
    <definedName name="企業実習有無">[11]機構処理!$G$37</definedName>
    <definedName name="訓練コース" localSheetId="12">[1]機構処理!$J$35:$J$36</definedName>
    <definedName name="訓練コース" localSheetId="13">[2]機構処理!$J$35:$J$36</definedName>
    <definedName name="訓練コース" localSheetId="14">[3]機構処理!$J$35:$J$36</definedName>
    <definedName name="訓練コース" localSheetId="15">[4]機構処理!$J$35:$J$36</definedName>
    <definedName name="訓練コース" localSheetId="16">[10]機構処理!$J$35:$J$36</definedName>
    <definedName name="訓練コース" localSheetId="17">[5]機構処理!$J$35:$J$36</definedName>
    <definedName name="訓練コース" localSheetId="18">[6]機構処理!$J$35:$J$36</definedName>
    <definedName name="訓練コース" localSheetId="19">[7]機構処理!$J$35:$J$36</definedName>
    <definedName name="訓練コース" localSheetId="20">[8]機構処理!$J$35:$J$36</definedName>
    <definedName name="訓練コース" localSheetId="21">[9]機構処理!$J$35:$J$36</definedName>
    <definedName name="訓練コース">[11]機構処理!$J$35:$J$36</definedName>
    <definedName name="訓練コース名" localSheetId="12">[1]機構処理!$D$24</definedName>
    <definedName name="訓練コース名" localSheetId="13">[2]機構処理!$D$24</definedName>
    <definedName name="訓練コース名" localSheetId="14">[3]機構処理!$D$24</definedName>
    <definedName name="訓練コース名" localSheetId="15">[4]機構処理!$D$24</definedName>
    <definedName name="訓練コース名" localSheetId="16">[10]機構処理!$D$24</definedName>
    <definedName name="訓練コース名" localSheetId="17">[5]機構処理!$D$24</definedName>
    <definedName name="訓練コース名" localSheetId="18">[6]機構処理!$D$24</definedName>
    <definedName name="訓練コース名" localSheetId="19">[7]機構処理!$D$24</definedName>
    <definedName name="訓練コース名" localSheetId="20">[8]機構処理!$D$24</definedName>
    <definedName name="訓練コース名" localSheetId="21">[9]機構処理!$D$24</definedName>
    <definedName name="訓練コース名">[11]機構処理!$D$24</definedName>
    <definedName name="訓練科名" localSheetId="12">[1]機構処理!$D$26</definedName>
    <definedName name="訓練科名" localSheetId="13">[2]機構処理!$D$26</definedName>
    <definedName name="訓練科名" localSheetId="14">[3]機構処理!$D$26</definedName>
    <definedName name="訓練科名" localSheetId="15">[4]機構処理!$D$26</definedName>
    <definedName name="訓練科名" localSheetId="16">[10]機構処理!$D$26</definedName>
    <definedName name="訓練科名" localSheetId="17">[5]機構処理!$D$26</definedName>
    <definedName name="訓練科名" localSheetId="18">[6]機構処理!$D$26</definedName>
    <definedName name="訓練科名" localSheetId="19">[7]機構処理!$D$26</definedName>
    <definedName name="訓練科名" localSheetId="20">[8]機構処理!$D$26</definedName>
    <definedName name="訓練科名" localSheetId="21">[9]機構処理!$D$26</definedName>
    <definedName name="訓練科名">[11]機構処理!$D$26</definedName>
    <definedName name="訓練開始時刻" localSheetId="12">[1]機構処理!$D$31</definedName>
    <definedName name="訓練開始時刻" localSheetId="13">[2]機構処理!$D$31</definedName>
    <definedName name="訓練開始時刻" localSheetId="14">[3]機構処理!$D$31</definedName>
    <definedName name="訓練開始時刻" localSheetId="15">[4]機構処理!$D$31</definedName>
    <definedName name="訓練開始時刻" localSheetId="16">[10]機構処理!$D$31</definedName>
    <definedName name="訓練開始時刻" localSheetId="17">[5]機構処理!$D$31</definedName>
    <definedName name="訓練開始時刻" localSheetId="18">[6]機構処理!$D$31</definedName>
    <definedName name="訓練開始時刻" localSheetId="19">[7]機構処理!$D$31</definedName>
    <definedName name="訓練開始時刻" localSheetId="20">[8]機構処理!$D$31</definedName>
    <definedName name="訓練開始時刻" localSheetId="21">[9]機構処理!$D$31</definedName>
    <definedName name="訓練開始時刻">[11]機構処理!$D$31</definedName>
    <definedName name="訓練開始日" localSheetId="12">[1]機構処理!$D$27</definedName>
    <definedName name="訓練開始日" localSheetId="13">[2]機構処理!$D$27</definedName>
    <definedName name="訓練開始日" localSheetId="14">[3]機構処理!$D$27</definedName>
    <definedName name="訓練開始日" localSheetId="15">[4]機構処理!$D$27</definedName>
    <definedName name="訓練開始日" localSheetId="16">[10]機構処理!$D$27</definedName>
    <definedName name="訓練開始日" localSheetId="17">[5]機構処理!$D$27</definedName>
    <definedName name="訓練開始日" localSheetId="18">[6]機構処理!$D$27</definedName>
    <definedName name="訓練開始日" localSheetId="19">[7]機構処理!$D$27</definedName>
    <definedName name="訓練開始日" localSheetId="20">[8]機構処理!$D$27</definedName>
    <definedName name="訓練開始日" localSheetId="21">[9]機構処理!$D$27</definedName>
    <definedName name="訓練開始日">[11]機構処理!$D$27</definedName>
    <definedName name="訓練概要" localSheetId="12">[1]機構処理!$D$34</definedName>
    <definedName name="訓練概要" localSheetId="13">[2]機構処理!$D$34</definedName>
    <definedName name="訓練概要" localSheetId="14">[3]機構処理!$D$34</definedName>
    <definedName name="訓練概要" localSheetId="15">[4]機構処理!$D$34</definedName>
    <definedName name="訓練概要" localSheetId="16">[10]機構処理!$D$34</definedName>
    <definedName name="訓練概要" localSheetId="17">[5]機構処理!$D$34</definedName>
    <definedName name="訓練概要" localSheetId="18">[6]機構処理!$D$34</definedName>
    <definedName name="訓練概要" localSheetId="19">[7]機構処理!$D$34</definedName>
    <definedName name="訓練概要" localSheetId="20">[8]機構処理!$D$34</definedName>
    <definedName name="訓練概要" localSheetId="21">[9]機構処理!$D$34</definedName>
    <definedName name="訓練概要">[11]機構処理!$D$34</definedName>
    <definedName name="訓練月数" localSheetId="12">[1]機構処理!$D$29</definedName>
    <definedName name="訓練月数" localSheetId="13">[2]機構処理!$D$29</definedName>
    <definedName name="訓練月数" localSheetId="14">[3]機構処理!$D$29</definedName>
    <definedName name="訓練月数" localSheetId="15">[4]機構処理!$D$29</definedName>
    <definedName name="訓練月数" localSheetId="16">[10]機構処理!$D$29</definedName>
    <definedName name="訓練月数" localSheetId="17">[5]機構処理!$D$29</definedName>
    <definedName name="訓練月数" localSheetId="18">[6]機構処理!$D$29</definedName>
    <definedName name="訓練月数" localSheetId="19">[7]機構処理!$D$29</definedName>
    <definedName name="訓練月数" localSheetId="20">[8]機構処理!$D$29</definedName>
    <definedName name="訓練月数" localSheetId="21">[9]機構処理!$D$29</definedName>
    <definedName name="訓練月数">[11]機構処理!$D$29</definedName>
    <definedName name="訓練時間合計" localSheetId="12">[1]機構処理!$BF$62</definedName>
    <definedName name="訓練時間合計" localSheetId="13">[2]機構処理!$BF$62</definedName>
    <definedName name="訓練時間合計" localSheetId="14">[3]機構処理!$BF$62</definedName>
    <definedName name="訓練時間合計" localSheetId="15">[4]機構処理!$BF$62</definedName>
    <definedName name="訓練時間合計" localSheetId="16">[10]機構処理!$BF$62</definedName>
    <definedName name="訓練時間合計" localSheetId="17">[5]機構処理!$BF$62</definedName>
    <definedName name="訓練時間合計" localSheetId="18">[6]機構処理!$BF$62</definedName>
    <definedName name="訓練時間合計" localSheetId="19">[7]機構処理!$BF$62</definedName>
    <definedName name="訓練時間合計" localSheetId="20">[8]機構処理!$BF$62</definedName>
    <definedName name="訓練時間合計" localSheetId="21">[9]機構処理!$BF$62</definedName>
    <definedName name="訓練時間合計">[11]機構処理!$BF$62</definedName>
    <definedName name="訓練時間総合計_基">[15]様式5基!$H$124</definedName>
    <definedName name="訓練時間総合計_実">[15]様式5実!$H$124</definedName>
    <definedName name="訓練実施施設TEL" localSheetId="12">[1]機構処理!$D$21</definedName>
    <definedName name="訓練実施施設TEL" localSheetId="13">[2]機構処理!$D$21</definedName>
    <definedName name="訓練実施施設TEL" localSheetId="14">[3]機構処理!$D$21</definedName>
    <definedName name="訓練実施施設TEL" localSheetId="15">[4]機構処理!$D$21</definedName>
    <definedName name="訓練実施施設TEL" localSheetId="16">[10]機構処理!$D$21</definedName>
    <definedName name="訓練実施施設TEL" localSheetId="18">[6]機構処理!$D$21</definedName>
    <definedName name="訓練実施施設TEL" localSheetId="19">[7]機構処理!$D$21</definedName>
    <definedName name="訓練実施施設TEL" localSheetId="20">[8]機構処理!$D$21</definedName>
    <definedName name="訓練実施施設TEL" localSheetId="21">[9]機構処理!$D$21</definedName>
    <definedName name="訓練実施施設TEL">[11]機構処理!$D$21</definedName>
    <definedName name="訓練実施施設建物名" localSheetId="12">[1]機構処理!$D$20</definedName>
    <definedName name="訓練実施施設建物名" localSheetId="13">[2]機構処理!$D$20</definedName>
    <definedName name="訓練実施施設建物名" localSheetId="14">[3]機構処理!$D$20</definedName>
    <definedName name="訓練実施施設建物名" localSheetId="15">[4]機構処理!$D$20</definedName>
    <definedName name="訓練実施施設建物名" localSheetId="16">[10]機構処理!$D$20</definedName>
    <definedName name="訓練実施施設建物名" localSheetId="17">[5]機構処理!$D$20</definedName>
    <definedName name="訓練実施施設建物名" localSheetId="18">[6]機構処理!$D$20</definedName>
    <definedName name="訓練実施施設建物名" localSheetId="19">[7]機構処理!$D$20</definedName>
    <definedName name="訓練実施施設建物名" localSheetId="20">[8]機構処理!$D$20</definedName>
    <definedName name="訓練実施施設建物名" localSheetId="21">[9]機構処理!$D$20</definedName>
    <definedName name="訓練実施施設建物名">[11]機構処理!$D$20</definedName>
    <definedName name="訓練実施施設住所" localSheetId="12">[1]機構処理!$D$19</definedName>
    <definedName name="訓練実施施設住所" localSheetId="13">[2]機構処理!$D$19</definedName>
    <definedName name="訓練実施施設住所" localSheetId="14">[3]機構処理!$D$19</definedName>
    <definedName name="訓練実施施設住所" localSheetId="15">[4]機構処理!$D$19</definedName>
    <definedName name="訓練実施施設住所" localSheetId="16">[10]機構処理!$D$19</definedName>
    <definedName name="訓練実施施設住所" localSheetId="17">[5]機構処理!$D$19</definedName>
    <definedName name="訓練実施施設住所" localSheetId="18">[6]機構処理!$D$19</definedName>
    <definedName name="訓練実施施設住所" localSheetId="19">[7]機構処理!$D$19</definedName>
    <definedName name="訓練実施施設住所" localSheetId="20">[8]機構処理!$D$19</definedName>
    <definedName name="訓練実施施設住所" localSheetId="21">[9]機構処理!$D$19</definedName>
    <definedName name="訓練実施施設住所">[11]機構処理!$D$19</definedName>
    <definedName name="訓練実施施設名" localSheetId="12">[1]機構処理!$D$17</definedName>
    <definedName name="訓練実施施設名" localSheetId="13">[2]機構処理!$D$17</definedName>
    <definedName name="訓練実施施設名" localSheetId="14">[3]機構処理!$D$17</definedName>
    <definedName name="訓練実施施設名" localSheetId="15">[4]機構処理!$D$17</definedName>
    <definedName name="訓練実施施設名" localSheetId="16">[10]機構処理!$D$17</definedName>
    <definedName name="訓練実施施設名" localSheetId="17">[5]機構処理!$D$17</definedName>
    <definedName name="訓練実施施設名" localSheetId="18">[6]機構処理!$D$17</definedName>
    <definedName name="訓練実施施設名" localSheetId="19">[7]機構処理!$D$17</definedName>
    <definedName name="訓練実施施設名" localSheetId="20">[8]機構処理!$D$17</definedName>
    <definedName name="訓練実施施設名" localSheetId="21">[9]機構処理!$D$17</definedName>
    <definedName name="訓練実施施設名">[11]機構処理!$D$17</definedName>
    <definedName name="訓練実施施設郵便番号" localSheetId="12">[1]機構処理!$D$18</definedName>
    <definedName name="訓練実施施設郵便番号" localSheetId="13">[2]機構処理!$D$18</definedName>
    <definedName name="訓練実施施設郵便番号" localSheetId="14">[3]機構処理!$D$18</definedName>
    <definedName name="訓練実施施設郵便番号" localSheetId="15">[4]機構処理!$D$18</definedName>
    <definedName name="訓練実施施設郵便番号" localSheetId="16">[10]機構処理!$D$18</definedName>
    <definedName name="訓練実施施設郵便番号" localSheetId="17">[5]機構処理!$D$18</definedName>
    <definedName name="訓練実施施設郵便番号" localSheetId="18">[6]機構処理!$D$18</definedName>
    <definedName name="訓練実施施設郵便番号" localSheetId="19">[7]機構処理!$D$18</definedName>
    <definedName name="訓練実施施設郵便番号" localSheetId="20">[8]機構処理!$D$18</definedName>
    <definedName name="訓練実施施設郵便番号" localSheetId="21">[9]機構処理!$D$18</definedName>
    <definedName name="訓練実施施設郵便番号">[11]機構処理!$D$18</definedName>
    <definedName name="訓練種別CD" localSheetId="12">[1]機構処理!$I$35:$L$36</definedName>
    <definedName name="訓練種別CD" localSheetId="13">[2]機構処理!$I$35:$L$36</definedName>
    <definedName name="訓練種別CD" localSheetId="14">[3]機構処理!$I$35:$L$36</definedName>
    <definedName name="訓練種別CD" localSheetId="15">[4]機構処理!$I$35:$L$36</definedName>
    <definedName name="訓練種別CD" localSheetId="16">[10]機構処理!$I$35:$L$36</definedName>
    <definedName name="訓練種別CD" localSheetId="17">[5]機構処理!$I$35:$L$36</definedName>
    <definedName name="訓練種別CD" localSheetId="18">[6]機構処理!$I$35:$L$36</definedName>
    <definedName name="訓練種別CD" localSheetId="19">[7]機構処理!$I$35:$L$36</definedName>
    <definedName name="訓練種別CD" localSheetId="20">[8]機構処理!$I$35:$L$36</definedName>
    <definedName name="訓練種別CD" localSheetId="21">[9]機構処理!$I$35:$L$36</definedName>
    <definedName name="訓練種別CD">[11]機構処理!$I$35:$L$36</definedName>
    <definedName name="訓練種別コード" localSheetId="12">[1]機構処理!$G$24</definedName>
    <definedName name="訓練種別コード" localSheetId="13">[2]機構処理!$G$24</definedName>
    <definedName name="訓練種別コード" localSheetId="14">[3]機構処理!$G$24</definedName>
    <definedName name="訓練種別コード" localSheetId="15">[4]機構処理!$G$24</definedName>
    <definedName name="訓練種別コード" localSheetId="16">[10]機構処理!$G$24</definedName>
    <definedName name="訓練種別コード" localSheetId="17">[5]機構処理!$G$24</definedName>
    <definedName name="訓練種別コード" localSheetId="18">[6]機構処理!$G$24</definedName>
    <definedName name="訓練種別コード" localSheetId="19">[7]機構処理!$G$24</definedName>
    <definedName name="訓練種別コード" localSheetId="20">[8]機構処理!$G$24</definedName>
    <definedName name="訓練種別コード" localSheetId="21">[9]機構処理!$G$24</definedName>
    <definedName name="訓練種別コード">[11]機構処理!$G$24</definedName>
    <definedName name="訓練種別分類" localSheetId="12">[1]機構処理!$O$35:$O$54</definedName>
    <definedName name="訓練種別分類" localSheetId="13">[2]機構処理!$O$35:$O$54</definedName>
    <definedName name="訓練種別分類" localSheetId="14">[3]機構処理!$O$35:$O$54</definedName>
    <definedName name="訓練種別分類" localSheetId="15">[4]機構処理!$O$35:$O$54</definedName>
    <definedName name="訓練種別分類" localSheetId="16">[10]機構処理!$O$35:$O$54</definedName>
    <definedName name="訓練種別分類" localSheetId="17">[5]機構処理!$O$35:$O$54</definedName>
    <definedName name="訓練種別分類" localSheetId="18">[6]機構処理!$O$35:$O$54</definedName>
    <definedName name="訓練種別分類" localSheetId="19">[7]機構処理!$O$35:$O$54</definedName>
    <definedName name="訓練種別分類" localSheetId="20">[8]機構処理!$O$35:$O$54</definedName>
    <definedName name="訓練種別分類" localSheetId="21">[9]機構処理!$O$35:$O$54</definedName>
    <definedName name="訓練種別分類">[11]機構処理!$O$35:$O$54</definedName>
    <definedName name="訓練終了時刻" localSheetId="12">[1]機構処理!$D$32</definedName>
    <definedName name="訓練終了時刻" localSheetId="13">[2]機構処理!$D$32</definedName>
    <definedName name="訓練終了時刻" localSheetId="14">[3]機構処理!$D$32</definedName>
    <definedName name="訓練終了時刻" localSheetId="15">[4]機構処理!$D$32</definedName>
    <definedName name="訓練終了時刻" localSheetId="16">[10]機構処理!$D$32</definedName>
    <definedName name="訓練終了時刻" localSheetId="17">[5]機構処理!$D$32</definedName>
    <definedName name="訓練終了時刻" localSheetId="18">[6]機構処理!$D$32</definedName>
    <definedName name="訓練終了時刻" localSheetId="19">[7]機構処理!$D$32</definedName>
    <definedName name="訓練終了時刻" localSheetId="20">[8]機構処理!$D$32</definedName>
    <definedName name="訓練終了時刻" localSheetId="21">[9]機構処理!$D$32</definedName>
    <definedName name="訓練終了時刻">[11]機構処理!$D$32</definedName>
    <definedName name="訓練終了日" localSheetId="12">[1]機構処理!$D$28</definedName>
    <definedName name="訓練終了日" localSheetId="13">[2]機構処理!$D$28</definedName>
    <definedName name="訓練終了日" localSheetId="14">[3]機構処理!$D$28</definedName>
    <definedName name="訓練終了日" localSheetId="15">[4]機構処理!$D$28</definedName>
    <definedName name="訓練終了日" localSheetId="16">[10]機構処理!$D$28</definedName>
    <definedName name="訓練終了日" localSheetId="17">[5]機構処理!$D$28</definedName>
    <definedName name="訓練終了日" localSheetId="18">[6]機構処理!$D$28</definedName>
    <definedName name="訓練終了日" localSheetId="19">[7]機構処理!$D$28</definedName>
    <definedName name="訓練終了日" localSheetId="20">[8]機構処理!$D$28</definedName>
    <definedName name="訓練終了日" localSheetId="21">[9]機構処理!$D$28</definedName>
    <definedName name="訓練終了日">[11]機構処理!$D$28</definedName>
    <definedName name="訓練総時間" localSheetId="12">[1]機構処理!$D$36</definedName>
    <definedName name="訓練総時間" localSheetId="13">[2]機構処理!$D$36</definedName>
    <definedName name="訓練総時間" localSheetId="14">[3]機構処理!$D$36</definedName>
    <definedName name="訓練総時間" localSheetId="15">[4]機構処理!$D$36</definedName>
    <definedName name="訓練総時間" localSheetId="16">[10]機構処理!$D$36</definedName>
    <definedName name="訓練総時間" localSheetId="17">[5]機構処理!$D$36</definedName>
    <definedName name="訓練総時間" localSheetId="18">[6]機構処理!$D$36</definedName>
    <definedName name="訓練総時間" localSheetId="19">[7]機構処理!$D$36</definedName>
    <definedName name="訓練総時間" localSheetId="20">[8]機構処理!$D$36</definedName>
    <definedName name="訓練総時間" localSheetId="21">[9]機構処理!$D$36</definedName>
    <definedName name="訓練総時間">[11]機構処理!$D$36</definedName>
    <definedName name="訓練対象者" localSheetId="12">[1]機構処理!$D$35</definedName>
    <definedName name="訓練対象者" localSheetId="13">[2]機構処理!$D$35</definedName>
    <definedName name="訓練対象者" localSheetId="14">[3]機構処理!$D$35</definedName>
    <definedName name="訓練対象者" localSheetId="15">[4]機構処理!$D$35</definedName>
    <definedName name="訓練対象者" localSheetId="16">[10]機構処理!$D$35</definedName>
    <definedName name="訓練対象者" localSheetId="17">[5]機構処理!$D$35</definedName>
    <definedName name="訓練対象者" localSheetId="18">[6]機構処理!$D$35</definedName>
    <definedName name="訓練対象者" localSheetId="19">[7]機構処理!$D$35</definedName>
    <definedName name="訓練対象者" localSheetId="20">[8]機構処理!$D$35</definedName>
    <definedName name="訓練対象者" localSheetId="21">[9]機構処理!$D$35</definedName>
    <definedName name="訓練対象者">[11]機構処理!$D$35</definedName>
    <definedName name="訓練定員" localSheetId="12">[1]機構処理!$D$30</definedName>
    <definedName name="訓練定員" localSheetId="13">[2]機構処理!$D$30</definedName>
    <definedName name="訓練定員" localSheetId="14">[3]機構処理!$D$30</definedName>
    <definedName name="訓練定員" localSheetId="15">[4]機構処理!$D$30</definedName>
    <definedName name="訓練定員" localSheetId="16">[10]機構処理!$D$30</definedName>
    <definedName name="訓練定員" localSheetId="17">[5]機構処理!$D$30</definedName>
    <definedName name="訓練定員" localSheetId="18">[6]機構処理!$D$30</definedName>
    <definedName name="訓練定員" localSheetId="19">[7]機構処理!$D$30</definedName>
    <definedName name="訓練定員" localSheetId="20">[8]機構処理!$D$30</definedName>
    <definedName name="訓練定員" localSheetId="21">[9]機構処理!$D$30</definedName>
    <definedName name="訓練定員">[11]機構処理!$D$30</definedName>
    <definedName name="訓練日数" localSheetId="12">[1]機構処理!$D$37</definedName>
    <definedName name="訓練日数" localSheetId="13">[2]機構処理!$D$37</definedName>
    <definedName name="訓練日数" localSheetId="14">[3]機構処理!$D$37</definedName>
    <definedName name="訓練日数" localSheetId="15">[4]機構処理!$D$37</definedName>
    <definedName name="訓練日数" localSheetId="16">[10]機構処理!$D$37</definedName>
    <definedName name="訓練日数" localSheetId="17">[5]機構処理!$D$37</definedName>
    <definedName name="訓練日数" localSheetId="18">[6]機構処理!$D$37</definedName>
    <definedName name="訓練日数" localSheetId="19">[7]機構処理!$D$37</definedName>
    <definedName name="訓練日数" localSheetId="20">[8]機構処理!$D$37</definedName>
    <definedName name="訓練日数" localSheetId="21">[9]機構処理!$D$37</definedName>
    <definedName name="訓練日数">[11]機構処理!$D$37</definedName>
    <definedName name="訓練分野" localSheetId="12">[1]機構処理!$D$25</definedName>
    <definedName name="訓練分野" localSheetId="13">[2]機構処理!$D$25</definedName>
    <definedName name="訓練分野" localSheetId="14">[3]機構処理!$D$25</definedName>
    <definedName name="訓練分野" localSheetId="15">[4]機構処理!$D$25</definedName>
    <definedName name="訓練分野" localSheetId="16">[10]機構処理!$D$25</definedName>
    <definedName name="訓練分野" localSheetId="17">[5]機構処理!$D$25</definedName>
    <definedName name="訓練分野" localSheetId="18">[6]機構処理!$D$25</definedName>
    <definedName name="訓練分野" localSheetId="19">[7]機構処理!$D$25</definedName>
    <definedName name="訓練分野" localSheetId="20">[8]機構処理!$D$25</definedName>
    <definedName name="訓練分野" localSheetId="21">[9]機構処理!$D$25</definedName>
    <definedName name="訓練分野">[11]機構処理!$D$25</definedName>
    <definedName name="訓練分野CD" localSheetId="12">[1]機構処理!$N$35:$Q$54</definedName>
    <definedName name="訓練分野CD" localSheetId="13">[2]機構処理!$N$35:$Q$54</definedName>
    <definedName name="訓練分野CD" localSheetId="14">[3]機構処理!$N$35:$Q$54</definedName>
    <definedName name="訓練分野CD" localSheetId="15">[4]機構処理!$N$35:$Q$54</definedName>
    <definedName name="訓練分野CD" localSheetId="16">[10]機構処理!$N$35:$Q$54</definedName>
    <definedName name="訓練分野CD" localSheetId="17">[5]機構処理!$N$35:$Q$54</definedName>
    <definedName name="訓練分野CD" localSheetId="18">[6]機構処理!$N$35:$Q$54</definedName>
    <definedName name="訓練分野CD" localSheetId="19">[7]機構処理!$N$35:$Q$54</definedName>
    <definedName name="訓練分野CD" localSheetId="20">[8]機構処理!$N$35:$Q$54</definedName>
    <definedName name="訓練分野CD" localSheetId="21">[9]機構処理!$N$35:$Q$54</definedName>
    <definedName name="訓練分野CD">[11]機構処理!$N$35:$Q$54</definedName>
    <definedName name="訓練分野コード" localSheetId="12">[1]機構処理!$K$28</definedName>
    <definedName name="訓練分野コード" localSheetId="13">[2]機構処理!$K$28</definedName>
    <definedName name="訓練分野コード" localSheetId="14">[3]機構処理!$K$28</definedName>
    <definedName name="訓練分野コード" localSheetId="15">[4]機構処理!$K$28</definedName>
    <definedName name="訓練分野コード" localSheetId="16">[10]機構処理!$K$28</definedName>
    <definedName name="訓練分野コード" localSheetId="17">[5]機構処理!$K$28</definedName>
    <definedName name="訓練分野コード" localSheetId="18">[6]機構処理!$K$28</definedName>
    <definedName name="訓練分野コード" localSheetId="19">[7]機構処理!$K$28</definedName>
    <definedName name="訓練分野コード" localSheetId="20">[8]機構処理!$K$28</definedName>
    <definedName name="訓練分野コード" localSheetId="21">[9]機構処理!$K$28</definedName>
    <definedName name="訓練分野コード">[11]機構処理!$K$28</definedName>
    <definedName name="訓練目標" localSheetId="12">[1]機構処理!$D$33</definedName>
    <definedName name="訓練目標" localSheetId="13">[2]機構処理!$D$33</definedName>
    <definedName name="訓練目標" localSheetId="14">[3]機構処理!$D$33</definedName>
    <definedName name="訓練目標" localSheetId="15">[4]機構処理!$D$33</definedName>
    <definedName name="訓練目標" localSheetId="16">[10]機構処理!$D$33</definedName>
    <definedName name="訓練目標" localSheetId="17">[5]機構処理!$D$33</definedName>
    <definedName name="訓練目標" localSheetId="18">[6]機構処理!$D$33</definedName>
    <definedName name="訓練目標" localSheetId="19">[7]機構処理!$D$33</definedName>
    <definedName name="訓練目標" localSheetId="20">[8]機構処理!$D$33</definedName>
    <definedName name="訓練目標" localSheetId="21">[9]機構処理!$D$33</definedName>
    <definedName name="訓練目標">[11]機構処理!$D$33</definedName>
    <definedName name="元号CD" localSheetId="12">[1]機構処理!$N$8:$P$14</definedName>
    <definedName name="元号CD" localSheetId="13">[2]機構処理!$N$8:$P$14</definedName>
    <definedName name="元号CD" localSheetId="14">[3]機構処理!$N$8:$P$14</definedName>
    <definedName name="元号CD" localSheetId="15">[4]機構処理!$N$8:$P$14</definedName>
    <definedName name="元号CD" localSheetId="16">[10]機構処理!$N$8:$P$14</definedName>
    <definedName name="元号CD" localSheetId="17">[5]機構処理!$N$8:$P$14</definedName>
    <definedName name="元号CD" localSheetId="18">[6]機構処理!$N$8:$P$14</definedName>
    <definedName name="元号CD" localSheetId="19">[7]機構処理!$N$8:$P$14</definedName>
    <definedName name="元号CD" localSheetId="20">[8]機構処理!$N$8:$P$14</definedName>
    <definedName name="元号CD" localSheetId="21">[9]機構処理!$N$8:$P$14</definedName>
    <definedName name="元号CD">[11]機構処理!$N$8:$P$14</definedName>
    <definedName name="元号コード" localSheetId="12">[1]機構処理!$K$24</definedName>
    <definedName name="元号コード" localSheetId="13">[2]機構処理!$K$24</definedName>
    <definedName name="元号コード" localSheetId="14">[3]機構処理!$K$24</definedName>
    <definedName name="元号コード" localSheetId="15">[4]機構処理!$K$24</definedName>
    <definedName name="元号コード" localSheetId="16">[10]機構処理!$K$24</definedName>
    <definedName name="元号コード" localSheetId="17">[5]機構処理!$K$24</definedName>
    <definedName name="元号コード" localSheetId="18">[6]機構処理!$K$24</definedName>
    <definedName name="元号コード" localSheetId="19">[7]機構処理!$K$24</definedName>
    <definedName name="元号コード" localSheetId="20">[8]機構処理!$K$24</definedName>
    <definedName name="元号コード" localSheetId="21">[9]機構処理!$K$24</definedName>
    <definedName name="元号コード">[11]機構処理!$K$24</definedName>
    <definedName name="実技" localSheetId="12">OFFSET([1]機構処理!$O$205,0,0,[1]機構処理!$N$240-[1]機構処理!$N$208+1,1)</definedName>
    <definedName name="実技" localSheetId="13">OFFSET([2]機構処理!$O$205,0,0,[2]機構処理!$N$240-[2]機構処理!$N$208+1,1)</definedName>
    <definedName name="実技" localSheetId="14">OFFSET([3]機構処理!$O$205,0,0,[3]機構処理!$N$240-[3]機構処理!$N$208+1,1)</definedName>
    <definedName name="実技" localSheetId="15">OFFSET([4]機構処理!$O$205,0,0,[4]機構処理!$N$240-[4]機構処理!$N$208+1,1)</definedName>
    <definedName name="実技" localSheetId="16">OFFSET([10]機構処理!$O$205,0,0,[10]機構処理!$N$240-[10]機構処理!$N$208+1,1)</definedName>
    <definedName name="実技" localSheetId="17">OFFSET([5]機構処理!$O$205,0,0,[5]機構処理!$N$240-[5]機構処理!$N$208+1,1)</definedName>
    <definedName name="実技" localSheetId="18">OFFSET([6]機構処理!$O$205,0,0,[6]機構処理!$N$240-[6]機構処理!$N$208+1,1)</definedName>
    <definedName name="実技" localSheetId="19">OFFSET([7]機構処理!$O$205,0,0,[7]機構処理!$N$240-[7]機構処理!$N$208+1,1)</definedName>
    <definedName name="実技" localSheetId="20">OFFSET([8]機構処理!$O$205,0,0,[8]機構処理!$N$240-[8]機構処理!$N$208+1,1)</definedName>
    <definedName name="実技" localSheetId="21">OFFSET([9]機構処理!$O$205,0,0,[9]機構処理!$N$240-[9]機構処理!$N$208+1,1)</definedName>
    <definedName name="実技">OFFSET([11]機構処理!$O$205,0,0,[11]機構処理!$N$240-[11]機構処理!$N$208+1,1)</definedName>
    <definedName name="実施機関住所" localSheetId="12">[1]機構処理!$D$11</definedName>
    <definedName name="実施機関住所" localSheetId="13">[2]機構処理!$D$11</definedName>
    <definedName name="実施機関住所" localSheetId="14">[3]機構処理!$D$11</definedName>
    <definedName name="実施機関住所" localSheetId="15">[4]機構処理!$D$11</definedName>
    <definedName name="実施機関住所" localSheetId="16">[10]機構処理!$D$11</definedName>
    <definedName name="実施機関住所" localSheetId="17">[5]機構処理!$D$11</definedName>
    <definedName name="実施機関住所" localSheetId="18">[6]機構処理!$D$11</definedName>
    <definedName name="実施機関住所" localSheetId="19">[7]機構処理!$D$11</definedName>
    <definedName name="実施機関住所" localSheetId="20">[8]機構処理!$D$11</definedName>
    <definedName name="実施機関住所" localSheetId="21">[9]機構処理!$D$11</definedName>
    <definedName name="実施機関住所">[11]機構処理!$D$11</definedName>
    <definedName name="実施機関代表者" localSheetId="12">[1]機構処理!$D$9</definedName>
    <definedName name="実施機関代表者" localSheetId="13">[2]機構処理!$D$9</definedName>
    <definedName name="実施機関代表者" localSheetId="14">[3]機構処理!$D$9</definedName>
    <definedName name="実施機関代表者" localSheetId="15">[4]機構処理!$D$9</definedName>
    <definedName name="実施機関代表者" localSheetId="16">[10]機構処理!$D$9</definedName>
    <definedName name="実施機関代表者" localSheetId="17">[5]機構処理!$D$9</definedName>
    <definedName name="実施機関代表者" localSheetId="18">[6]機構処理!$D$9</definedName>
    <definedName name="実施機関代表者" localSheetId="19">[7]機構処理!$D$9</definedName>
    <definedName name="実施機関代表者" localSheetId="20">[8]機構処理!$D$9</definedName>
    <definedName name="実施機関代表者" localSheetId="21">[9]機構処理!$D$9</definedName>
    <definedName name="実施機関代表者">[11]機構処理!$D$9</definedName>
    <definedName name="実施機関番号" localSheetId="12">[1]機構処理!$D$13</definedName>
    <definedName name="実施機関番号" localSheetId="13">[2]機構処理!$D$13</definedName>
    <definedName name="実施機関番号" localSheetId="14">[3]機構処理!$D$13</definedName>
    <definedName name="実施機関番号" localSheetId="15">[4]機構処理!$D$13</definedName>
    <definedName name="実施機関番号" localSheetId="16">[10]機構処理!$D$13</definedName>
    <definedName name="実施機関番号" localSheetId="17">[5]機構処理!$D$13</definedName>
    <definedName name="実施機関番号" localSheetId="18">[6]機構処理!$D$13</definedName>
    <definedName name="実施機関番号" localSheetId="19">[7]機構処理!$D$13</definedName>
    <definedName name="実施機関番号" localSheetId="20">[8]機構処理!$D$13</definedName>
    <definedName name="実施機関番号" localSheetId="21">[9]機構処理!$D$13</definedName>
    <definedName name="実施機関番号">[11]機構処理!$D$13</definedName>
    <definedName name="実施機関名" localSheetId="12">[1]機構処理!$D$7</definedName>
    <definedName name="実施機関名" localSheetId="13">[2]機構処理!$D$7</definedName>
    <definedName name="実施機関名" localSheetId="14">[3]機構処理!$D$7</definedName>
    <definedName name="実施機関名" localSheetId="15">[4]機構処理!$D$7</definedName>
    <definedName name="実施機関名" localSheetId="16">[10]機構処理!$D$7</definedName>
    <definedName name="実施機関名" localSheetId="17">[5]機構処理!$D$7</definedName>
    <definedName name="実施機関名" localSheetId="18">[6]機構処理!$D$7</definedName>
    <definedName name="実施機関名" localSheetId="19">[7]機構処理!$D$7</definedName>
    <definedName name="実施機関名" localSheetId="20">[8]機構処理!$D$7</definedName>
    <definedName name="実施機関名" localSheetId="21">[9]機構処理!$D$7</definedName>
    <definedName name="実施機関名">[11]機構処理!$D$7</definedName>
    <definedName name="実施機関名カナ" localSheetId="12">[1]機構処理!$D$8</definedName>
    <definedName name="実施機関名カナ" localSheetId="13">[2]機構処理!$D$8</definedName>
    <definedName name="実施機関名カナ" localSheetId="14">[3]機構処理!$D$8</definedName>
    <definedName name="実施機関名カナ" localSheetId="15">[4]機構処理!$D$8</definedName>
    <definedName name="実施機関名カナ" localSheetId="16">[10]機構処理!$D$8</definedName>
    <definedName name="実施機関名カナ" localSheetId="17">[5]機構処理!$D$8</definedName>
    <definedName name="実施機関名カナ" localSheetId="18">[6]機構処理!$D$8</definedName>
    <definedName name="実施機関名カナ" localSheetId="19">[7]機構処理!$D$8</definedName>
    <definedName name="実施機関名カナ" localSheetId="20">[8]機構処理!$D$8</definedName>
    <definedName name="実施機関名カナ" localSheetId="21">[9]機構処理!$D$8</definedName>
    <definedName name="実施機関名カナ">[11]機構処理!$D$8</definedName>
    <definedName name="実施機関郵便番号" localSheetId="12">[1]機構処理!$D$10</definedName>
    <definedName name="実施機関郵便番号" localSheetId="13">[2]機構処理!$D$10</definedName>
    <definedName name="実施機関郵便番号" localSheetId="14">[3]機構処理!$D$10</definedName>
    <definedName name="実施機関郵便番号" localSheetId="15">[4]機構処理!$D$10</definedName>
    <definedName name="実施機関郵便番号" localSheetId="16">[10]機構処理!$D$10</definedName>
    <definedName name="実施機関郵便番号" localSheetId="17">[5]機構処理!$D$10</definedName>
    <definedName name="実施機関郵便番号" localSheetId="18">[6]機構処理!$D$10</definedName>
    <definedName name="実施機関郵便番号" localSheetId="19">[7]機構処理!$D$10</definedName>
    <definedName name="実施機関郵便番号" localSheetId="20">[8]機構処理!$D$10</definedName>
    <definedName name="実施機関郵便番号" localSheetId="21">[9]機構処理!$D$10</definedName>
    <definedName name="実施機関郵便番号">[11]機構処理!$D$10</definedName>
    <definedName name="種別コード" localSheetId="12">[1]機構処理!$K$27</definedName>
    <definedName name="種別コード" localSheetId="13">[2]機構処理!$K$27</definedName>
    <definedName name="種別コード" localSheetId="14">[3]機構処理!$K$27</definedName>
    <definedName name="種別コード" localSheetId="15">[4]機構処理!$K$27</definedName>
    <definedName name="種別コード" localSheetId="16">[10]機構処理!$K$27</definedName>
    <definedName name="種別コード" localSheetId="17">[5]機構処理!$K$27</definedName>
    <definedName name="種別コード" localSheetId="18">[6]機構処理!$K$27</definedName>
    <definedName name="種別コード" localSheetId="19">[7]機構処理!$K$27</definedName>
    <definedName name="種別コード" localSheetId="20">[8]機構処理!$K$27</definedName>
    <definedName name="種別コード" localSheetId="21">[9]機構処理!$K$27</definedName>
    <definedName name="種別コード">[11]機構処理!$K$27</definedName>
    <definedName name="受理番号連番" localSheetId="12">[1]機構処理!$K$29</definedName>
    <definedName name="受理番号連番" localSheetId="13">[2]機構処理!$K$29</definedName>
    <definedName name="受理番号連番" localSheetId="14">[3]機構処理!$K$29</definedName>
    <definedName name="受理番号連番" localSheetId="15">[4]機構処理!$K$29</definedName>
    <definedName name="受理番号連番" localSheetId="16">[10]機構処理!$K$29</definedName>
    <definedName name="受理番号連番" localSheetId="17">[5]機構処理!$K$29</definedName>
    <definedName name="受理番号連番" localSheetId="18">[6]機構処理!$K$29</definedName>
    <definedName name="受理番号連番" localSheetId="19">[7]機構処理!$K$29</definedName>
    <definedName name="受理番号連番" localSheetId="20">[8]機構処理!$K$29</definedName>
    <definedName name="受理番号連番" localSheetId="21">[9]機構処理!$K$29</definedName>
    <definedName name="受理番号連番">[11]機構処理!$K$29</definedName>
    <definedName name="祝祭日" localSheetId="12">OFFSET([1]開講スケジュール!$T$3,1,,COUNT([1]開講スケジュール!$T$4:$T$113))</definedName>
    <definedName name="祝祭日" localSheetId="13">OFFSET([2]開講スケジュール!$T$3,1,,COUNT([2]開講スケジュール!$T$4:$T$113))</definedName>
    <definedName name="祝祭日" localSheetId="14">OFFSET([3]開講スケジュール!$T$3,1,,COUNT([3]開講スケジュール!$T$4:$T$113))</definedName>
    <definedName name="祝祭日" localSheetId="15">OFFSET([4]開講スケジュール!$T$3,1,,COUNT([4]開講スケジュール!$T$4:$T$113))</definedName>
    <definedName name="祝祭日" localSheetId="16">OFFSET([10]開講スケジュール!$T$3,1,,COUNT([10]開講スケジュール!$T$4:$T$113))</definedName>
    <definedName name="祝祭日" localSheetId="17">OFFSET([5]開講スケジュール!$T$3,1,,COUNT([5]開講スケジュール!$T$4:$T$113))</definedName>
    <definedName name="祝祭日" localSheetId="18">OFFSET([6]開講スケジュール!$T$3,1,,COUNT([6]開講スケジュール!$T$4:$T$113))</definedName>
    <definedName name="祝祭日" localSheetId="19">OFFSET([7]開講スケジュール!$T$3,1,,COUNT([7]開講スケジュール!$T$4:$T$113))</definedName>
    <definedName name="祝祭日" localSheetId="20">OFFSET([8]開講スケジュール!$T$3,1,,COUNT([8]開講スケジュール!$T$4:$T$113))</definedName>
    <definedName name="祝祭日" localSheetId="21">OFFSET([9]開講スケジュール!$T$3,1,,COUNT([9]開講スケジュール!$T$4:$T$113))</definedName>
    <definedName name="祝祭日">OFFSET([11]開講スケジュール!$T$3,1,,COUNT([11]開講スケジュール!$T$4:$T$113))</definedName>
    <definedName name="職歴年号" localSheetId="12">[1]機構処理!$N$10:$N$14</definedName>
    <definedName name="職歴年号" localSheetId="13">[2]機構処理!$N$10:$N$14</definedName>
    <definedName name="職歴年号" localSheetId="14">[3]機構処理!$N$10:$N$14</definedName>
    <definedName name="職歴年号" localSheetId="15">[4]機構処理!$N$10:$N$14</definedName>
    <definedName name="職歴年号" localSheetId="16">[10]機構処理!$N$10:$N$14</definedName>
    <definedName name="職歴年号" localSheetId="17">[5]機構処理!$N$10:$N$14</definedName>
    <definedName name="職歴年号" localSheetId="18">[6]機構処理!$N$10:$N$14</definedName>
    <definedName name="職歴年号" localSheetId="19">[7]機構処理!$N$10:$N$14</definedName>
    <definedName name="職歴年号" localSheetId="20">[8]機構処理!$N$10:$N$14</definedName>
    <definedName name="職歴年号" localSheetId="21">[9]機構処理!$N$10:$N$14</definedName>
    <definedName name="職歴年号">[11]機構処理!$N$10:$N$14</definedName>
    <definedName name="申請書受理番号" localSheetId="12">[1]機構処理!$N$26</definedName>
    <definedName name="申請書受理番号" localSheetId="13">[2]機構処理!$N$26</definedName>
    <definedName name="申請書受理番号" localSheetId="14">[3]機構処理!$N$26</definedName>
    <definedName name="申請書受理番号" localSheetId="15">[4]機構処理!$N$26</definedName>
    <definedName name="申請書受理番号" localSheetId="16">[10]機構処理!$N$26</definedName>
    <definedName name="申請書受理番号" localSheetId="17">[5]機構処理!$N$26</definedName>
    <definedName name="申請書受理番号" localSheetId="18">[6]機構処理!$N$26</definedName>
    <definedName name="申請書受理番号" localSheetId="19">[7]機構処理!$N$26</definedName>
    <definedName name="申請書受理番号" localSheetId="20">[8]機構処理!$N$26</definedName>
    <definedName name="申請書受理番号" localSheetId="21">[9]機構処理!$N$26</definedName>
    <definedName name="申請書受理番号">[11]機構処理!$N$26</definedName>
    <definedName name="申請日" localSheetId="12">[1]機構処理!$D$4</definedName>
    <definedName name="申請日" localSheetId="13">[2]機構処理!$D$4</definedName>
    <definedName name="申請日" localSheetId="14">[3]機構処理!$D$4</definedName>
    <definedName name="申請日" localSheetId="15">[4]機構処理!$D$4</definedName>
    <definedName name="申請日" localSheetId="16">[10]機構処理!$D$4</definedName>
    <definedName name="申請日" localSheetId="17">[5]機構処理!$D$4</definedName>
    <definedName name="申請日" localSheetId="18">[6]機構処理!$D$4</definedName>
    <definedName name="申請日" localSheetId="19">[7]機構処理!$D$4</definedName>
    <definedName name="申請日" localSheetId="20">[8]機構処理!$D$4</definedName>
    <definedName name="申請日" localSheetId="21">[9]機構処理!$D$4</definedName>
    <definedName name="申請日">[11]機構処理!$D$4</definedName>
    <definedName name="設立年号" localSheetId="12">[1]機構処理!$N$8:$N$14</definedName>
    <definedName name="設立年号" localSheetId="13">[2]機構処理!$N$8:$N$14</definedName>
    <definedName name="設立年号" localSheetId="14">[3]機構処理!$N$8:$N$14</definedName>
    <definedName name="設立年号" localSheetId="15">[4]機構処理!$N$8:$N$14</definedName>
    <definedName name="設立年号" localSheetId="16">[10]機構処理!$N$8:$N$14</definedName>
    <definedName name="設立年号" localSheetId="17">[5]機構処理!$N$8:$N$14</definedName>
    <definedName name="設立年号" localSheetId="18">[6]機構処理!$N$8:$N$14</definedName>
    <definedName name="設立年号" localSheetId="19">[7]機構処理!$N$8:$N$14</definedName>
    <definedName name="設立年号" localSheetId="20">[8]機構処理!$N$8:$N$14</definedName>
    <definedName name="設立年号" localSheetId="21">[9]機構処理!$N$8:$N$14</definedName>
    <definedName name="設立年号">[11]機構処理!$N$8:$N$14</definedName>
    <definedName name="選考結果発送日" localSheetId="12">[1]開講スケジュール!$D$9</definedName>
    <definedName name="選考結果発送日" localSheetId="13">[2]開講スケジュール!$D$9</definedName>
    <definedName name="選考結果発送日" localSheetId="14">[3]開講スケジュール!$D$9</definedName>
    <definedName name="選考結果発送日" localSheetId="15">[4]開講スケジュール!$D$9</definedName>
    <definedName name="選考結果発送日" localSheetId="16">[10]開講スケジュール!$D$9</definedName>
    <definedName name="選考結果発送日" localSheetId="17">[5]開講スケジュール!$D$9</definedName>
    <definedName name="選考結果発送日" localSheetId="18">[6]開講スケジュール!$D$9</definedName>
    <definedName name="選考結果発送日" localSheetId="19">[7]開講スケジュール!$D$9</definedName>
    <definedName name="選考結果発送日" localSheetId="20">[8]開講スケジュール!$D$9</definedName>
    <definedName name="選考結果発送日" localSheetId="21">[9]開講スケジュール!$D$9</definedName>
    <definedName name="選考結果発送日">[11]開講スケジュール!$D$9</definedName>
    <definedName name="選考日" localSheetId="12">[1]開講スケジュール!$D$8</definedName>
    <definedName name="選考日" localSheetId="13">[2]開講スケジュール!$D$8</definedName>
    <definedName name="選考日" localSheetId="14">[3]開講スケジュール!$D$8</definedName>
    <definedName name="選考日" localSheetId="15">[4]開講スケジュール!$D$8</definedName>
    <definedName name="選考日" localSheetId="16">[10]開講スケジュール!$D$8</definedName>
    <definedName name="選考日" localSheetId="17">[5]開講スケジュール!$D$8</definedName>
    <definedName name="選考日" localSheetId="18">[6]開講スケジュール!$D$8</definedName>
    <definedName name="選考日" localSheetId="19">[7]開講スケジュール!$D$8</definedName>
    <definedName name="選考日" localSheetId="20">[8]開講スケジュール!$D$8</definedName>
    <definedName name="選考日" localSheetId="21">[9]開講スケジュール!$D$8</definedName>
    <definedName name="選考日">[11]開講スケジュール!$D$8</definedName>
    <definedName name="都道府県CD" localSheetId="12">[1]機構処理!$R$8:$S$15</definedName>
    <definedName name="都道府県CD" localSheetId="13">[2]機構処理!$R$8:$S$15</definedName>
    <definedName name="都道府県CD" localSheetId="14">[3]機構処理!$R$8:$S$15</definedName>
    <definedName name="都道府県CD" localSheetId="15">[4]機構処理!$R$8:$S$15</definedName>
    <definedName name="都道府県CD" localSheetId="16">[10]機構処理!$R$8:$S$15</definedName>
    <definedName name="都道府県CD" localSheetId="17">[5]機構処理!$R$8:$S$15</definedName>
    <definedName name="都道府県CD" localSheetId="18">[6]機構処理!$R$8:$S$15</definedName>
    <definedName name="都道府県CD" localSheetId="19">[7]機構処理!$R$8:$S$15</definedName>
    <definedName name="都道府県CD" localSheetId="20">[8]機構処理!$R$8:$S$15</definedName>
    <definedName name="都道府県CD" localSheetId="21">[9]機構処理!$R$8:$S$15</definedName>
    <definedName name="都道府県CD">[11]機構処理!$R$8:$S$15</definedName>
    <definedName name="都道府県コード" localSheetId="12">[1]機構処理!$K$26</definedName>
    <definedName name="都道府県コード" localSheetId="13">[2]機構処理!$K$26</definedName>
    <definedName name="都道府県コード" localSheetId="14">[3]機構処理!$K$26</definedName>
    <definedName name="都道府県コード" localSheetId="15">[4]機構処理!$K$26</definedName>
    <definedName name="都道府県コード" localSheetId="16">[10]機構処理!$K$26</definedName>
    <definedName name="都道府県コード" localSheetId="17">[5]機構処理!$K$26</definedName>
    <definedName name="都道府県コード" localSheetId="18">[6]機構処理!$K$26</definedName>
    <definedName name="都道府県コード" localSheetId="19">[7]機構処理!$K$26</definedName>
    <definedName name="都道府県コード" localSheetId="20">[8]機構処理!$K$26</definedName>
    <definedName name="都道府県コード" localSheetId="21">[9]機構処理!$K$26</definedName>
    <definedName name="都道府県コード">[11]機構処理!$K$26</definedName>
    <definedName name="土日祝日訓練" localSheetId="12">[1]機構処理!$BD$23</definedName>
    <definedName name="土日祝日訓練" localSheetId="13">[2]機構処理!$BD$23</definedName>
    <definedName name="土日祝日訓練" localSheetId="14">[3]機構処理!$BD$23</definedName>
    <definedName name="土日祝日訓練" localSheetId="15">[4]機構処理!$BD$23</definedName>
    <definedName name="土日祝日訓練" localSheetId="16">[10]機構処理!$BD$23</definedName>
    <definedName name="土日祝日訓練" localSheetId="18">[6]機構処理!$BD$23</definedName>
    <definedName name="土日祝日訓練" localSheetId="19">[7]機構処理!$BD$23</definedName>
    <definedName name="土日祝日訓練" localSheetId="20">[8]機構処理!$BD$23</definedName>
    <definedName name="土日祝日訓練" localSheetId="21">[9]機構処理!$BD$23</definedName>
    <definedName name="土日祝日訓練">[11]機構処理!$BD$23</definedName>
    <definedName name="内容" localSheetId="12">[1]機構処理!$C$134:$C$137</definedName>
    <definedName name="内容" localSheetId="13">[2]機構処理!$C$134:$C$137</definedName>
    <definedName name="内容" localSheetId="14">[3]機構処理!$C$134:$C$137</definedName>
    <definedName name="内容" localSheetId="15">[4]機構処理!$C$134:$C$137</definedName>
    <definedName name="内容" localSheetId="16">[10]機構処理!$C$134:$C$137</definedName>
    <definedName name="内容" localSheetId="17">[5]機構処理!$C$134:$C$137</definedName>
    <definedName name="内容" localSheetId="18">[6]機構処理!$C$134:$C$137</definedName>
    <definedName name="内容" localSheetId="19">[7]機構処理!$C$134:$C$137</definedName>
    <definedName name="内容" localSheetId="20">[8]機構処理!$C$134:$C$137</definedName>
    <definedName name="内容" localSheetId="21">[9]機構処理!$C$134:$C$137</definedName>
    <definedName name="内容">[11]機構処理!$C$134:$C$137</definedName>
    <definedName name="入校" localSheetId="16" hidden="1">#REF!</definedName>
    <definedName name="入校" localSheetId="18" hidden="1">#REF!</definedName>
    <definedName name="入校" localSheetId="21" hidden="1">#REF!</definedName>
    <definedName name="入校" hidden="1">#REF!</definedName>
    <definedName name="入校式" localSheetId="16" hidden="1">#REF!</definedName>
    <definedName name="入校式" localSheetId="18" hidden="1">#REF!</definedName>
    <definedName name="入校式" localSheetId="21" hidden="1">#REF!</definedName>
    <definedName name="入校式" hidden="1">#REF!</definedName>
    <definedName name="年度CD" localSheetId="12">[1]機構処理!$I$8:$L$12</definedName>
    <definedName name="年度CD" localSheetId="13">[2]機構処理!$I$8:$L$12</definedName>
    <definedName name="年度CD" localSheetId="14">[3]機構処理!$I$8:$L$12</definedName>
    <definedName name="年度CD" localSheetId="15">[4]機構処理!$I$8:$L$12</definedName>
    <definedName name="年度CD" localSheetId="16">[10]機構処理!$I$8:$L$12</definedName>
    <definedName name="年度CD" localSheetId="17">[5]機構処理!$I$8:$L$12</definedName>
    <definedName name="年度CD" localSheetId="18">[6]機構処理!$I$8:$L$12</definedName>
    <definedName name="年度CD" localSheetId="19">[7]機構処理!$I$8:$L$12</definedName>
    <definedName name="年度CD" localSheetId="20">[8]機構処理!$I$8:$L$12</definedName>
    <definedName name="年度CD" localSheetId="21">[9]機構処理!$I$8:$L$12</definedName>
    <definedName name="年度CD">[11]機構処理!$I$8:$L$12</definedName>
    <definedName name="年度コード" localSheetId="12">[1]機構処理!$K$25</definedName>
    <definedName name="年度コード" localSheetId="13">[2]機構処理!$K$25</definedName>
    <definedName name="年度コード" localSheetId="14">[3]機構処理!$K$25</definedName>
    <definedName name="年度コード" localSheetId="15">[4]機構処理!$K$25</definedName>
    <definedName name="年度コード" localSheetId="16">[10]機構処理!$K$25</definedName>
    <definedName name="年度コード" localSheetId="17">[5]機構処理!$K$25</definedName>
    <definedName name="年度コード" localSheetId="18">[6]機構処理!$K$25</definedName>
    <definedName name="年度コード" localSheetId="19">[7]機構処理!$K$25</definedName>
    <definedName name="年度コード" localSheetId="20">[8]機構処理!$K$25</definedName>
    <definedName name="年度コード" localSheetId="21">[9]機構処理!$K$25</definedName>
    <definedName name="年度コード">[11]機構処理!$K$25</definedName>
    <definedName name="募集期間From" localSheetId="12">[1]開講スケジュール!$D$4</definedName>
    <definedName name="募集期間From" localSheetId="13">[2]開講スケジュール!$D$4</definedName>
    <definedName name="募集期間From" localSheetId="14">[3]開講スケジュール!$D$4</definedName>
    <definedName name="募集期間From" localSheetId="15">[4]開講スケジュール!$D$4</definedName>
    <definedName name="募集期間From" localSheetId="16">[10]開講スケジュール!$D$4</definedName>
    <definedName name="募集期間From" localSheetId="17">[5]開講スケジュール!$D$4</definedName>
    <definedName name="募集期間From" localSheetId="18">[6]開講スケジュール!$D$4</definedName>
    <definedName name="募集期間From" localSheetId="19">[7]開講スケジュール!$D$4</definedName>
    <definedName name="募集期間From" localSheetId="20">[8]開講スケジュール!$D$4</definedName>
    <definedName name="募集期間From" localSheetId="21">[9]開講スケジュール!$D$4</definedName>
    <definedName name="募集期間From">[11]開講スケジュール!$D$4</definedName>
    <definedName name="募集期間To" localSheetId="12">[1]開講スケジュール!$D$5</definedName>
    <definedName name="募集期間To" localSheetId="13">[2]開講スケジュール!$D$5</definedName>
    <definedName name="募集期間To" localSheetId="14">[3]開講スケジュール!$D$5</definedName>
    <definedName name="募集期間To" localSheetId="15">[4]開講スケジュール!$D$5</definedName>
    <definedName name="募集期間To" localSheetId="16">[10]開講スケジュール!$D$5</definedName>
    <definedName name="募集期間To" localSheetId="17">[5]開講スケジュール!$D$5</definedName>
    <definedName name="募集期間To" localSheetId="18">[6]開講スケジュール!$D$5</definedName>
    <definedName name="募集期間To" localSheetId="19">[7]開講スケジュール!$D$5</definedName>
    <definedName name="募集期間To" localSheetId="20">[8]開講スケジュール!$D$5</definedName>
    <definedName name="募集期間To" localSheetId="21">[9]開講スケジュール!$D$5</definedName>
    <definedName name="募集期間To">[11]開講スケジュール!$D$5</definedName>
    <definedName name="法人番号" localSheetId="12">[1]機構処理!$D$14</definedName>
    <definedName name="法人番号" localSheetId="13">[2]機構処理!$D$14</definedName>
    <definedName name="法人番号" localSheetId="14">[3]機構処理!$D$14</definedName>
    <definedName name="法人番号" localSheetId="15">[4]機構処理!$D$14</definedName>
    <definedName name="法人番号" localSheetId="16">[10]機構処理!$D$14</definedName>
    <definedName name="法人番号" localSheetId="17">[5]機構処理!$D$14</definedName>
    <definedName name="法人番号" localSheetId="18">[6]機構処理!$D$14</definedName>
    <definedName name="法人番号" localSheetId="19">[7]機構処理!$D$14</definedName>
    <definedName name="法人番号" localSheetId="20">[8]機構処理!$D$14</definedName>
    <definedName name="法人番号" localSheetId="21">[9]機構処理!$D$14</definedName>
    <definedName name="法人番号">[11]機構処理!$D$14</definedName>
    <definedName name="様5入修" localSheetId="12">[1]機構処理!$C$140:$C$142</definedName>
    <definedName name="様5入修" localSheetId="13">[2]機構処理!$C$140:$C$142</definedName>
    <definedName name="様5入修" localSheetId="14">[3]機構処理!$C$140:$C$142</definedName>
    <definedName name="様5入修" localSheetId="15">[4]機構処理!$C$140:$C$142</definedName>
    <definedName name="様5入修" localSheetId="16">[10]機構処理!$C$140:$C$142</definedName>
    <definedName name="様5入修" localSheetId="17">[5]機構処理!$C$140:$C$142</definedName>
    <definedName name="様5入修" localSheetId="18">[6]機構処理!$C$140:$C$142</definedName>
    <definedName name="様5入修" localSheetId="19">[7]機構処理!$C$140:$C$142</definedName>
    <definedName name="様5入修" localSheetId="20">[8]機構処理!$C$140:$C$142</definedName>
    <definedName name="様5入修" localSheetId="21">[9]機構処理!$C$140:$C$142</definedName>
    <definedName name="様5入修">[11]機構処理!$C$140:$C$142</definedName>
    <definedName name="様6_訓練時間合計" localSheetId="12">'6B'!$AC$178</definedName>
    <definedName name="様6_訓練時間合計" localSheetId="13">'6D'!$AC$178</definedName>
    <definedName name="様6_訓練時間合計" localSheetId="14">'6E'!$AC$178</definedName>
    <definedName name="様6_訓練時間合計" localSheetId="15">'6F'!$AC$178</definedName>
    <definedName name="様6_訓練時間合計" localSheetId="16">'6F+'!$AC$178</definedName>
    <definedName name="様6_訓練時間合計" localSheetId="17">'6H'!$AC$178</definedName>
    <definedName name="様6_訓練時間合計" localSheetId="18">'7A'!$AC$178</definedName>
    <definedName name="様6_訓練時間合計" localSheetId="19">'7B'!$AC$178</definedName>
    <definedName name="様6_訓練時間合計" localSheetId="20">'7C'!$AC$178</definedName>
    <definedName name="様6_訓練時間合計" localSheetId="21">'7D'!$AC$178</definedName>
    <definedName name="様6_訓練時間合計">[15]様式6!$AC$180</definedName>
    <definedName name="様式5号シート" localSheetId="12">[1]機構処理!$G$36</definedName>
    <definedName name="様式5号シート" localSheetId="13">[2]機構処理!$G$36</definedName>
    <definedName name="様式5号シート" localSheetId="14">[3]機構処理!$G$36</definedName>
    <definedName name="様式5号シート" localSheetId="15">[4]機構処理!$G$36</definedName>
    <definedName name="様式5号シート" localSheetId="16">[10]機構処理!$G$36</definedName>
    <definedName name="様式5号シート" localSheetId="17">[5]機構処理!$G$36</definedName>
    <definedName name="様式5号シート" localSheetId="18">[6]機構処理!$G$36</definedName>
    <definedName name="様式5号シート" localSheetId="19">[7]機構処理!$G$36</definedName>
    <definedName name="様式5号シート" localSheetId="20">[8]機構処理!$G$36</definedName>
    <definedName name="様式5号シート" localSheetId="21">[9]機構処理!$G$36</definedName>
    <definedName name="様式5号シート">[11]機構処理!$G$36</definedName>
    <definedName name="来所パターン" localSheetId="12">[1]開講スケジュール!$D$10</definedName>
    <definedName name="来所パターン" localSheetId="13">[2]開講スケジュール!$D$10</definedName>
    <definedName name="来所パターン" localSheetId="14">[3]開講スケジュール!$D$10</definedName>
    <definedName name="来所パターン" localSheetId="15">[4]開講スケジュール!$D$10</definedName>
    <definedName name="来所パターン" localSheetId="16">[10]開講スケジュール!$D$10</definedName>
    <definedName name="来所パターン" localSheetId="17">[5]開講スケジュール!$D$10</definedName>
    <definedName name="来所パターン" localSheetId="18">[6]開講スケジュール!$D$10</definedName>
    <definedName name="来所パターン" localSheetId="19">[7]開講スケジュール!$D$10</definedName>
    <definedName name="来所パターン" localSheetId="20">[8]開講スケジュール!$D$10</definedName>
    <definedName name="来所パターン" localSheetId="21">[9]開講スケジュール!$D$10</definedName>
    <definedName name="来所パターン">[11]開講スケジュール!$D$10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30" l="1"/>
  <c r="D6" i="130" s="1"/>
  <c r="C29" i="130" l="1"/>
  <c r="D7" i="130"/>
  <c r="D8" i="130" s="1"/>
  <c r="E6" i="130"/>
  <c r="C7" i="130"/>
  <c r="C8" i="130" s="1"/>
  <c r="E173" i="126"/>
  <c r="E174" i="126" s="1"/>
  <c r="E172" i="126"/>
  <c r="X171" i="126"/>
  <c r="C148" i="126"/>
  <c r="AI139" i="126"/>
  <c r="AJ139" i="126" s="1"/>
  <c r="AI88" i="126"/>
  <c r="AI66" i="126"/>
  <c r="AI44" i="126"/>
  <c r="AI21" i="126"/>
  <c r="P170" i="126" s="1"/>
  <c r="C6" i="126"/>
  <c r="AI27" i="126" s="1"/>
  <c r="S4" i="126"/>
  <c r="E4" i="126"/>
  <c r="K1" i="126"/>
  <c r="D29" i="130" l="1"/>
  <c r="C51" i="130"/>
  <c r="C30" i="130"/>
  <c r="C31" i="130" s="1"/>
  <c r="E7" i="130"/>
  <c r="E8" i="130" s="1"/>
  <c r="F6" i="130"/>
  <c r="C7" i="126"/>
  <c r="C8" i="126" s="1"/>
  <c r="AI22" i="126" s="1"/>
  <c r="AH22" i="126" s="1"/>
  <c r="D6" i="126"/>
  <c r="E6" i="126" s="1"/>
  <c r="AL27" i="126"/>
  <c r="C29" i="126"/>
  <c r="AI49" i="126" s="1"/>
  <c r="K174" i="126"/>
  <c r="Q174" i="126" s="1"/>
  <c r="B174" i="126"/>
  <c r="E175" i="126"/>
  <c r="K173" i="126"/>
  <c r="Q173" i="126" s="1"/>
  <c r="B173" i="126"/>
  <c r="K172" i="126"/>
  <c r="Q172" i="126" s="1"/>
  <c r="B172" i="126"/>
  <c r="D51" i="130" l="1"/>
  <c r="C73" i="130"/>
  <c r="C52" i="130"/>
  <c r="C53" i="130" s="1"/>
  <c r="C54" i="130" s="1"/>
  <c r="D30" i="130"/>
  <c r="D31" i="130" s="1"/>
  <c r="E29" i="130"/>
  <c r="C5" i="126"/>
  <c r="G6" i="130"/>
  <c r="F7" i="130"/>
  <c r="F8" i="130" s="1"/>
  <c r="D7" i="126"/>
  <c r="D8" i="126" s="1"/>
  <c r="C30" i="126"/>
  <c r="C31" i="126" s="1"/>
  <c r="AL49" i="126"/>
  <c r="K175" i="126"/>
  <c r="Q175" i="126" s="1"/>
  <c r="B175" i="126"/>
  <c r="E176" i="126"/>
  <c r="F6" i="126"/>
  <c r="E7" i="126"/>
  <c r="E8" i="126" s="1"/>
  <c r="E30" i="130" l="1"/>
  <c r="E31" i="130" s="1"/>
  <c r="E32" i="130" s="1"/>
  <c r="F29" i="130"/>
  <c r="C74" i="130"/>
  <c r="C75" i="130" s="1"/>
  <c r="C95" i="130"/>
  <c r="D73" i="130"/>
  <c r="D52" i="130"/>
  <c r="D53" i="130" s="1"/>
  <c r="E51" i="130"/>
  <c r="G7" i="130"/>
  <c r="G8" i="130" s="1"/>
  <c r="H6" i="130"/>
  <c r="C28" i="126"/>
  <c r="D29" i="126" s="1"/>
  <c r="AI45" i="126"/>
  <c r="AH45" i="126" s="1"/>
  <c r="K176" i="126"/>
  <c r="Q176" i="126" s="1"/>
  <c r="B176" i="126"/>
  <c r="E177" i="126"/>
  <c r="F7" i="126"/>
  <c r="F8" i="126" s="1"/>
  <c r="G6" i="126"/>
  <c r="F51" i="130" l="1"/>
  <c r="E52" i="130"/>
  <c r="E53" i="130" s="1"/>
  <c r="D74" i="130"/>
  <c r="D75" i="130" s="1"/>
  <c r="E73" i="130"/>
  <c r="D95" i="130"/>
  <c r="C116" i="130"/>
  <c r="C96" i="130"/>
  <c r="C97" i="130" s="1"/>
  <c r="G29" i="130"/>
  <c r="F30" i="130"/>
  <c r="F31" i="130" s="1"/>
  <c r="F32" i="130" s="1"/>
  <c r="I6" i="130"/>
  <c r="H7" i="130"/>
  <c r="H8" i="130" s="1"/>
  <c r="D30" i="126"/>
  <c r="D31" i="126" s="1"/>
  <c r="D28" i="126" s="1"/>
  <c r="E29" i="126" s="1"/>
  <c r="E30" i="126" s="1"/>
  <c r="E31" i="126" s="1"/>
  <c r="E28" i="126" s="1"/>
  <c r="K177" i="126"/>
  <c r="Q177" i="126" s="1"/>
  <c r="P178" i="126" s="1"/>
  <c r="B177" i="126"/>
  <c r="H6" i="126"/>
  <c r="G7" i="126"/>
  <c r="G8" i="126" s="1"/>
  <c r="G51" i="130" l="1"/>
  <c r="F52" i="130"/>
  <c r="F53" i="130" s="1"/>
  <c r="G30" i="130"/>
  <c r="G31" i="130" s="1"/>
  <c r="H29" i="130"/>
  <c r="E95" i="130"/>
  <c r="D96" i="130"/>
  <c r="D97" i="130" s="1"/>
  <c r="D116" i="130"/>
  <c r="C117" i="130"/>
  <c r="C118" i="130" s="1"/>
  <c r="C119" i="130" s="1"/>
  <c r="E74" i="130"/>
  <c r="E75" i="130" s="1"/>
  <c r="F73" i="130"/>
  <c r="J6" i="130"/>
  <c r="I7" i="130"/>
  <c r="I8" i="130" s="1"/>
  <c r="F29" i="126"/>
  <c r="H7" i="126"/>
  <c r="H8" i="126" s="1"/>
  <c r="I6" i="126"/>
  <c r="E116" i="130" l="1"/>
  <c r="D117" i="130"/>
  <c r="D118" i="130" s="1"/>
  <c r="D119" i="130" s="1"/>
  <c r="H30" i="130"/>
  <c r="H31" i="130" s="1"/>
  <c r="H32" i="130" s="1"/>
  <c r="I29" i="130"/>
  <c r="G73" i="130"/>
  <c r="F74" i="130"/>
  <c r="F75" i="130" s="1"/>
  <c r="G52" i="130"/>
  <c r="G53" i="130" s="1"/>
  <c r="H51" i="130"/>
  <c r="F95" i="130"/>
  <c r="E96" i="130"/>
  <c r="E97" i="130" s="1"/>
  <c r="K6" i="130"/>
  <c r="J7" i="130"/>
  <c r="J8" i="130" s="1"/>
  <c r="I7" i="126"/>
  <c r="I8" i="126" s="1"/>
  <c r="J6" i="126"/>
  <c r="F30" i="126"/>
  <c r="F31" i="126" s="1"/>
  <c r="F28" i="126" s="1"/>
  <c r="H73" i="130" l="1"/>
  <c r="G74" i="130"/>
  <c r="G75" i="130" s="1"/>
  <c r="G76" i="130" s="1"/>
  <c r="J29" i="130"/>
  <c r="I30" i="130"/>
  <c r="I31" i="130" s="1"/>
  <c r="H52" i="130"/>
  <c r="H53" i="130" s="1"/>
  <c r="I51" i="130"/>
  <c r="G95" i="130"/>
  <c r="F96" i="130"/>
  <c r="F97" i="130" s="1"/>
  <c r="E117" i="130"/>
  <c r="E118" i="130" s="1"/>
  <c r="E119" i="130" s="1"/>
  <c r="F116" i="130"/>
  <c r="L6" i="130"/>
  <c r="K7" i="130"/>
  <c r="K8" i="130" s="1"/>
  <c r="K6" i="126"/>
  <c r="J7" i="126"/>
  <c r="J8" i="126" s="1"/>
  <c r="G29" i="126"/>
  <c r="H95" i="130" l="1"/>
  <c r="G96" i="130"/>
  <c r="G97" i="130" s="1"/>
  <c r="J51" i="130"/>
  <c r="I52" i="130"/>
  <c r="I53" i="130" s="1"/>
  <c r="K29" i="130"/>
  <c r="J30" i="130"/>
  <c r="J31" i="130" s="1"/>
  <c r="I73" i="130"/>
  <c r="H74" i="130"/>
  <c r="H75" i="130" s="1"/>
  <c r="H76" i="130" s="1"/>
  <c r="G116" i="130"/>
  <c r="F117" i="130"/>
  <c r="F118" i="130" s="1"/>
  <c r="M6" i="130"/>
  <c r="L7" i="130"/>
  <c r="L8" i="130" s="1"/>
  <c r="G30" i="126"/>
  <c r="G31" i="126" s="1"/>
  <c r="G28" i="126" s="1"/>
  <c r="H29" i="126" s="1"/>
  <c r="K7" i="126"/>
  <c r="K8" i="126" s="1"/>
  <c r="L6" i="126"/>
  <c r="G117" i="130" l="1"/>
  <c r="G118" i="130" s="1"/>
  <c r="H116" i="130"/>
  <c r="K51" i="130"/>
  <c r="J52" i="130"/>
  <c r="J53" i="130" s="1"/>
  <c r="H96" i="130"/>
  <c r="H97" i="130" s="1"/>
  <c r="I95" i="130"/>
  <c r="I74" i="130"/>
  <c r="I75" i="130" s="1"/>
  <c r="J73" i="130"/>
  <c r="L29" i="130"/>
  <c r="K30" i="130"/>
  <c r="K31" i="130" s="1"/>
  <c r="M7" i="130"/>
  <c r="M8" i="130" s="1"/>
  <c r="N6" i="130"/>
  <c r="H30" i="126"/>
  <c r="H31" i="126" s="1"/>
  <c r="H28" i="126" s="1"/>
  <c r="I29" i="126" s="1"/>
  <c r="M6" i="126"/>
  <c r="L7" i="126"/>
  <c r="L8" i="126" s="1"/>
  <c r="M29" i="130" l="1"/>
  <c r="L30" i="130"/>
  <c r="L31" i="130" s="1"/>
  <c r="L32" i="130" s="1"/>
  <c r="J74" i="130"/>
  <c r="J75" i="130" s="1"/>
  <c r="J76" i="130" s="1"/>
  <c r="K73" i="130"/>
  <c r="K52" i="130"/>
  <c r="K53" i="130" s="1"/>
  <c r="L51" i="130"/>
  <c r="I96" i="130"/>
  <c r="I97" i="130" s="1"/>
  <c r="J95" i="130"/>
  <c r="H117" i="130"/>
  <c r="H118" i="130" s="1"/>
  <c r="H119" i="130" s="1"/>
  <c r="I116" i="130"/>
  <c r="O6" i="130"/>
  <c r="N7" i="130"/>
  <c r="N8" i="130" s="1"/>
  <c r="I30" i="126"/>
  <c r="I31" i="126" s="1"/>
  <c r="M7" i="126"/>
  <c r="M8" i="126" s="1"/>
  <c r="N6" i="126"/>
  <c r="I117" i="130" l="1"/>
  <c r="I118" i="130" s="1"/>
  <c r="I119" i="130" s="1"/>
  <c r="J116" i="130"/>
  <c r="M30" i="130"/>
  <c r="M31" i="130" s="1"/>
  <c r="M32" i="130" s="1"/>
  <c r="N29" i="130"/>
  <c r="J96" i="130"/>
  <c r="J97" i="130" s="1"/>
  <c r="K95" i="130"/>
  <c r="M51" i="130"/>
  <c r="L52" i="130"/>
  <c r="L53" i="130" s="1"/>
  <c r="K74" i="130"/>
  <c r="K75" i="130" s="1"/>
  <c r="L73" i="130"/>
  <c r="P6" i="130"/>
  <c r="O7" i="130"/>
  <c r="O8" i="130" s="1"/>
  <c r="N7" i="126"/>
  <c r="N8" i="126" s="1"/>
  <c r="O6" i="126"/>
  <c r="I28" i="126"/>
  <c r="J29" i="126" s="1"/>
  <c r="J117" i="130" l="1"/>
  <c r="J118" i="130" s="1"/>
  <c r="K116" i="130"/>
  <c r="N51" i="130"/>
  <c r="M52" i="130"/>
  <c r="M53" i="130" s="1"/>
  <c r="K96" i="130"/>
  <c r="K97" i="130" s="1"/>
  <c r="L95" i="130"/>
  <c r="M73" i="130"/>
  <c r="L74" i="130"/>
  <c r="L75" i="130" s="1"/>
  <c r="O29" i="130"/>
  <c r="N30" i="130"/>
  <c r="N31" i="130" s="1"/>
  <c r="Q6" i="130"/>
  <c r="P7" i="130"/>
  <c r="P8" i="130" s="1"/>
  <c r="J30" i="126"/>
  <c r="J31" i="126" s="1"/>
  <c r="P6" i="126"/>
  <c r="O7" i="126"/>
  <c r="O8" i="126" s="1"/>
  <c r="N52" i="130" l="1"/>
  <c r="N53" i="130" s="1"/>
  <c r="O51" i="130"/>
  <c r="L116" i="130"/>
  <c r="K117" i="130"/>
  <c r="K118" i="130" s="1"/>
  <c r="K119" i="130" s="1"/>
  <c r="P29" i="130"/>
  <c r="O30" i="130"/>
  <c r="O31" i="130" s="1"/>
  <c r="O32" i="130" s="1"/>
  <c r="N73" i="130"/>
  <c r="M74" i="130"/>
  <c r="M75" i="130" s="1"/>
  <c r="M95" i="130"/>
  <c r="L96" i="130"/>
  <c r="L97" i="130" s="1"/>
  <c r="R6" i="130"/>
  <c r="Q7" i="130"/>
  <c r="Q8" i="130" s="1"/>
  <c r="Q6" i="126"/>
  <c r="P7" i="126"/>
  <c r="P8" i="126" s="1"/>
  <c r="J28" i="126"/>
  <c r="K29" i="126" s="1"/>
  <c r="N95" i="130" l="1"/>
  <c r="M96" i="130"/>
  <c r="M97" i="130" s="1"/>
  <c r="O73" i="130"/>
  <c r="N74" i="130"/>
  <c r="N75" i="130" s="1"/>
  <c r="Q29" i="130"/>
  <c r="P30" i="130"/>
  <c r="P31" i="130" s="1"/>
  <c r="P32" i="130" s="1"/>
  <c r="M116" i="130"/>
  <c r="L117" i="130"/>
  <c r="L118" i="130" s="1"/>
  <c r="P51" i="130"/>
  <c r="O52" i="130"/>
  <c r="O53" i="130" s="1"/>
  <c r="S6" i="130"/>
  <c r="R7" i="130"/>
  <c r="R8" i="130" s="1"/>
  <c r="K30" i="126"/>
  <c r="K31" i="126" s="1"/>
  <c r="K28" i="126" s="1"/>
  <c r="L29" i="126" s="1"/>
  <c r="R6" i="126"/>
  <c r="Q7" i="126"/>
  <c r="Q8" i="126" s="1"/>
  <c r="M117" i="130" l="1"/>
  <c r="M118" i="130" s="1"/>
  <c r="N116" i="130"/>
  <c r="P73" i="130"/>
  <c r="O74" i="130"/>
  <c r="O75" i="130" s="1"/>
  <c r="R29" i="130"/>
  <c r="Q30" i="130"/>
  <c r="Q31" i="130" s="1"/>
  <c r="P52" i="130"/>
  <c r="P53" i="130" s="1"/>
  <c r="Q51" i="130"/>
  <c r="O95" i="130"/>
  <c r="N96" i="130"/>
  <c r="N97" i="130" s="1"/>
  <c r="T6" i="130"/>
  <c r="S7" i="130"/>
  <c r="S8" i="130" s="1"/>
  <c r="L30" i="126"/>
  <c r="L31" i="126" s="1"/>
  <c r="S6" i="126"/>
  <c r="R7" i="126"/>
  <c r="R8" i="126" s="1"/>
  <c r="O96" i="130" l="1"/>
  <c r="O97" i="130" s="1"/>
  <c r="O98" i="130" s="1"/>
  <c r="P95" i="130"/>
  <c r="Q52" i="130"/>
  <c r="Q53" i="130" s="1"/>
  <c r="Q54" i="130" s="1"/>
  <c r="R51" i="130"/>
  <c r="S29" i="130"/>
  <c r="R30" i="130"/>
  <c r="R31" i="130" s="1"/>
  <c r="Q73" i="130"/>
  <c r="P74" i="130"/>
  <c r="P75" i="130" s="1"/>
  <c r="N117" i="130"/>
  <c r="N118" i="130" s="1"/>
  <c r="N119" i="130" s="1"/>
  <c r="O116" i="130"/>
  <c r="T7" i="130"/>
  <c r="T8" i="130" s="1"/>
  <c r="U6" i="130"/>
  <c r="L28" i="126"/>
  <c r="M29" i="126" s="1"/>
  <c r="S7" i="126"/>
  <c r="S8" i="126" s="1"/>
  <c r="T6" i="126"/>
  <c r="Q74" i="130" l="1"/>
  <c r="Q75" i="130" s="1"/>
  <c r="R73" i="130"/>
  <c r="P116" i="130"/>
  <c r="O117" i="130"/>
  <c r="O118" i="130" s="1"/>
  <c r="T29" i="130"/>
  <c r="S30" i="130"/>
  <c r="S31" i="130" s="1"/>
  <c r="S32" i="130" s="1"/>
  <c r="S51" i="130"/>
  <c r="R52" i="130"/>
  <c r="R53" i="130" s="1"/>
  <c r="P96" i="130"/>
  <c r="P97" i="130" s="1"/>
  <c r="Q95" i="130"/>
  <c r="U7" i="130"/>
  <c r="U8" i="130" s="1"/>
  <c r="V6" i="130"/>
  <c r="M30" i="126"/>
  <c r="M31" i="126" s="1"/>
  <c r="U6" i="126"/>
  <c r="T7" i="126"/>
  <c r="T8" i="126" s="1"/>
  <c r="T30" i="130" l="1"/>
  <c r="T31" i="130" s="1"/>
  <c r="T32" i="130" s="1"/>
  <c r="U29" i="130"/>
  <c r="T51" i="130"/>
  <c r="S52" i="130"/>
  <c r="S53" i="130" s="1"/>
  <c r="S54" i="130" s="1"/>
  <c r="Q116" i="130"/>
  <c r="P117" i="130"/>
  <c r="P118" i="130" s="1"/>
  <c r="P119" i="130" s="1"/>
  <c r="Q96" i="130"/>
  <c r="Q97" i="130" s="1"/>
  <c r="R95" i="130"/>
  <c r="R74" i="130"/>
  <c r="R75" i="130" s="1"/>
  <c r="S73" i="130"/>
  <c r="V7" i="130"/>
  <c r="V8" i="130" s="1"/>
  <c r="W6" i="130"/>
  <c r="M28" i="126"/>
  <c r="N29" i="126" s="1"/>
  <c r="V6" i="126"/>
  <c r="U7" i="126"/>
  <c r="U8" i="126" s="1"/>
  <c r="S95" i="130" l="1"/>
  <c r="R96" i="130"/>
  <c r="R97" i="130" s="1"/>
  <c r="R98" i="130" s="1"/>
  <c r="Q117" i="130"/>
  <c r="Q118" i="130" s="1"/>
  <c r="R116" i="130"/>
  <c r="U30" i="130"/>
  <c r="U31" i="130" s="1"/>
  <c r="V29" i="130"/>
  <c r="U51" i="130"/>
  <c r="T52" i="130"/>
  <c r="T53" i="130" s="1"/>
  <c r="S74" i="130"/>
  <c r="S75" i="130" s="1"/>
  <c r="T73" i="130"/>
  <c r="W7" i="130"/>
  <c r="W8" i="130" s="1"/>
  <c r="X6" i="130"/>
  <c r="V7" i="126"/>
  <c r="V8" i="126" s="1"/>
  <c r="V5" i="126" s="1"/>
  <c r="W6" i="126"/>
  <c r="N30" i="126"/>
  <c r="N31" i="126" s="1"/>
  <c r="N28" i="126" s="1"/>
  <c r="O29" i="126" s="1"/>
  <c r="U52" i="130" l="1"/>
  <c r="U53" i="130" s="1"/>
  <c r="V51" i="130"/>
  <c r="W29" i="130"/>
  <c r="V30" i="130"/>
  <c r="V31" i="130" s="1"/>
  <c r="V32" i="130" s="1"/>
  <c r="R117" i="130"/>
  <c r="R118" i="130" s="1"/>
  <c r="R119" i="130" s="1"/>
  <c r="S116" i="130"/>
  <c r="U73" i="130"/>
  <c r="T74" i="130"/>
  <c r="T75" i="130" s="1"/>
  <c r="T76" i="130" s="1"/>
  <c r="T95" i="130"/>
  <c r="S96" i="130"/>
  <c r="S97" i="130" s="1"/>
  <c r="S98" i="130" s="1"/>
  <c r="X7" i="130"/>
  <c r="X8" i="130" s="1"/>
  <c r="Y6" i="130"/>
  <c r="O30" i="126"/>
  <c r="O31" i="126" s="1"/>
  <c r="O28" i="126" s="1"/>
  <c r="P29" i="126" s="1"/>
  <c r="X6" i="126"/>
  <c r="W7" i="126"/>
  <c r="W8" i="126" s="1"/>
  <c r="W5" i="126" s="1"/>
  <c r="U74" i="130" l="1"/>
  <c r="U75" i="130" s="1"/>
  <c r="U76" i="130" s="1"/>
  <c r="V73" i="130"/>
  <c r="T116" i="130"/>
  <c r="S117" i="130"/>
  <c r="S118" i="130" s="1"/>
  <c r="W30" i="130"/>
  <c r="W31" i="130" s="1"/>
  <c r="X29" i="130"/>
  <c r="W51" i="130"/>
  <c r="V52" i="130"/>
  <c r="V53" i="130" s="1"/>
  <c r="U95" i="130"/>
  <c r="T96" i="130"/>
  <c r="T97" i="130" s="1"/>
  <c r="Z6" i="130"/>
  <c r="Y7" i="130"/>
  <c r="Y8" i="130" s="1"/>
  <c r="P30" i="126"/>
  <c r="P31" i="126" s="1"/>
  <c r="Y6" i="126"/>
  <c r="X7" i="126"/>
  <c r="X8" i="126" s="1"/>
  <c r="X5" i="126" s="1"/>
  <c r="X51" i="130" l="1"/>
  <c r="W52" i="130"/>
  <c r="W53" i="130" s="1"/>
  <c r="U116" i="130"/>
  <c r="T117" i="130"/>
  <c r="T118" i="130" s="1"/>
  <c r="W73" i="130"/>
  <c r="V74" i="130"/>
  <c r="V75" i="130" s="1"/>
  <c r="V76" i="130" s="1"/>
  <c r="Y29" i="130"/>
  <c r="X30" i="130"/>
  <c r="X31" i="130" s="1"/>
  <c r="V95" i="130"/>
  <c r="U96" i="130"/>
  <c r="U97" i="130" s="1"/>
  <c r="U98" i="130" s="1"/>
  <c r="AA6" i="130"/>
  <c r="Z7" i="130"/>
  <c r="Z8" i="130" s="1"/>
  <c r="P28" i="126"/>
  <c r="Q29" i="126" s="1"/>
  <c r="Z6" i="126"/>
  <c r="Y7" i="126"/>
  <c r="Y8" i="126" s="1"/>
  <c r="Y5" i="126" s="1"/>
  <c r="Y30" i="130" l="1"/>
  <c r="Y31" i="130" s="1"/>
  <c r="Z29" i="130"/>
  <c r="X73" i="130"/>
  <c r="W74" i="130"/>
  <c r="W75" i="130" s="1"/>
  <c r="V116" i="130"/>
  <c r="U117" i="130"/>
  <c r="U118" i="130" s="1"/>
  <c r="W95" i="130"/>
  <c r="V96" i="130"/>
  <c r="V97" i="130" s="1"/>
  <c r="X52" i="130"/>
  <c r="X53" i="130" s="1"/>
  <c r="X54" i="130" s="1"/>
  <c r="Y51" i="130"/>
  <c r="AB6" i="130"/>
  <c r="AA7" i="130"/>
  <c r="AA8" i="130" s="1"/>
  <c r="AA6" i="126"/>
  <c r="Z7" i="126"/>
  <c r="Z8" i="126" s="1"/>
  <c r="Z5" i="126" s="1"/>
  <c r="Q30" i="126"/>
  <c r="Q31" i="126" s="1"/>
  <c r="X95" i="130" l="1"/>
  <c r="W96" i="130"/>
  <c r="W97" i="130" s="1"/>
  <c r="W116" i="130"/>
  <c r="V117" i="130"/>
  <c r="V118" i="130" s="1"/>
  <c r="Y73" i="130"/>
  <c r="X74" i="130"/>
  <c r="X75" i="130" s="1"/>
  <c r="Z51" i="130"/>
  <c r="Y52" i="130"/>
  <c r="Y53" i="130" s="1"/>
  <c r="AA29" i="130"/>
  <c r="Z30" i="130"/>
  <c r="Z31" i="130" s="1"/>
  <c r="Z32" i="130" s="1"/>
  <c r="AB7" i="130"/>
  <c r="AB8" i="130" s="1"/>
  <c r="AC6" i="130"/>
  <c r="Q28" i="126"/>
  <c r="R29" i="126" s="1"/>
  <c r="AB6" i="126"/>
  <c r="AA7" i="126"/>
  <c r="AA8" i="126" s="1"/>
  <c r="AA5" i="126" s="1"/>
  <c r="AA51" i="130" l="1"/>
  <c r="Z52" i="130"/>
  <c r="Z53" i="130" s="1"/>
  <c r="Y74" i="130"/>
  <c r="Y75" i="130" s="1"/>
  <c r="Z73" i="130"/>
  <c r="W117" i="130"/>
  <c r="W118" i="130" s="1"/>
  <c r="W119" i="130" s="1"/>
  <c r="X116" i="130"/>
  <c r="AB29" i="130"/>
  <c r="AA30" i="130"/>
  <c r="AA31" i="130" s="1"/>
  <c r="AA32" i="130" s="1"/>
  <c r="Y95" i="130"/>
  <c r="X96" i="130"/>
  <c r="X97" i="130" s="1"/>
  <c r="AC7" i="130"/>
  <c r="AC8" i="130" s="1"/>
  <c r="AD6" i="130"/>
  <c r="R30" i="126"/>
  <c r="R31" i="126" s="1"/>
  <c r="AC6" i="126"/>
  <c r="AB7" i="126"/>
  <c r="AB8" i="126" s="1"/>
  <c r="AB5" i="126" s="1"/>
  <c r="Y116" i="130" l="1"/>
  <c r="X117" i="130"/>
  <c r="X118" i="130" s="1"/>
  <c r="X119" i="130" s="1"/>
  <c r="AB30" i="130"/>
  <c r="AB31" i="130" s="1"/>
  <c r="AC29" i="130"/>
  <c r="Z74" i="130"/>
  <c r="Z75" i="130" s="1"/>
  <c r="AA73" i="130"/>
  <c r="Z95" i="130"/>
  <c r="Y96" i="130"/>
  <c r="Y97" i="130" s="1"/>
  <c r="Y98" i="130" s="1"/>
  <c r="AB51" i="130"/>
  <c r="AA52" i="130"/>
  <c r="AA53" i="130" s="1"/>
  <c r="AE6" i="130"/>
  <c r="AD7" i="130"/>
  <c r="AD8" i="130" s="1"/>
  <c r="AD6" i="126"/>
  <c r="AC7" i="126"/>
  <c r="AC8" i="126" s="1"/>
  <c r="AC5" i="126" s="1"/>
  <c r="R28" i="126"/>
  <c r="S29" i="126" s="1"/>
  <c r="AB52" i="130" l="1"/>
  <c r="AB53" i="130" s="1"/>
  <c r="AC51" i="130"/>
  <c r="Z96" i="130"/>
  <c r="Z97" i="130" s="1"/>
  <c r="Z98" i="130" s="1"/>
  <c r="AA95" i="130"/>
  <c r="AA74" i="130"/>
  <c r="AA75" i="130" s="1"/>
  <c r="AB73" i="130"/>
  <c r="AD29" i="130"/>
  <c r="AC30" i="130"/>
  <c r="AC31" i="130" s="1"/>
  <c r="Z116" i="130"/>
  <c r="Y117" i="130"/>
  <c r="Y118" i="130" s="1"/>
  <c r="AE7" i="130"/>
  <c r="AE8" i="130" s="1"/>
  <c r="AF6" i="130"/>
  <c r="S30" i="126"/>
  <c r="S31" i="126" s="1"/>
  <c r="AD7" i="126"/>
  <c r="AD8" i="126" s="1"/>
  <c r="AD5" i="126" s="1"/>
  <c r="AE6" i="126"/>
  <c r="Z117" i="130" l="1"/>
  <c r="Z118" i="130" s="1"/>
  <c r="AA116" i="130"/>
  <c r="AE29" i="130"/>
  <c r="AD30" i="130"/>
  <c r="AD31" i="130" s="1"/>
  <c r="AC73" i="130"/>
  <c r="AB74" i="130"/>
  <c r="AB75" i="130" s="1"/>
  <c r="AB95" i="130"/>
  <c r="AA96" i="130"/>
  <c r="AA97" i="130" s="1"/>
  <c r="AC52" i="130"/>
  <c r="AC53" i="130" s="1"/>
  <c r="AD51" i="130"/>
  <c r="AG6" i="130"/>
  <c r="AG7" i="130" s="1"/>
  <c r="AG8" i="130" s="1"/>
  <c r="AF7" i="130"/>
  <c r="AF8" i="130" s="1"/>
  <c r="S28" i="126"/>
  <c r="T29" i="126" s="1"/>
  <c r="AE7" i="126"/>
  <c r="AE8" i="126" s="1"/>
  <c r="AE5" i="126" s="1"/>
  <c r="AF6" i="126"/>
  <c r="AF29" i="130" l="1"/>
  <c r="AE30" i="130"/>
  <c r="AE31" i="130" s="1"/>
  <c r="AA117" i="130"/>
  <c r="AA118" i="130" s="1"/>
  <c r="AB116" i="130"/>
  <c r="AC95" i="130"/>
  <c r="AB96" i="130"/>
  <c r="AB97" i="130" s="1"/>
  <c r="AB98" i="130" s="1"/>
  <c r="AD73" i="130"/>
  <c r="AC74" i="130"/>
  <c r="AC75" i="130" s="1"/>
  <c r="AD52" i="130"/>
  <c r="AD53" i="130" s="1"/>
  <c r="AD54" i="130" s="1"/>
  <c r="AE51" i="130"/>
  <c r="T30" i="126"/>
  <c r="T31" i="126" s="1"/>
  <c r="AF7" i="126"/>
  <c r="AF8" i="126" s="1"/>
  <c r="AF5" i="126" s="1"/>
  <c r="AG6" i="126"/>
  <c r="AG7" i="126" s="1"/>
  <c r="AG8" i="126" s="1"/>
  <c r="AG5" i="126" s="1"/>
  <c r="AD95" i="130" l="1"/>
  <c r="AC96" i="130"/>
  <c r="AC97" i="130" s="1"/>
  <c r="AE73" i="130"/>
  <c r="AD74" i="130"/>
  <c r="AD75" i="130" s="1"/>
  <c r="AC116" i="130"/>
  <c r="AB117" i="130"/>
  <c r="AB118" i="130" s="1"/>
  <c r="AF51" i="130"/>
  <c r="AE52" i="130"/>
  <c r="AE53" i="130" s="1"/>
  <c r="AE54" i="130" s="1"/>
  <c r="AG29" i="130"/>
  <c r="AG30" i="130" s="1"/>
  <c r="AG31" i="130" s="1"/>
  <c r="AG32" i="130" s="1"/>
  <c r="AF30" i="130"/>
  <c r="AF31" i="130" s="1"/>
  <c r="T28" i="126"/>
  <c r="U29" i="126" s="1"/>
  <c r="AF73" i="130" l="1"/>
  <c r="AE74" i="130"/>
  <c r="AE75" i="130" s="1"/>
  <c r="AD96" i="130"/>
  <c r="AD97" i="130" s="1"/>
  <c r="AE95" i="130"/>
  <c r="AF52" i="130"/>
  <c r="AF53" i="130" s="1"/>
  <c r="AF54" i="130" s="1"/>
  <c r="AG51" i="130"/>
  <c r="AG52" i="130" s="1"/>
  <c r="AG53" i="130" s="1"/>
  <c r="AG54" i="130" s="1"/>
  <c r="AC117" i="130"/>
  <c r="AC118" i="130" s="1"/>
  <c r="AC119" i="130" s="1"/>
  <c r="AD116" i="130"/>
  <c r="U30" i="126"/>
  <c r="U31" i="126" s="1"/>
  <c r="U28" i="126" s="1"/>
  <c r="V29" i="126" s="1"/>
  <c r="AG73" i="130" l="1"/>
  <c r="AG74" i="130" s="1"/>
  <c r="AG75" i="130" s="1"/>
  <c r="AF74" i="130"/>
  <c r="AF75" i="130" s="1"/>
  <c r="AE116" i="130"/>
  <c r="AD117" i="130"/>
  <c r="AD118" i="130" s="1"/>
  <c r="AD119" i="130" s="1"/>
  <c r="AE96" i="130"/>
  <c r="AE97" i="130" s="1"/>
  <c r="AF95" i="130"/>
  <c r="V30" i="126"/>
  <c r="V31" i="126" s="1"/>
  <c r="V28" i="126" s="1"/>
  <c r="W29" i="126" s="1"/>
  <c r="AF116" i="130" l="1"/>
  <c r="AF117" i="130" s="1"/>
  <c r="AF118" i="130" s="1"/>
  <c r="AE117" i="130"/>
  <c r="AE118" i="130" s="1"/>
  <c r="AF96" i="130"/>
  <c r="AF97" i="130" s="1"/>
  <c r="AF98" i="130" s="1"/>
  <c r="AG95" i="130"/>
  <c r="AG96" i="130" s="1"/>
  <c r="AG97" i="130" s="1"/>
  <c r="AG98" i="130" s="1"/>
  <c r="W30" i="126"/>
  <c r="W31" i="126" s="1"/>
  <c r="W28" i="126" l="1"/>
  <c r="X29" i="126" s="1"/>
  <c r="X30" i="126" l="1"/>
  <c r="X31" i="126" s="1"/>
  <c r="X28" i="126" l="1"/>
  <c r="Y29" i="126" s="1"/>
  <c r="Y30" i="126" l="1"/>
  <c r="Y31" i="126" s="1"/>
  <c r="Y28" i="126" s="1"/>
  <c r="Z29" i="126" s="1"/>
  <c r="Z30" i="126" l="1"/>
  <c r="Z31" i="126" s="1"/>
  <c r="Z28" i="126" s="1"/>
  <c r="AA29" i="126" s="1"/>
  <c r="AA30" i="126" l="1"/>
  <c r="AA31" i="126" s="1"/>
  <c r="AA28" i="126" s="1"/>
  <c r="AB29" i="126" s="1"/>
  <c r="AB30" i="126" l="1"/>
  <c r="AB31" i="126" s="1"/>
  <c r="AB28" i="126" s="1"/>
  <c r="AC29" i="126" s="1"/>
  <c r="AC30" i="126" l="1"/>
  <c r="AC31" i="126" s="1"/>
  <c r="AC28" i="126" s="1"/>
  <c r="AD29" i="126" s="1"/>
  <c r="AD30" i="126" l="1"/>
  <c r="AD31" i="126" s="1"/>
  <c r="AD28" i="126" l="1"/>
  <c r="AE29" i="126" s="1"/>
  <c r="AE30" i="126" l="1"/>
  <c r="AE31" i="126" s="1"/>
  <c r="AE28" i="126" l="1"/>
  <c r="AF29" i="126" s="1"/>
  <c r="AF30" i="126" l="1"/>
  <c r="AF31" i="126" s="1"/>
  <c r="AF28" i="126" s="1"/>
  <c r="AG29" i="126" s="1"/>
  <c r="AG30" i="126" s="1"/>
  <c r="AG31" i="126" s="1"/>
  <c r="AG32" i="126" l="1"/>
  <c r="AG28" i="126"/>
  <c r="C51" i="126" s="1"/>
  <c r="AL71" i="126" l="1"/>
  <c r="C52" i="126"/>
  <c r="C53" i="126" s="1"/>
  <c r="AI71" i="126"/>
  <c r="A54" i="126"/>
  <c r="AI67" i="126" l="1"/>
  <c r="AH67" i="126" s="1"/>
  <c r="C50" i="126"/>
  <c r="D51" i="126" l="1"/>
  <c r="D52" i="126" l="1"/>
  <c r="D53" i="126" s="1"/>
  <c r="D50" i="126" s="1"/>
  <c r="E51" i="126" l="1"/>
  <c r="E52" i="126" l="1"/>
  <c r="E53" i="126" s="1"/>
  <c r="E50" i="126" s="1"/>
  <c r="F51" i="126" l="1"/>
  <c r="F52" i="126" l="1"/>
  <c r="F53" i="126" s="1"/>
  <c r="F50" i="126" s="1"/>
  <c r="G51" i="126" s="1"/>
  <c r="G52" i="126" l="1"/>
  <c r="G53" i="126" s="1"/>
  <c r="G50" i="126" l="1"/>
  <c r="H51" i="126" s="1"/>
  <c r="H52" i="126" l="1"/>
  <c r="H53" i="126" s="1"/>
  <c r="H50" i="126" l="1"/>
  <c r="I51" i="126" s="1"/>
  <c r="I52" i="126" l="1"/>
  <c r="I53" i="126" s="1"/>
  <c r="I50" i="126" s="1"/>
  <c r="J51" i="126" s="1"/>
  <c r="J52" i="126" l="1"/>
  <c r="J53" i="126" s="1"/>
  <c r="AI111" i="126"/>
  <c r="AH111" i="126" s="1"/>
  <c r="AI68" i="126"/>
  <c r="AH68" i="126" s="1"/>
  <c r="AI132" i="126"/>
  <c r="AH132" i="126" s="1"/>
  <c r="AI90" i="126"/>
  <c r="AH90" i="126" s="1"/>
  <c r="J50" i="126" l="1"/>
  <c r="K51" i="126" s="1"/>
  <c r="AI46" i="126"/>
  <c r="AH46" i="126" s="1"/>
  <c r="AI23" i="126"/>
  <c r="AH23" i="126" s="1"/>
  <c r="AC172" i="126"/>
  <c r="K52" i="126" l="1"/>
  <c r="K53" i="126" s="1"/>
  <c r="K50" i="126" s="1"/>
  <c r="L51" i="126" s="1"/>
  <c r="X175" i="126"/>
  <c r="X177" i="126"/>
  <c r="X173" i="126"/>
  <c r="X172" i="126"/>
  <c r="X176" i="126"/>
  <c r="X174" i="126"/>
  <c r="L52" i="126" l="1"/>
  <c r="L53" i="126" s="1"/>
  <c r="X178" i="126"/>
  <c r="L50" i="126" l="1"/>
  <c r="M51" i="126" s="1"/>
  <c r="M52" i="126" l="1"/>
  <c r="M53" i="126" s="1"/>
  <c r="M50" i="126" s="1"/>
  <c r="N51" i="126" s="1"/>
  <c r="N52" i="126" l="1"/>
  <c r="N53" i="126" s="1"/>
  <c r="N50" i="126" s="1"/>
  <c r="O51" i="126" s="1"/>
  <c r="O52" i="126" l="1"/>
  <c r="O53" i="126" s="1"/>
  <c r="O50" i="126" l="1"/>
  <c r="P51" i="126" s="1"/>
  <c r="P52" i="126" l="1"/>
  <c r="P53" i="126" s="1"/>
  <c r="P50" i="126" s="1"/>
  <c r="Q51" i="126" s="1"/>
  <c r="Q52" i="126" l="1"/>
  <c r="Q53" i="126" s="1"/>
  <c r="Q50" i="126" l="1"/>
  <c r="R51" i="126" s="1"/>
  <c r="R52" i="126" l="1"/>
  <c r="R53" i="126" s="1"/>
  <c r="R50" i="126" s="1"/>
  <c r="S51" i="126" s="1"/>
  <c r="S52" i="126" l="1"/>
  <c r="S53" i="126" s="1"/>
  <c r="S50" i="126" s="1"/>
  <c r="T51" i="126" s="1"/>
  <c r="I150" i="126" l="1"/>
  <c r="I151" i="126"/>
  <c r="T52" i="126"/>
  <c r="T53" i="126" s="1"/>
  <c r="T50" i="126" s="1"/>
  <c r="U51" i="126" s="1"/>
  <c r="U52" i="126" l="1"/>
  <c r="U53" i="126" s="1"/>
  <c r="U50" i="126" s="1"/>
  <c r="V51" i="126" s="1"/>
  <c r="V151" i="126"/>
  <c r="K151" i="126"/>
  <c r="K150" i="126"/>
  <c r="V150" i="126"/>
  <c r="V52" i="126" l="1"/>
  <c r="V53" i="126" s="1"/>
  <c r="C32" i="126"/>
  <c r="E32" i="126"/>
  <c r="I32" i="126"/>
  <c r="J32" i="126"/>
  <c r="L32" i="126"/>
  <c r="M32" i="126"/>
  <c r="P32" i="126"/>
  <c r="Q32" i="126"/>
  <c r="R32" i="126"/>
  <c r="S32" i="126"/>
  <c r="T32" i="126"/>
  <c r="W32" i="126"/>
  <c r="X32" i="126"/>
  <c r="AD32" i="126"/>
  <c r="AE32" i="126"/>
  <c r="C54" i="126"/>
  <c r="G54" i="126"/>
  <c r="H54" i="126"/>
  <c r="J54" i="126"/>
  <c r="L54" i="126"/>
  <c r="O54" i="126"/>
  <c r="Q54" i="126"/>
  <c r="AH172" i="126"/>
  <c r="V50" i="126" l="1"/>
  <c r="W51" i="126" s="1"/>
  <c r="V54" i="126"/>
  <c r="W52" i="126" l="1"/>
  <c r="W53" i="126" s="1"/>
  <c r="W50" i="126" s="1"/>
  <c r="X51" i="126" s="1"/>
  <c r="X52" i="126" l="1"/>
  <c r="X53" i="126" s="1"/>
  <c r="X54" i="126" l="1"/>
  <c r="X50" i="126"/>
  <c r="Y51" i="126" s="1"/>
  <c r="Y52" i="126" l="1"/>
  <c r="Y53" i="126" s="1"/>
  <c r="Y50" i="126" s="1"/>
  <c r="Z51" i="126" s="1"/>
  <c r="Z52" i="126" l="1"/>
  <c r="Z53" i="126" s="1"/>
  <c r="Z50" i="126" s="1"/>
  <c r="AA51" i="126" s="1"/>
  <c r="AA52" i="126" l="1"/>
  <c r="AA53" i="126" s="1"/>
  <c r="AA50" i="126" s="1"/>
  <c r="AB51" i="126" s="1"/>
  <c r="AB52" i="126" l="1"/>
  <c r="AB53" i="126" s="1"/>
  <c r="AB50" i="126" s="1"/>
  <c r="AC51" i="126" s="1"/>
  <c r="AC52" i="126" l="1"/>
  <c r="AC53" i="126" s="1"/>
  <c r="AC50" i="126" l="1"/>
  <c r="AD51" i="126" s="1"/>
  <c r="AC54" i="126"/>
  <c r="AD52" i="126" l="1"/>
  <c r="AD53" i="126" s="1"/>
  <c r="AD50" i="126" s="1"/>
  <c r="AE51" i="126" s="1"/>
  <c r="AE52" i="126" l="1"/>
  <c r="AE53" i="126" s="1"/>
  <c r="AE54" i="126" l="1"/>
  <c r="AE50" i="126"/>
  <c r="AF51" i="126" s="1"/>
  <c r="AF52" i="126" l="1"/>
  <c r="AF53" i="126" s="1"/>
  <c r="AF50" i="126" s="1"/>
  <c r="AG51" i="126" s="1"/>
  <c r="AG52" i="126" s="1"/>
  <c r="AG53" i="126" s="1"/>
  <c r="AG50" i="126" s="1"/>
  <c r="C73" i="126" s="1"/>
  <c r="AL93" i="126" l="1"/>
  <c r="AI93" i="126"/>
  <c r="I152" i="126"/>
  <c r="C74" i="126"/>
  <c r="C75" i="126" s="1"/>
  <c r="A76" i="126"/>
  <c r="C72" i="126" l="1"/>
  <c r="AI89" i="126"/>
  <c r="AH89" i="126" s="1"/>
  <c r="V152" i="126"/>
  <c r="K152" i="126"/>
  <c r="D73" i="126" l="1"/>
  <c r="D74" i="126" l="1"/>
  <c r="D75" i="126" s="1"/>
  <c r="D72" i="126" l="1"/>
  <c r="D76" i="126"/>
  <c r="E73" i="126" l="1"/>
  <c r="E74" i="126" l="1"/>
  <c r="E75" i="126" s="1"/>
  <c r="E76" i="126" l="1"/>
  <c r="E72" i="126"/>
  <c r="F73" i="126" l="1"/>
  <c r="U172" i="126" l="1"/>
  <c r="F74" i="126"/>
  <c r="F75" i="126" s="1"/>
  <c r="F72" i="126" s="1"/>
  <c r="G73" i="126" l="1"/>
  <c r="G74" i="126" l="1"/>
  <c r="G75" i="126" s="1"/>
  <c r="G72" i="126" s="1"/>
  <c r="H73" i="126" s="1"/>
  <c r="H74" i="126" l="1"/>
  <c r="H75" i="126" s="1"/>
  <c r="H72" i="126" s="1"/>
  <c r="I73" i="126" s="1"/>
  <c r="I74" i="126" l="1"/>
  <c r="I75" i="126" s="1"/>
  <c r="I72" i="126" s="1"/>
  <c r="J73" i="126" s="1"/>
  <c r="J74" i="126" l="1"/>
  <c r="J75" i="126" s="1"/>
  <c r="J76" i="126" l="1"/>
  <c r="J72" i="126"/>
  <c r="K73" i="126" s="1"/>
  <c r="K74" i="126" l="1"/>
  <c r="K75" i="126" s="1"/>
  <c r="K76" i="126" l="1"/>
  <c r="K72" i="126"/>
  <c r="L73" i="126" s="1"/>
  <c r="L74" i="126" l="1"/>
  <c r="L75" i="126" s="1"/>
  <c r="L76" i="126" l="1"/>
  <c r="L72" i="126"/>
  <c r="M73" i="126" s="1"/>
  <c r="M74" i="126" l="1"/>
  <c r="M75" i="126" s="1"/>
  <c r="M72" i="126" s="1"/>
  <c r="N73" i="126" s="1"/>
  <c r="N74" i="126" l="1"/>
  <c r="N75" i="126" s="1"/>
  <c r="N72" i="126" l="1"/>
  <c r="O73" i="126" s="1"/>
  <c r="N76" i="126"/>
  <c r="O74" i="126" l="1"/>
  <c r="O75" i="126" s="1"/>
  <c r="O72" i="126" s="1"/>
  <c r="P73" i="126" s="1"/>
  <c r="P74" i="126" l="1"/>
  <c r="P75" i="126" s="1"/>
  <c r="P72" i="126" s="1"/>
  <c r="Q73" i="126" s="1"/>
  <c r="Q74" i="126" l="1"/>
  <c r="Q75" i="126" s="1"/>
  <c r="Q72" i="126" s="1"/>
  <c r="R73" i="126" s="1"/>
  <c r="R74" i="126" l="1"/>
  <c r="R75" i="126" s="1"/>
  <c r="R76" i="126" l="1"/>
  <c r="R72" i="126"/>
  <c r="S73" i="126" s="1"/>
  <c r="S74" i="126" l="1"/>
  <c r="S75" i="126" s="1"/>
  <c r="S72" i="126" l="1"/>
  <c r="T73" i="126" s="1"/>
  <c r="S76" i="126"/>
  <c r="T74" i="126" l="1"/>
  <c r="T75" i="126" s="1"/>
  <c r="T72" i="126" s="1"/>
  <c r="U73" i="126" s="1"/>
  <c r="U74" i="126" l="1"/>
  <c r="U75" i="126" s="1"/>
  <c r="U72" i="126" s="1"/>
  <c r="V73" i="126" s="1"/>
  <c r="V74" i="126" l="1"/>
  <c r="V75" i="126" s="1"/>
  <c r="V72" i="126" s="1"/>
  <c r="W73" i="126" s="1"/>
  <c r="W74" i="126" l="1"/>
  <c r="W75" i="126" s="1"/>
  <c r="W72" i="126" s="1"/>
  <c r="X73" i="126" s="1"/>
  <c r="X74" i="126" l="1"/>
  <c r="X75" i="126" s="1"/>
  <c r="X72" i="126" s="1"/>
  <c r="Y73" i="126" s="1"/>
  <c r="Y74" i="126" l="1"/>
  <c r="Y75" i="126" s="1"/>
  <c r="Y72" i="126" l="1"/>
  <c r="Z73" i="126" s="1"/>
  <c r="Y76" i="126"/>
  <c r="Z74" i="126" l="1"/>
  <c r="Z75" i="126" s="1"/>
  <c r="Z72" i="126" l="1"/>
  <c r="AA73" i="126" s="1"/>
  <c r="Z76" i="126"/>
  <c r="AA74" i="126" l="1"/>
  <c r="AA75" i="126" s="1"/>
  <c r="AA72" i="126" s="1"/>
  <c r="AB73" i="126" s="1"/>
  <c r="AB74" i="126" l="1"/>
  <c r="AB75" i="126" s="1"/>
  <c r="AB72" i="126" l="1"/>
  <c r="AC73" i="126" s="1"/>
  <c r="AB76" i="126"/>
  <c r="AC74" i="126" l="1"/>
  <c r="AC75" i="126" s="1"/>
  <c r="AC72" i="126" s="1"/>
  <c r="AD73" i="126" s="1"/>
  <c r="AD74" i="126" l="1"/>
  <c r="AD75" i="126" s="1"/>
  <c r="AD72" i="126" s="1"/>
  <c r="AE73" i="126" s="1"/>
  <c r="AE74" i="126" l="1"/>
  <c r="AE75" i="126" s="1"/>
  <c r="AE72" i="126" s="1"/>
  <c r="AF73" i="126" s="1"/>
  <c r="AF74" i="126" l="1"/>
  <c r="AF75" i="126" s="1"/>
  <c r="AF76" i="126" l="1"/>
  <c r="AF72" i="126"/>
  <c r="AG73" i="126" s="1"/>
  <c r="AG74" i="126" s="1"/>
  <c r="AG75" i="126" s="1"/>
  <c r="AG76" i="126" l="1"/>
  <c r="AG72" i="126"/>
  <c r="C95" i="126" s="1"/>
  <c r="I153" i="126" l="1"/>
  <c r="AI114" i="126"/>
  <c r="C96" i="126"/>
  <c r="C97" i="126" s="1"/>
  <c r="AL114" i="126"/>
  <c r="A98" i="126"/>
  <c r="AI110" i="126" l="1"/>
  <c r="AH110" i="126" s="1"/>
  <c r="C94" i="126"/>
  <c r="V153" i="126"/>
  <c r="K153" i="126"/>
  <c r="C98" i="126" s="1"/>
  <c r="D95" i="126" l="1"/>
  <c r="D96" i="126" l="1"/>
  <c r="D97" i="126" s="1"/>
  <c r="D94" i="126" l="1"/>
  <c r="D98" i="126"/>
  <c r="E95" i="126" l="1"/>
  <c r="E96" i="126" l="1"/>
  <c r="E97" i="126" s="1"/>
  <c r="E94" i="126" s="1"/>
  <c r="F95" i="126" l="1"/>
  <c r="F96" i="126" l="1"/>
  <c r="F97" i="126" s="1"/>
  <c r="F94" i="126" s="1"/>
  <c r="G95" i="126" s="1"/>
  <c r="G96" i="126" l="1"/>
  <c r="G97" i="126" s="1"/>
  <c r="G94" i="126" s="1"/>
  <c r="H95" i="126" s="1"/>
  <c r="H96" i="126" l="1"/>
  <c r="H97" i="126" s="1"/>
  <c r="H94" i="126" s="1"/>
  <c r="I95" i="126" s="1"/>
  <c r="I96" i="126" l="1"/>
  <c r="I97" i="126" s="1"/>
  <c r="I98" i="126" l="1"/>
  <c r="I94" i="126"/>
  <c r="J95" i="126" s="1"/>
  <c r="J96" i="126" l="1"/>
  <c r="J97" i="126" s="1"/>
  <c r="J94" i="126" l="1"/>
  <c r="K95" i="126" s="1"/>
  <c r="J98" i="126"/>
  <c r="K96" i="126" l="1"/>
  <c r="K97" i="126" s="1"/>
  <c r="K94" i="126" s="1"/>
  <c r="L95" i="126" s="1"/>
  <c r="L96" i="126" l="1"/>
  <c r="L97" i="126" s="1"/>
  <c r="L98" i="126" l="1"/>
  <c r="L94" i="126"/>
  <c r="M95" i="126" s="1"/>
  <c r="M96" i="126" l="1"/>
  <c r="M97" i="126" s="1"/>
  <c r="M94" i="126" l="1"/>
  <c r="N95" i="126" s="1"/>
  <c r="M98" i="126"/>
  <c r="N96" i="126" l="1"/>
  <c r="N97" i="126" s="1"/>
  <c r="N94" i="126" s="1"/>
  <c r="O95" i="126" s="1"/>
  <c r="O96" i="126" l="1"/>
  <c r="O97" i="126" s="1"/>
  <c r="O94" i="126" s="1"/>
  <c r="P95" i="126" s="1"/>
  <c r="P96" i="126" l="1"/>
  <c r="P97" i="126" s="1"/>
  <c r="P94" i="126" l="1"/>
  <c r="Q95" i="126" s="1"/>
  <c r="P98" i="126"/>
  <c r="Q96" i="126" l="1"/>
  <c r="Q97" i="126" s="1"/>
  <c r="Q94" i="126" l="1"/>
  <c r="R95" i="126" s="1"/>
  <c r="Q98" i="126"/>
  <c r="R96" i="126" l="1"/>
  <c r="R97" i="126" s="1"/>
  <c r="R94" i="126" s="1"/>
  <c r="S95" i="126" s="1"/>
  <c r="S96" i="126" l="1"/>
  <c r="S97" i="126" s="1"/>
  <c r="S94" i="126" s="1"/>
  <c r="T95" i="126" s="1"/>
  <c r="T96" i="126" l="1"/>
  <c r="T97" i="126" s="1"/>
  <c r="T94" i="126" s="1"/>
  <c r="U95" i="126" s="1"/>
  <c r="U173" i="126"/>
  <c r="U96" i="126" l="1"/>
  <c r="U97" i="126" s="1"/>
  <c r="U94" i="126" s="1"/>
  <c r="V95" i="126" s="1"/>
  <c r="AC173" i="126"/>
  <c r="V96" i="126" l="1"/>
  <c r="V97" i="126" s="1"/>
  <c r="V94" i="126" s="1"/>
  <c r="W95" i="126" s="1"/>
  <c r="AH173" i="126"/>
  <c r="W96" i="126" l="1"/>
  <c r="W97" i="126" s="1"/>
  <c r="W94" i="126" l="1"/>
  <c r="X95" i="126" s="1"/>
  <c r="W98" i="126"/>
  <c r="X96" i="126" l="1"/>
  <c r="X97" i="126" s="1"/>
  <c r="X98" i="126" l="1"/>
  <c r="X94" i="126"/>
  <c r="Y95" i="126" s="1"/>
  <c r="Y96" i="126" l="1"/>
  <c r="Y97" i="126" s="1"/>
  <c r="Y94" i="126" s="1"/>
  <c r="Z95" i="126" s="1"/>
  <c r="Z96" i="126" l="1"/>
  <c r="Z97" i="126" s="1"/>
  <c r="Z98" i="126" l="1"/>
  <c r="Z94" i="126"/>
  <c r="AA95" i="126" s="1"/>
  <c r="AA96" i="126" l="1"/>
  <c r="AA97" i="126" s="1"/>
  <c r="AA94" i="126" s="1"/>
  <c r="AB95" i="126" s="1"/>
  <c r="AB96" i="126" l="1"/>
  <c r="AB97" i="126" s="1"/>
  <c r="AB94" i="126" s="1"/>
  <c r="AC95" i="126" s="1"/>
  <c r="AC96" i="126" l="1"/>
  <c r="AC97" i="126" s="1"/>
  <c r="AC94" i="126" s="1"/>
  <c r="AD95" i="126" s="1"/>
  <c r="AD96" i="126" l="1"/>
  <c r="AD97" i="126" s="1"/>
  <c r="AD98" i="126" l="1"/>
  <c r="AD94" i="126"/>
  <c r="AE95" i="126" s="1"/>
  <c r="AE96" i="126" l="1"/>
  <c r="AE97" i="126" s="1"/>
  <c r="AE98" i="126" l="1"/>
  <c r="AE94" i="126"/>
  <c r="AF95" i="126" s="1"/>
  <c r="AF96" i="126" l="1"/>
  <c r="AF97" i="126" s="1"/>
  <c r="AF94" i="126" s="1"/>
  <c r="AG95" i="126" s="1"/>
  <c r="AG96" i="126" s="1"/>
  <c r="AG97" i="126" s="1"/>
  <c r="AG94" i="126" s="1"/>
  <c r="C116" i="126" s="1"/>
  <c r="C117" i="126" l="1"/>
  <c r="C118" i="126" s="1"/>
  <c r="I154" i="126"/>
  <c r="AL135" i="126"/>
  <c r="AI135" i="126"/>
  <c r="A119" i="126"/>
  <c r="V154" i="126" l="1"/>
  <c r="K154" i="126"/>
  <c r="C115" i="126"/>
  <c r="D116" i="126" s="1"/>
  <c r="AI131" i="126"/>
  <c r="AH131" i="126" s="1"/>
  <c r="D117" i="126" l="1"/>
  <c r="D118" i="126" s="1"/>
  <c r="D115" i="126" s="1"/>
  <c r="E116" i="126" s="1"/>
  <c r="E117" i="126" l="1"/>
  <c r="E118" i="126" s="1"/>
  <c r="E115" i="126" s="1"/>
  <c r="F116" i="126" s="1"/>
  <c r="F117" i="126" l="1"/>
  <c r="F118" i="126" s="1"/>
  <c r="F119" i="126" l="1"/>
  <c r="F115" i="126"/>
  <c r="G116" i="126" s="1"/>
  <c r="G117" i="126" l="1"/>
  <c r="G118" i="126" s="1"/>
  <c r="G119" i="126" l="1"/>
  <c r="G115" i="126"/>
  <c r="H116" i="126" s="1"/>
  <c r="H117" i="126" l="1"/>
  <c r="H118" i="126" s="1"/>
  <c r="H115" i="126" s="1"/>
  <c r="I116" i="126" s="1"/>
  <c r="I117" i="126" l="1"/>
  <c r="I118" i="126" s="1"/>
  <c r="I115" i="126" l="1"/>
  <c r="J116" i="126" s="1"/>
  <c r="I119" i="126"/>
  <c r="J117" i="126" l="1"/>
  <c r="J118" i="126" s="1"/>
  <c r="J119" i="126" l="1"/>
  <c r="J115" i="126"/>
  <c r="K116" i="126" s="1"/>
  <c r="K117" i="126" l="1"/>
  <c r="K118" i="126" s="1"/>
  <c r="K115" i="126" s="1"/>
  <c r="L116" i="126" s="1"/>
  <c r="L117" i="126" l="1"/>
  <c r="L118" i="126" s="1"/>
  <c r="L115" i="126" s="1"/>
  <c r="M116" i="126" s="1"/>
  <c r="M117" i="126" l="1"/>
  <c r="M118" i="126" s="1"/>
  <c r="M115" i="126" s="1"/>
  <c r="N116" i="126" s="1"/>
  <c r="N117" i="126" l="1"/>
  <c r="N118" i="126" s="1"/>
  <c r="N115" i="126" l="1"/>
  <c r="O116" i="126" s="1"/>
  <c r="N119" i="126"/>
  <c r="O117" i="126" l="1"/>
  <c r="O118" i="126" s="1"/>
  <c r="O115" i="126" s="1"/>
  <c r="P116" i="126" s="1"/>
  <c r="P117" i="126" l="1"/>
  <c r="P118" i="126" s="1"/>
  <c r="P115" i="126" l="1"/>
  <c r="Q116" i="126" s="1"/>
  <c r="P119" i="126"/>
  <c r="Q117" i="126" l="1"/>
  <c r="Q118" i="126" s="1"/>
  <c r="Q115" i="126" l="1"/>
  <c r="R116" i="126" s="1"/>
  <c r="Q119" i="126"/>
  <c r="R117" i="126" l="1"/>
  <c r="R118" i="126" s="1"/>
  <c r="R115" i="126" s="1"/>
  <c r="S116" i="126" s="1"/>
  <c r="S117" i="126" l="1"/>
  <c r="S118" i="126" s="1"/>
  <c r="S115" i="126" s="1"/>
  <c r="T116" i="126" s="1"/>
  <c r="T117" i="126" l="1"/>
  <c r="T118" i="126" s="1"/>
  <c r="T115" i="126" s="1"/>
  <c r="U116" i="126" s="1"/>
  <c r="U117" i="126" l="1"/>
  <c r="U118" i="126" s="1"/>
  <c r="U115" i="126" l="1"/>
  <c r="V116" i="126" s="1"/>
  <c r="U119" i="126"/>
  <c r="V117" i="126" l="1"/>
  <c r="V118" i="126" s="1"/>
  <c r="V115" i="126" s="1"/>
  <c r="W116" i="126" s="1"/>
  <c r="W117" i="126" l="1"/>
  <c r="W118" i="126" s="1"/>
  <c r="W119" i="126" l="1"/>
  <c r="W115" i="126"/>
  <c r="X116" i="126" s="1"/>
  <c r="X117" i="126" l="1"/>
  <c r="X118" i="126" s="1"/>
  <c r="X119" i="126" l="1"/>
  <c r="X115" i="126"/>
  <c r="Y116" i="126" s="1"/>
  <c r="Y117" i="126" l="1"/>
  <c r="Y118" i="126" s="1"/>
  <c r="Y115" i="126" s="1"/>
  <c r="Z116" i="126" s="1"/>
  <c r="Z117" i="126" l="1"/>
  <c r="Z118" i="126" s="1"/>
  <c r="Z115" i="126" s="1"/>
  <c r="AA116" i="126" s="1"/>
  <c r="AA117" i="126" l="1"/>
  <c r="AA118" i="126" s="1"/>
  <c r="AA115" i="126" l="1"/>
  <c r="AB116" i="126" s="1"/>
  <c r="AA119" i="126"/>
  <c r="AB117" i="126" l="1"/>
  <c r="AB118" i="126" s="1"/>
  <c r="AB119" i="126" l="1"/>
  <c r="AB115" i="126"/>
  <c r="AC116" i="126" s="1"/>
  <c r="AC117" i="126" l="1"/>
  <c r="AC118" i="126" s="1"/>
  <c r="AC115" i="126" s="1"/>
  <c r="AD116" i="126" s="1"/>
  <c r="AD117" i="126" l="1"/>
  <c r="AD118" i="126" s="1"/>
  <c r="AD115" i="126" l="1"/>
  <c r="AE116" i="126" s="1"/>
  <c r="AD119" i="126"/>
  <c r="AE117" i="126" l="1"/>
  <c r="AE118" i="126" s="1"/>
  <c r="AE115" i="126" l="1"/>
  <c r="AF116" i="126" s="1"/>
  <c r="AE119" i="126"/>
  <c r="AF117" i="126" l="1"/>
  <c r="AF118" i="126" s="1"/>
  <c r="AF115" i="126" s="1"/>
  <c r="AG116" i="126" s="1"/>
  <c r="AG117" i="126" s="1"/>
  <c r="AG118" i="126" s="1"/>
  <c r="AG115" i="126" s="1"/>
  <c r="AC174" i="126" l="1"/>
  <c r="U174" i="126"/>
  <c r="AH174" i="126" l="1"/>
  <c r="U175" i="126" l="1"/>
  <c r="AC175" i="126" l="1"/>
  <c r="AH175" i="126" l="1"/>
  <c r="AC184" i="126" l="1"/>
  <c r="U176" i="126" l="1"/>
  <c r="AC176" i="126" l="1"/>
  <c r="AH176" i="126" l="1"/>
  <c r="U177" i="126" l="1"/>
  <c r="T178" i="126" s="1"/>
  <c r="AC177" i="126"/>
  <c r="AC178" i="126" s="1"/>
  <c r="AC186" i="126" s="1"/>
  <c r="AC185" i="126" l="1"/>
  <c r="AH188" i="126"/>
  <c r="X188" i="126"/>
  <c r="AI178" i="126"/>
  <c r="AH178" i="126" s="1"/>
  <c r="AK189" i="126"/>
  <c r="AJ189" i="126"/>
  <c r="AH189" i="126"/>
  <c r="AH177" i="126"/>
  <c r="AK93" i="126"/>
  <c r="AK71" i="126"/>
  <c r="AK27" i="126"/>
  <c r="AK135" i="126"/>
  <c r="AK114" i="126"/>
  <c r="AK49" i="126"/>
  <c r="E173" i="125" l="1"/>
  <c r="E172" i="125"/>
  <c r="K172" i="125" s="1"/>
  <c r="X171" i="125"/>
  <c r="C148" i="125"/>
  <c r="AI139" i="125"/>
  <c r="AJ139" i="125" s="1"/>
  <c r="AI88" i="125"/>
  <c r="AI66" i="125"/>
  <c r="AI44" i="125"/>
  <c r="AI21" i="125"/>
  <c r="P170" i="125" s="1"/>
  <c r="C6" i="125"/>
  <c r="D6" i="125" s="1"/>
  <c r="E6" i="125" s="1"/>
  <c r="S4" i="125"/>
  <c r="E4" i="125"/>
  <c r="K1" i="125"/>
  <c r="C7" i="125" l="1"/>
  <c r="C8" i="125" s="1"/>
  <c r="AI22" i="125" s="1"/>
  <c r="AH22" i="125" s="1"/>
  <c r="F6" i="125"/>
  <c r="E7" i="125"/>
  <c r="E8" i="125" s="1"/>
  <c r="D7" i="125"/>
  <c r="D8" i="125" s="1"/>
  <c r="AI27" i="125"/>
  <c r="C29" i="125"/>
  <c r="AL27" i="125"/>
  <c r="B173" i="125"/>
  <c r="E174" i="125"/>
  <c r="K173" i="125"/>
  <c r="Q173" i="125" s="1"/>
  <c r="Q172" i="125"/>
  <c r="B172" i="125"/>
  <c r="C5" i="125" l="1"/>
  <c r="B174" i="125"/>
  <c r="K174" i="125"/>
  <c r="Q174" i="125" s="1"/>
  <c r="E175" i="125"/>
  <c r="AL49" i="125"/>
  <c r="C30" i="125"/>
  <c r="C31" i="125" s="1"/>
  <c r="AI49" i="125"/>
  <c r="G6" i="125"/>
  <c r="F7" i="125"/>
  <c r="F8" i="125" s="1"/>
  <c r="B175" i="125" l="1"/>
  <c r="E176" i="125"/>
  <c r="K175" i="125"/>
  <c r="Q175" i="125" s="1"/>
  <c r="AI45" i="125"/>
  <c r="AH45" i="125" s="1"/>
  <c r="C28" i="125"/>
  <c r="G7" i="125"/>
  <c r="G8" i="125" s="1"/>
  <c r="H6" i="125"/>
  <c r="H7" i="125" l="1"/>
  <c r="H8" i="125" s="1"/>
  <c r="I6" i="125"/>
  <c r="B176" i="125"/>
  <c r="K176" i="125"/>
  <c r="Q176" i="125" s="1"/>
  <c r="E177" i="125"/>
  <c r="D29" i="125"/>
  <c r="B177" i="125" l="1"/>
  <c r="K177" i="125"/>
  <c r="Q177" i="125" s="1"/>
  <c r="P178" i="125" s="1"/>
  <c r="D30" i="125"/>
  <c r="D31" i="125" s="1"/>
  <c r="D28" i="125" s="1"/>
  <c r="I7" i="125"/>
  <c r="I8" i="125" s="1"/>
  <c r="J6" i="125"/>
  <c r="J7" i="125" l="1"/>
  <c r="J8" i="125" s="1"/>
  <c r="K6" i="125"/>
  <c r="E29" i="125"/>
  <c r="E30" i="125" l="1"/>
  <c r="E31" i="125" s="1"/>
  <c r="K7" i="125"/>
  <c r="K8" i="125" s="1"/>
  <c r="L6" i="125"/>
  <c r="E28" i="125" l="1"/>
  <c r="M6" i="125"/>
  <c r="L7" i="125"/>
  <c r="L8" i="125" s="1"/>
  <c r="N6" i="125" l="1"/>
  <c r="M7" i="125"/>
  <c r="M8" i="125" s="1"/>
  <c r="F29" i="125"/>
  <c r="O6" i="125" l="1"/>
  <c r="N7" i="125"/>
  <c r="N8" i="125" s="1"/>
  <c r="F30" i="125"/>
  <c r="F31" i="125" s="1"/>
  <c r="F28" i="125" s="1"/>
  <c r="G29" i="125" s="1"/>
  <c r="G30" i="125" l="1"/>
  <c r="G31" i="125" s="1"/>
  <c r="G28" i="125" s="1"/>
  <c r="H29" i="125" s="1"/>
  <c r="P6" i="125"/>
  <c r="O7" i="125"/>
  <c r="O8" i="125" s="1"/>
  <c r="H30" i="125" l="1"/>
  <c r="H31" i="125" s="1"/>
  <c r="H28" i="125" s="1"/>
  <c r="I29" i="125" s="1"/>
  <c r="P7" i="125"/>
  <c r="P8" i="125" s="1"/>
  <c r="Q6" i="125"/>
  <c r="I30" i="125" l="1"/>
  <c r="I31" i="125" s="1"/>
  <c r="Q7" i="125"/>
  <c r="Q8" i="125" s="1"/>
  <c r="R6" i="125"/>
  <c r="R7" i="125" l="1"/>
  <c r="R8" i="125" s="1"/>
  <c r="S6" i="125"/>
  <c r="I28" i="125"/>
  <c r="J29" i="125" s="1"/>
  <c r="J30" i="125" l="1"/>
  <c r="J31" i="125" s="1"/>
  <c r="S7" i="125"/>
  <c r="S8" i="125" s="1"/>
  <c r="T6" i="125"/>
  <c r="J28" i="125" l="1"/>
  <c r="K29" i="125" s="1"/>
  <c r="T7" i="125"/>
  <c r="T8" i="125" s="1"/>
  <c r="U6" i="125"/>
  <c r="K30" i="125" l="1"/>
  <c r="K31" i="125" s="1"/>
  <c r="K28" i="125" s="1"/>
  <c r="L29" i="125" s="1"/>
  <c r="V6" i="125"/>
  <c r="U7" i="125"/>
  <c r="U8" i="125" s="1"/>
  <c r="L30" i="125" l="1"/>
  <c r="L31" i="125" s="1"/>
  <c r="W6" i="125"/>
  <c r="V7" i="125"/>
  <c r="V8" i="125" s="1"/>
  <c r="V5" i="125" s="1"/>
  <c r="X6" i="125" l="1"/>
  <c r="W7" i="125"/>
  <c r="W8" i="125" s="1"/>
  <c r="W5" i="125" s="1"/>
  <c r="L28" i="125"/>
  <c r="M29" i="125" s="1"/>
  <c r="M30" i="125" l="1"/>
  <c r="M31" i="125" s="1"/>
  <c r="X7" i="125"/>
  <c r="X8" i="125" s="1"/>
  <c r="X5" i="125" s="1"/>
  <c r="Y6" i="125"/>
  <c r="Y7" i="125" l="1"/>
  <c r="Y8" i="125" s="1"/>
  <c r="Y5" i="125" s="1"/>
  <c r="Z6" i="125"/>
  <c r="M28" i="125"/>
  <c r="N29" i="125" s="1"/>
  <c r="N30" i="125" l="1"/>
  <c r="N31" i="125" s="1"/>
  <c r="N28" i="125" s="1"/>
  <c r="O29" i="125" s="1"/>
  <c r="Z7" i="125"/>
  <c r="Z8" i="125" s="1"/>
  <c r="Z5" i="125" s="1"/>
  <c r="AA6" i="125"/>
  <c r="O30" i="125" l="1"/>
  <c r="O31" i="125" s="1"/>
  <c r="O28" i="125" s="1"/>
  <c r="P29" i="125" s="1"/>
  <c r="AA7" i="125"/>
  <c r="AA8" i="125" s="1"/>
  <c r="AA5" i="125" s="1"/>
  <c r="AB6" i="125"/>
  <c r="P30" i="125" l="1"/>
  <c r="P31" i="125" s="1"/>
  <c r="AB7" i="125"/>
  <c r="AB8" i="125" s="1"/>
  <c r="AB5" i="125" s="1"/>
  <c r="AC6" i="125"/>
  <c r="AC7" i="125" l="1"/>
  <c r="AC8" i="125" s="1"/>
  <c r="AC5" i="125" s="1"/>
  <c r="AD6" i="125"/>
  <c r="P28" i="125"/>
  <c r="Q29" i="125" s="1"/>
  <c r="AE6" i="125" l="1"/>
  <c r="AD7" i="125"/>
  <c r="AD8" i="125" s="1"/>
  <c r="AD5" i="125" s="1"/>
  <c r="Q30" i="125"/>
  <c r="Q31" i="125" s="1"/>
  <c r="Q28" i="125" l="1"/>
  <c r="R29" i="125" s="1"/>
  <c r="AF6" i="125"/>
  <c r="AE7" i="125"/>
  <c r="AE8" i="125" s="1"/>
  <c r="AE5" i="125" s="1"/>
  <c r="AF7" i="125" l="1"/>
  <c r="AF8" i="125" s="1"/>
  <c r="AF5" i="125" s="1"/>
  <c r="AG6" i="125"/>
  <c r="AG7" i="125" s="1"/>
  <c r="AG8" i="125" s="1"/>
  <c r="AG5" i="125" s="1"/>
  <c r="R30" i="125"/>
  <c r="R31" i="125" s="1"/>
  <c r="R28" i="125" l="1"/>
  <c r="S29" i="125" s="1"/>
  <c r="S30" i="125" l="1"/>
  <c r="S31" i="125" s="1"/>
  <c r="S28" i="125" l="1"/>
  <c r="T29" i="125" s="1"/>
  <c r="T30" i="125" l="1"/>
  <c r="T31" i="125" s="1"/>
  <c r="T28" i="125" l="1"/>
  <c r="U29" i="125" s="1"/>
  <c r="U30" i="125" l="1"/>
  <c r="U31" i="125" s="1"/>
  <c r="U28" i="125" s="1"/>
  <c r="V29" i="125" s="1"/>
  <c r="V30" i="125" l="1"/>
  <c r="V31" i="125" s="1"/>
  <c r="V28" i="125" s="1"/>
  <c r="W29" i="125" s="1"/>
  <c r="W30" i="125" l="1"/>
  <c r="W31" i="125" s="1"/>
  <c r="W28" i="125" l="1"/>
  <c r="X29" i="125" s="1"/>
  <c r="X30" i="125" l="1"/>
  <c r="X31" i="125" s="1"/>
  <c r="X28" i="125" l="1"/>
  <c r="Y29" i="125" s="1"/>
  <c r="Y30" i="125" l="1"/>
  <c r="Y31" i="125" s="1"/>
  <c r="Y28" i="125" s="1"/>
  <c r="Z29" i="125" s="1"/>
  <c r="Z30" i="125" l="1"/>
  <c r="Z31" i="125" s="1"/>
  <c r="Z28" i="125" l="1"/>
  <c r="AA29" i="125" s="1"/>
  <c r="AA30" i="125" l="1"/>
  <c r="AA31" i="125" s="1"/>
  <c r="AA28" i="125" s="1"/>
  <c r="AB29" i="125" s="1"/>
  <c r="AB30" i="125" l="1"/>
  <c r="AB31" i="125" s="1"/>
  <c r="AB28" i="125" s="1"/>
  <c r="AC29" i="125" s="1"/>
  <c r="AC30" i="125" l="1"/>
  <c r="AC31" i="125" s="1"/>
  <c r="AC28" i="125" s="1"/>
  <c r="AD29" i="125" s="1"/>
  <c r="AD30" i="125" l="1"/>
  <c r="AD31" i="125" s="1"/>
  <c r="AD28" i="125" l="1"/>
  <c r="AE29" i="125" s="1"/>
  <c r="AE30" i="125" l="1"/>
  <c r="AE31" i="125" s="1"/>
  <c r="AE28" i="125" l="1"/>
  <c r="AF29" i="125" s="1"/>
  <c r="AF30" i="125" l="1"/>
  <c r="AF31" i="125" s="1"/>
  <c r="AF28" i="125" s="1"/>
  <c r="AG29" i="125" s="1"/>
  <c r="AG30" i="125" s="1"/>
  <c r="AG31" i="125" s="1"/>
  <c r="AG28" i="125" s="1"/>
  <c r="C51" i="125" s="1"/>
  <c r="AL71" i="125" l="1"/>
  <c r="C52" i="125"/>
  <c r="C53" i="125" s="1"/>
  <c r="AI71" i="125"/>
  <c r="A54" i="125"/>
  <c r="AI67" i="125" l="1"/>
  <c r="AH67" i="125" s="1"/>
  <c r="C50" i="125"/>
  <c r="D51" i="125" l="1"/>
  <c r="D52" i="125" l="1"/>
  <c r="D53" i="125" s="1"/>
  <c r="D50" i="125" l="1"/>
  <c r="E51" i="125" l="1"/>
  <c r="E52" i="125" l="1"/>
  <c r="E53" i="125" s="1"/>
  <c r="E50" i="125" s="1"/>
  <c r="F51" i="125" l="1"/>
  <c r="F52" i="125" l="1"/>
  <c r="F53" i="125" s="1"/>
  <c r="F50" i="125" s="1"/>
  <c r="G51" i="125" s="1"/>
  <c r="G52" i="125" l="1"/>
  <c r="G53" i="125" s="1"/>
  <c r="G50" i="125" l="1"/>
  <c r="H51" i="125" s="1"/>
  <c r="H52" i="125" l="1"/>
  <c r="H53" i="125" s="1"/>
  <c r="H50" i="125" l="1"/>
  <c r="I51" i="125" s="1"/>
  <c r="I52" i="125" l="1"/>
  <c r="I53" i="125" s="1"/>
  <c r="I50" i="125" s="1"/>
  <c r="J51" i="125" s="1"/>
  <c r="J52" i="125" l="1"/>
  <c r="J53" i="125" s="1"/>
  <c r="J50" i="125" s="1"/>
  <c r="K51" i="125" s="1"/>
  <c r="K52" i="125" l="1"/>
  <c r="K53" i="125" s="1"/>
  <c r="K50" i="125" s="1"/>
  <c r="L51" i="125" s="1"/>
  <c r="L52" i="125" l="1"/>
  <c r="L53" i="125" s="1"/>
  <c r="L50" i="125" l="1"/>
  <c r="M51" i="125" s="1"/>
  <c r="M52" i="125" l="1"/>
  <c r="M53" i="125" s="1"/>
  <c r="M50" i="125" s="1"/>
  <c r="N51" i="125" s="1"/>
  <c r="N52" i="125" l="1"/>
  <c r="N53" i="125" s="1"/>
  <c r="N50" i="125" s="1"/>
  <c r="O51" i="125" s="1"/>
  <c r="O52" i="125" l="1"/>
  <c r="O53" i="125" s="1"/>
  <c r="O50" i="125" l="1"/>
  <c r="P51" i="125" s="1"/>
  <c r="P52" i="125" l="1"/>
  <c r="P53" i="125" s="1"/>
  <c r="P50" i="125" s="1"/>
  <c r="Q51" i="125" s="1"/>
  <c r="Q52" i="125" l="1"/>
  <c r="Q53" i="125" s="1"/>
  <c r="Q50" i="125" l="1"/>
  <c r="R51" i="125" s="1"/>
  <c r="R52" i="125" l="1"/>
  <c r="R53" i="125" s="1"/>
  <c r="R50" i="125" s="1"/>
  <c r="S51" i="125" s="1"/>
  <c r="S52" i="125" l="1"/>
  <c r="S53" i="125" s="1"/>
  <c r="S50" i="125" s="1"/>
  <c r="T51" i="125" s="1"/>
  <c r="T52" i="125" l="1"/>
  <c r="T53" i="125" s="1"/>
  <c r="T50" i="125" s="1"/>
  <c r="U51" i="125" s="1"/>
  <c r="U52" i="125" l="1"/>
  <c r="U53" i="125" s="1"/>
  <c r="U50" i="125" s="1"/>
  <c r="V51" i="125" s="1"/>
  <c r="V52" i="125" l="1"/>
  <c r="V53" i="125" s="1"/>
  <c r="V50" i="125" l="1"/>
  <c r="W51" i="125" s="1"/>
  <c r="W52" i="125" l="1"/>
  <c r="W53" i="125" s="1"/>
  <c r="W50" i="125" s="1"/>
  <c r="X51" i="125" s="1"/>
  <c r="X52" i="125" l="1"/>
  <c r="X53" i="125" s="1"/>
  <c r="X50" i="125" l="1"/>
  <c r="Y51" i="125" s="1"/>
  <c r="Y52" i="125" l="1"/>
  <c r="Y53" i="125" s="1"/>
  <c r="Y50" i="125" s="1"/>
  <c r="Z51" i="125" s="1"/>
  <c r="Z52" i="125" l="1"/>
  <c r="Z53" i="125" s="1"/>
  <c r="Z50" i="125" s="1"/>
  <c r="AA51" i="125" s="1"/>
  <c r="AA52" i="125" l="1"/>
  <c r="AA53" i="125" s="1"/>
  <c r="AA50" i="125" s="1"/>
  <c r="AB51" i="125" s="1"/>
  <c r="AB52" i="125" l="1"/>
  <c r="AB53" i="125" s="1"/>
  <c r="AB50" i="125" s="1"/>
  <c r="AC51" i="125" s="1"/>
  <c r="AC52" i="125" l="1"/>
  <c r="AC53" i="125" s="1"/>
  <c r="AC50" i="125" l="1"/>
  <c r="AD51" i="125" s="1"/>
  <c r="AD52" i="125" l="1"/>
  <c r="AD53" i="125" s="1"/>
  <c r="AD50" i="125" s="1"/>
  <c r="AE51" i="125" s="1"/>
  <c r="AE52" i="125" l="1"/>
  <c r="AE53" i="125" s="1"/>
  <c r="AE50" i="125" l="1"/>
  <c r="AF51" i="125" s="1"/>
  <c r="AF52" i="125" l="1"/>
  <c r="AF53" i="125" s="1"/>
  <c r="AF50" i="125" s="1"/>
  <c r="AG51" i="125" s="1"/>
  <c r="AG52" i="125" s="1"/>
  <c r="AG53" i="125" s="1"/>
  <c r="AG50" i="125" s="1"/>
  <c r="C73" i="125" s="1"/>
  <c r="AL93" i="125" l="1"/>
  <c r="AI93" i="125"/>
  <c r="C74" i="125"/>
  <c r="C75" i="125" s="1"/>
  <c r="A76" i="125"/>
  <c r="C72" i="125" l="1"/>
  <c r="AI89" i="125"/>
  <c r="AH89" i="125" s="1"/>
  <c r="D73" i="125" l="1"/>
  <c r="D74" i="125" l="1"/>
  <c r="D75" i="125" s="1"/>
  <c r="D72" i="125" l="1"/>
  <c r="E73" i="125" l="1"/>
  <c r="E74" i="125" l="1"/>
  <c r="E75" i="125" s="1"/>
  <c r="E72" i="125" l="1"/>
  <c r="F73" i="125" l="1"/>
  <c r="F74" i="125" l="1"/>
  <c r="F75" i="125" s="1"/>
  <c r="F72" i="125" s="1"/>
  <c r="G73" i="125" l="1"/>
  <c r="G74" i="125" l="1"/>
  <c r="G75" i="125" s="1"/>
  <c r="G72" i="125" l="1"/>
  <c r="H73" i="125" s="1"/>
  <c r="H74" i="125" l="1"/>
  <c r="H75" i="125" s="1"/>
  <c r="H72" i="125" s="1"/>
  <c r="I73" i="125" s="1"/>
  <c r="I74" i="125" l="1"/>
  <c r="I75" i="125" s="1"/>
  <c r="I72" i="125" s="1"/>
  <c r="J73" i="125" s="1"/>
  <c r="J74" i="125" l="1"/>
  <c r="J75" i="125" s="1"/>
  <c r="J72" i="125" l="1"/>
  <c r="K73" i="125" s="1"/>
  <c r="K74" i="125" l="1"/>
  <c r="K75" i="125" s="1"/>
  <c r="K72" i="125" l="1"/>
  <c r="L73" i="125" s="1"/>
  <c r="L74" i="125" l="1"/>
  <c r="L75" i="125" s="1"/>
  <c r="L72" i="125" l="1"/>
  <c r="M73" i="125" s="1"/>
  <c r="M74" i="125" l="1"/>
  <c r="M75" i="125" s="1"/>
  <c r="M72" i="125" s="1"/>
  <c r="N73" i="125" s="1"/>
  <c r="N74" i="125" l="1"/>
  <c r="N75" i="125" s="1"/>
  <c r="N72" i="125" s="1"/>
  <c r="O73" i="125" s="1"/>
  <c r="O74" i="125" l="1"/>
  <c r="O75" i="125" s="1"/>
  <c r="O72" i="125" l="1"/>
  <c r="P73" i="125" s="1"/>
  <c r="P74" i="125" l="1"/>
  <c r="P75" i="125" s="1"/>
  <c r="P72" i="125" s="1"/>
  <c r="Q73" i="125" s="1"/>
  <c r="Q74" i="125" l="1"/>
  <c r="Q75" i="125" s="1"/>
  <c r="Q72" i="125" s="1"/>
  <c r="R73" i="125" s="1"/>
  <c r="R74" i="125" l="1"/>
  <c r="R75" i="125" s="1"/>
  <c r="R72" i="125" l="1"/>
  <c r="S73" i="125" s="1"/>
  <c r="S74" i="125" l="1"/>
  <c r="S75" i="125" s="1"/>
  <c r="S72" i="125" l="1"/>
  <c r="T73" i="125" s="1"/>
  <c r="T74" i="125" l="1"/>
  <c r="T75" i="125" s="1"/>
  <c r="T72" i="125" s="1"/>
  <c r="U73" i="125" s="1"/>
  <c r="U74" i="125" l="1"/>
  <c r="U75" i="125" s="1"/>
  <c r="U72" i="125" l="1"/>
  <c r="V73" i="125" s="1"/>
  <c r="V74" i="125" l="1"/>
  <c r="V75" i="125" s="1"/>
  <c r="V72" i="125" l="1"/>
  <c r="W73" i="125" s="1"/>
  <c r="W74" i="125" l="1"/>
  <c r="W75" i="125" s="1"/>
  <c r="W72" i="125" s="1"/>
  <c r="X73" i="125" s="1"/>
  <c r="X74" i="125" l="1"/>
  <c r="X75" i="125" s="1"/>
  <c r="X72" i="125" s="1"/>
  <c r="Y73" i="125" s="1"/>
  <c r="Y74" i="125" l="1"/>
  <c r="Y75" i="125" s="1"/>
  <c r="Y72" i="125" l="1"/>
  <c r="Z73" i="125" s="1"/>
  <c r="Z74" i="125" l="1"/>
  <c r="Z75" i="125" s="1"/>
  <c r="Z72" i="125" l="1"/>
  <c r="AA73" i="125" s="1"/>
  <c r="AA74" i="125" l="1"/>
  <c r="AA75" i="125" s="1"/>
  <c r="AA72" i="125" s="1"/>
  <c r="AB73" i="125" s="1"/>
  <c r="AB74" i="125" l="1"/>
  <c r="AB75" i="125" s="1"/>
  <c r="AB72" i="125" l="1"/>
  <c r="AC73" i="125" s="1"/>
  <c r="AC74" i="125" l="1"/>
  <c r="AC75" i="125" s="1"/>
  <c r="AC72" i="125" s="1"/>
  <c r="AD73" i="125" s="1"/>
  <c r="AD74" i="125" l="1"/>
  <c r="AD75" i="125" s="1"/>
  <c r="AD72" i="125" s="1"/>
  <c r="AE73" i="125" s="1"/>
  <c r="AE74" i="125" l="1"/>
  <c r="AE75" i="125" s="1"/>
  <c r="AE72" i="125" s="1"/>
  <c r="AF73" i="125" s="1"/>
  <c r="AF74" i="125" l="1"/>
  <c r="AF75" i="125" s="1"/>
  <c r="AF72" i="125" l="1"/>
  <c r="AG73" i="125" s="1"/>
  <c r="AG74" i="125" s="1"/>
  <c r="AG75" i="125" s="1"/>
  <c r="AG72" i="125" s="1"/>
  <c r="C95" i="125" s="1"/>
  <c r="C96" i="125" l="1"/>
  <c r="C97" i="125" s="1"/>
  <c r="AL114" i="125"/>
  <c r="AI114" i="125"/>
  <c r="A98" i="125"/>
  <c r="AI110" i="125" l="1"/>
  <c r="AH110" i="125" s="1"/>
  <c r="C94" i="125"/>
  <c r="D95" i="125" l="1"/>
  <c r="D96" i="125" l="1"/>
  <c r="D97" i="125" s="1"/>
  <c r="D94" i="125" l="1"/>
  <c r="E95" i="125" l="1"/>
  <c r="E96" i="125" l="1"/>
  <c r="E97" i="125" s="1"/>
  <c r="E94" i="125" l="1"/>
  <c r="F95" i="125" l="1"/>
  <c r="F96" i="125" l="1"/>
  <c r="F97" i="125" s="1"/>
  <c r="F94" i="125" s="1"/>
  <c r="G95" i="125" l="1"/>
  <c r="G96" i="125" l="1"/>
  <c r="G97" i="125" s="1"/>
  <c r="G94" i="125" s="1"/>
  <c r="H95" i="125" s="1"/>
  <c r="H96" i="125" l="1"/>
  <c r="H97" i="125" s="1"/>
  <c r="H94" i="125" s="1"/>
  <c r="I95" i="125" s="1"/>
  <c r="I96" i="125" l="1"/>
  <c r="I97" i="125" s="1"/>
  <c r="I94" i="125" l="1"/>
  <c r="J95" i="125" s="1"/>
  <c r="J96" i="125" l="1"/>
  <c r="J97" i="125" s="1"/>
  <c r="J94" i="125" l="1"/>
  <c r="K95" i="125" s="1"/>
  <c r="K96" i="125" l="1"/>
  <c r="K97" i="125" s="1"/>
  <c r="K94" i="125" s="1"/>
  <c r="L95" i="125" s="1"/>
  <c r="L96" i="125" l="1"/>
  <c r="L97" i="125" s="1"/>
  <c r="L94" i="125" l="1"/>
  <c r="M95" i="125" s="1"/>
  <c r="M96" i="125" l="1"/>
  <c r="M97" i="125" s="1"/>
  <c r="M94" i="125" l="1"/>
  <c r="N95" i="125" s="1"/>
  <c r="N96" i="125" l="1"/>
  <c r="N97" i="125" s="1"/>
  <c r="N94" i="125" s="1"/>
  <c r="O95" i="125" s="1"/>
  <c r="O96" i="125" l="1"/>
  <c r="O97" i="125" s="1"/>
  <c r="O94" i="125" s="1"/>
  <c r="P95" i="125" s="1"/>
  <c r="P96" i="125" l="1"/>
  <c r="P97" i="125" s="1"/>
  <c r="P94" i="125" l="1"/>
  <c r="Q95" i="125" s="1"/>
  <c r="Q96" i="125" l="1"/>
  <c r="Q97" i="125" s="1"/>
  <c r="Q94" i="125" l="1"/>
  <c r="R95" i="125" s="1"/>
  <c r="R96" i="125" l="1"/>
  <c r="R97" i="125" s="1"/>
  <c r="R94" i="125" s="1"/>
  <c r="S95" i="125" s="1"/>
  <c r="S96" i="125" l="1"/>
  <c r="S97" i="125" s="1"/>
  <c r="S94" i="125" s="1"/>
  <c r="T95" i="125" s="1"/>
  <c r="T96" i="125" l="1"/>
  <c r="T97" i="125" s="1"/>
  <c r="T94" i="125" s="1"/>
  <c r="U95" i="125" s="1"/>
  <c r="U96" i="125" l="1"/>
  <c r="U97" i="125" s="1"/>
  <c r="U94" i="125" s="1"/>
  <c r="V95" i="125" s="1"/>
  <c r="V96" i="125" l="1"/>
  <c r="V97" i="125" s="1"/>
  <c r="V94" i="125" s="1"/>
  <c r="W95" i="125" s="1"/>
  <c r="W96" i="125" l="1"/>
  <c r="W97" i="125" s="1"/>
  <c r="W94" i="125" l="1"/>
  <c r="X95" i="125" s="1"/>
  <c r="X96" i="125" l="1"/>
  <c r="X97" i="125" s="1"/>
  <c r="X94" i="125" l="1"/>
  <c r="Y95" i="125" s="1"/>
  <c r="Y96" i="125" l="1"/>
  <c r="Y97" i="125" s="1"/>
  <c r="Y94" i="125" s="1"/>
  <c r="Z95" i="125" s="1"/>
  <c r="Z96" i="125" l="1"/>
  <c r="Z97" i="125" s="1"/>
  <c r="Z94" i="125" l="1"/>
  <c r="AA95" i="125" s="1"/>
  <c r="AA96" i="125" l="1"/>
  <c r="AA97" i="125" s="1"/>
  <c r="AA94" i="125" s="1"/>
  <c r="AB95" i="125" s="1"/>
  <c r="AB96" i="125" l="1"/>
  <c r="AB97" i="125" s="1"/>
  <c r="AB94" i="125" s="1"/>
  <c r="AC95" i="125" s="1"/>
  <c r="AC96" i="125" l="1"/>
  <c r="AC97" i="125" s="1"/>
  <c r="AC94" i="125" s="1"/>
  <c r="AD95" i="125" s="1"/>
  <c r="AD96" i="125" l="1"/>
  <c r="AD97" i="125" s="1"/>
  <c r="AD94" i="125" l="1"/>
  <c r="AE95" i="125" s="1"/>
  <c r="AE96" i="125" l="1"/>
  <c r="AE97" i="125" s="1"/>
  <c r="AE94" i="125" l="1"/>
  <c r="AF95" i="125" s="1"/>
  <c r="AF96" i="125" l="1"/>
  <c r="AF97" i="125" s="1"/>
  <c r="AF94" i="125" s="1"/>
  <c r="AG95" i="125" s="1"/>
  <c r="AG96" i="125" s="1"/>
  <c r="AG97" i="125" s="1"/>
  <c r="AG94" i="125" l="1"/>
  <c r="C116" i="125" s="1"/>
  <c r="A119" i="125" l="1"/>
  <c r="AI135" i="125"/>
  <c r="C117" i="125"/>
  <c r="C118" i="125" s="1"/>
  <c r="AL135" i="125"/>
  <c r="C115" i="125" l="1"/>
  <c r="D116" i="125" s="1"/>
  <c r="AI131" i="125"/>
  <c r="AH131" i="125" s="1"/>
  <c r="D117" i="125" l="1"/>
  <c r="D118" i="125" s="1"/>
  <c r="D115" i="125" s="1"/>
  <c r="E116" i="125" s="1"/>
  <c r="E117" i="125" l="1"/>
  <c r="E118" i="125" s="1"/>
  <c r="E115" i="125" s="1"/>
  <c r="F116" i="125" s="1"/>
  <c r="F117" i="125" l="1"/>
  <c r="F118" i="125" s="1"/>
  <c r="F115" i="125" s="1"/>
  <c r="G116" i="125" s="1"/>
  <c r="G117" i="125" l="1"/>
  <c r="G118" i="125" s="1"/>
  <c r="G115" i="125" l="1"/>
  <c r="H116" i="125" s="1"/>
  <c r="H117" i="125" l="1"/>
  <c r="H118" i="125" s="1"/>
  <c r="H115" i="125" s="1"/>
  <c r="I116" i="125" s="1"/>
  <c r="I117" i="125" l="1"/>
  <c r="I118" i="125" s="1"/>
  <c r="I115" i="125" l="1"/>
  <c r="J116" i="125" s="1"/>
  <c r="J117" i="125" l="1"/>
  <c r="J118" i="125" s="1"/>
  <c r="J115" i="125" l="1"/>
  <c r="K116" i="125" s="1"/>
  <c r="K117" i="125" l="1"/>
  <c r="K118" i="125" s="1"/>
  <c r="K115" i="125" s="1"/>
  <c r="L116" i="125" s="1"/>
  <c r="L117" i="125" l="1"/>
  <c r="L118" i="125" s="1"/>
  <c r="L115" i="125" s="1"/>
  <c r="M116" i="125" s="1"/>
  <c r="M117" i="125" l="1"/>
  <c r="M118" i="125" s="1"/>
  <c r="M115" i="125" s="1"/>
  <c r="N116" i="125" s="1"/>
  <c r="N117" i="125" l="1"/>
  <c r="N118" i="125" s="1"/>
  <c r="N115" i="125" l="1"/>
  <c r="O116" i="125" s="1"/>
  <c r="O117" i="125" l="1"/>
  <c r="O118" i="125" s="1"/>
  <c r="O115" i="125" s="1"/>
  <c r="P116" i="125" s="1"/>
  <c r="P117" i="125" l="1"/>
  <c r="P118" i="125" s="1"/>
  <c r="P115" i="125" l="1"/>
  <c r="Q116" i="125" s="1"/>
  <c r="Q117" i="125" l="1"/>
  <c r="Q118" i="125" s="1"/>
  <c r="Q115" i="125" l="1"/>
  <c r="R116" i="125" s="1"/>
  <c r="R117" i="125" l="1"/>
  <c r="R118" i="125" s="1"/>
  <c r="R115" i="125" s="1"/>
  <c r="S116" i="125" s="1"/>
  <c r="S117" i="125" l="1"/>
  <c r="S118" i="125" s="1"/>
  <c r="S115" i="125" s="1"/>
  <c r="T116" i="125" s="1"/>
  <c r="T117" i="125" l="1"/>
  <c r="T118" i="125" s="1"/>
  <c r="T115" i="125" s="1"/>
  <c r="U116" i="125" s="1"/>
  <c r="U117" i="125" l="1"/>
  <c r="U118" i="125" s="1"/>
  <c r="U115" i="125" l="1"/>
  <c r="V116" i="125" s="1"/>
  <c r="V117" i="125" l="1"/>
  <c r="V118" i="125" s="1"/>
  <c r="V115" i="125" s="1"/>
  <c r="W116" i="125" s="1"/>
  <c r="W117" i="125" l="1"/>
  <c r="W118" i="125" s="1"/>
  <c r="W115" i="125" l="1"/>
  <c r="X116" i="125" s="1"/>
  <c r="X117" i="125" l="1"/>
  <c r="X118" i="125" s="1"/>
  <c r="X115" i="125" s="1"/>
  <c r="Y116" i="125" s="1"/>
  <c r="Y117" i="125" l="1"/>
  <c r="Y118" i="125" s="1"/>
  <c r="Y115" i="125" s="1"/>
  <c r="Z116" i="125" s="1"/>
  <c r="Z117" i="125" l="1"/>
  <c r="Z118" i="125" s="1"/>
  <c r="Z115" i="125" s="1"/>
  <c r="AA116" i="125" s="1"/>
  <c r="AA117" i="125" l="1"/>
  <c r="AA118" i="125" s="1"/>
  <c r="AA115" i="125" l="1"/>
  <c r="AB116" i="125" s="1"/>
  <c r="AB117" i="125" l="1"/>
  <c r="AB118" i="125" s="1"/>
  <c r="AB115" i="125" l="1"/>
  <c r="AC116" i="125" s="1"/>
  <c r="AC117" i="125" l="1"/>
  <c r="AC118" i="125" s="1"/>
  <c r="AC115" i="125" s="1"/>
  <c r="AD116" i="125" s="1"/>
  <c r="AD117" i="125" l="1"/>
  <c r="AD118" i="125" s="1"/>
  <c r="AD115" i="125" l="1"/>
  <c r="AE116" i="125" s="1"/>
  <c r="AE117" i="125" l="1"/>
  <c r="AE118" i="125" s="1"/>
  <c r="AE115" i="125" l="1"/>
  <c r="AF116" i="125" s="1"/>
  <c r="AF117" i="125" l="1"/>
  <c r="AF118" i="125" s="1"/>
  <c r="AF115" i="125" s="1"/>
  <c r="AG116" i="125" s="1"/>
  <c r="AG117" i="125" s="1"/>
  <c r="AG118" i="125" s="1"/>
  <c r="AG115" i="125" s="1"/>
  <c r="E173" i="118" l="1"/>
  <c r="E172" i="118"/>
  <c r="X171" i="118"/>
  <c r="C148" i="118"/>
  <c r="AI139" i="118"/>
  <c r="AJ139" i="118" s="1"/>
  <c r="AI88" i="118"/>
  <c r="AI66" i="118"/>
  <c r="AI44" i="118"/>
  <c r="AI21" i="118"/>
  <c r="P170" i="118" s="1"/>
  <c r="C6" i="118"/>
  <c r="D6" i="118" s="1"/>
  <c r="S4" i="118"/>
  <c r="E4" i="118"/>
  <c r="K1" i="118"/>
  <c r="C29" i="118" l="1"/>
  <c r="C30" i="118" s="1"/>
  <c r="C31" i="118" s="1"/>
  <c r="AI45" i="118" s="1"/>
  <c r="AH45" i="118" s="1"/>
  <c r="AL27" i="118"/>
  <c r="AI27" i="118"/>
  <c r="E6" i="118"/>
  <c r="D7" i="118"/>
  <c r="D8" i="118" s="1"/>
  <c r="C7" i="118"/>
  <c r="C8" i="118" s="1"/>
  <c r="K172" i="118"/>
  <c r="Q172" i="118" s="1"/>
  <c r="B172" i="118"/>
  <c r="B173" i="118"/>
  <c r="E174" i="118"/>
  <c r="K173" i="118"/>
  <c r="Q173" i="118" s="1"/>
  <c r="AL49" i="118" l="1"/>
  <c r="AI49" i="118"/>
  <c r="C28" i="118"/>
  <c r="D29" i="118" s="1"/>
  <c r="D30" i="118" s="1"/>
  <c r="D31" i="118" s="1"/>
  <c r="D28" i="118" s="1"/>
  <c r="AI22" i="118"/>
  <c r="AH22" i="118" s="1"/>
  <c r="C5" i="118"/>
  <c r="E7" i="118"/>
  <c r="E8" i="118" s="1"/>
  <c r="F6" i="118"/>
  <c r="K174" i="118"/>
  <c r="Q174" i="118" s="1"/>
  <c r="E175" i="118"/>
  <c r="B174" i="118"/>
  <c r="F7" i="118" l="1"/>
  <c r="F8" i="118" s="1"/>
  <c r="G6" i="118"/>
  <c r="K175" i="118"/>
  <c r="Q175" i="118" s="1"/>
  <c r="E176" i="118"/>
  <c r="B175" i="118"/>
  <c r="E29" i="118"/>
  <c r="K176" i="118" l="1"/>
  <c r="Q176" i="118" s="1"/>
  <c r="E177" i="118"/>
  <c r="B176" i="118"/>
  <c r="E30" i="118"/>
  <c r="E31" i="118" s="1"/>
  <c r="E28" i="118" s="1"/>
  <c r="F29" i="118" s="1"/>
  <c r="H6" i="118"/>
  <c r="G7" i="118"/>
  <c r="G8" i="118" s="1"/>
  <c r="F30" i="118" l="1"/>
  <c r="F31" i="118" s="1"/>
  <c r="K177" i="118"/>
  <c r="Q177" i="118" s="1"/>
  <c r="P178" i="118" s="1"/>
  <c r="B177" i="118"/>
  <c r="I6" i="118"/>
  <c r="H7" i="118"/>
  <c r="H8" i="118" s="1"/>
  <c r="I7" i="118" l="1"/>
  <c r="I8" i="118" s="1"/>
  <c r="J6" i="118"/>
  <c r="F28" i="118"/>
  <c r="G29" i="118" s="1"/>
  <c r="K6" i="118" l="1"/>
  <c r="J7" i="118"/>
  <c r="J8" i="118" s="1"/>
  <c r="G30" i="118"/>
  <c r="G31" i="118" s="1"/>
  <c r="G28" i="118" l="1"/>
  <c r="H29" i="118" s="1"/>
  <c r="L6" i="118"/>
  <c r="K7" i="118"/>
  <c r="K8" i="118" s="1"/>
  <c r="H30" i="118" l="1"/>
  <c r="H31" i="118" s="1"/>
  <c r="H28" i="118" s="1"/>
  <c r="I29" i="118" s="1"/>
  <c r="M6" i="118"/>
  <c r="L7" i="118"/>
  <c r="L8" i="118" s="1"/>
  <c r="I30" i="118" l="1"/>
  <c r="I31" i="118" s="1"/>
  <c r="M7" i="118"/>
  <c r="M8" i="118" s="1"/>
  <c r="N6" i="118"/>
  <c r="I28" i="118" l="1"/>
  <c r="J29" i="118" s="1"/>
  <c r="N7" i="118"/>
  <c r="N8" i="118" s="1"/>
  <c r="O6" i="118"/>
  <c r="J30" i="118" l="1"/>
  <c r="J31" i="118" s="1"/>
  <c r="J28" i="118" s="1"/>
  <c r="K29" i="118" s="1"/>
  <c r="O7" i="118"/>
  <c r="O8" i="118" s="1"/>
  <c r="P6" i="118"/>
  <c r="K30" i="118" l="1"/>
  <c r="K31" i="118" s="1"/>
  <c r="K28" i="118" s="1"/>
  <c r="L29" i="118" s="1"/>
  <c r="P7" i="118"/>
  <c r="P8" i="118" s="1"/>
  <c r="Q6" i="118"/>
  <c r="L30" i="118" l="1"/>
  <c r="L31" i="118" s="1"/>
  <c r="L28" i="118" s="1"/>
  <c r="M29" i="118" s="1"/>
  <c r="R6" i="118"/>
  <c r="Q7" i="118"/>
  <c r="Q8" i="118" s="1"/>
  <c r="M30" i="118" l="1"/>
  <c r="M31" i="118" s="1"/>
  <c r="S6" i="118"/>
  <c r="R7" i="118"/>
  <c r="R8" i="118" s="1"/>
  <c r="T6" i="118" l="1"/>
  <c r="S7" i="118"/>
  <c r="S8" i="118" s="1"/>
  <c r="M28" i="118"/>
  <c r="N29" i="118" s="1"/>
  <c r="N30" i="118" l="1"/>
  <c r="N31" i="118" s="1"/>
  <c r="U6" i="118"/>
  <c r="T7" i="118"/>
  <c r="T8" i="118" s="1"/>
  <c r="N28" i="118" l="1"/>
  <c r="O29" i="118" s="1"/>
  <c r="U7" i="118"/>
  <c r="U8" i="118" s="1"/>
  <c r="V6" i="118"/>
  <c r="V7" i="118" l="1"/>
  <c r="V8" i="118" s="1"/>
  <c r="V5" i="118" s="1"/>
  <c r="W6" i="118"/>
  <c r="O30" i="118"/>
  <c r="O31" i="118" s="1"/>
  <c r="O28" i="118" s="1"/>
  <c r="P29" i="118" s="1"/>
  <c r="P30" i="118" l="1"/>
  <c r="P31" i="118" s="1"/>
  <c r="X6" i="118"/>
  <c r="W7" i="118"/>
  <c r="W8" i="118" s="1"/>
  <c r="W5" i="118" s="1"/>
  <c r="X7" i="118" l="1"/>
  <c r="X8" i="118" s="1"/>
  <c r="X5" i="118" s="1"/>
  <c r="Y6" i="118"/>
  <c r="P28" i="118"/>
  <c r="Q29" i="118" s="1"/>
  <c r="Q30" i="118" l="1"/>
  <c r="Q31" i="118" s="1"/>
  <c r="Z6" i="118"/>
  <c r="Y7" i="118"/>
  <c r="Y8" i="118" s="1"/>
  <c r="Y5" i="118" s="1"/>
  <c r="AA6" i="118" l="1"/>
  <c r="Z7" i="118"/>
  <c r="Z8" i="118" s="1"/>
  <c r="Z5" i="118" s="1"/>
  <c r="Q28" i="118"/>
  <c r="R29" i="118" s="1"/>
  <c r="R30" i="118" l="1"/>
  <c r="R31" i="118" s="1"/>
  <c r="R28" i="118" s="1"/>
  <c r="S29" i="118" s="1"/>
  <c r="AB6" i="118"/>
  <c r="AA7" i="118"/>
  <c r="AA8" i="118" s="1"/>
  <c r="AA5" i="118" s="1"/>
  <c r="S30" i="118" l="1"/>
  <c r="S31" i="118" s="1"/>
  <c r="S28" i="118" s="1"/>
  <c r="T29" i="118" s="1"/>
  <c r="AC6" i="118"/>
  <c r="AB7" i="118"/>
  <c r="AB8" i="118" s="1"/>
  <c r="AB5" i="118" s="1"/>
  <c r="T30" i="118" l="1"/>
  <c r="T31" i="118" s="1"/>
  <c r="AC7" i="118"/>
  <c r="AC8" i="118" s="1"/>
  <c r="AC5" i="118" s="1"/>
  <c r="AD6" i="118"/>
  <c r="AD7" i="118" l="1"/>
  <c r="AD8" i="118" s="1"/>
  <c r="AD5" i="118" s="1"/>
  <c r="AE6" i="118"/>
  <c r="T28" i="118"/>
  <c r="U29" i="118" s="1"/>
  <c r="U30" i="118" l="1"/>
  <c r="U31" i="118" s="1"/>
  <c r="AF6" i="118"/>
  <c r="AE7" i="118"/>
  <c r="AE8" i="118" s="1"/>
  <c r="AE5" i="118" s="1"/>
  <c r="U28" i="118" l="1"/>
  <c r="V29" i="118" s="1"/>
  <c r="AG6" i="118"/>
  <c r="AG7" i="118" s="1"/>
  <c r="AG8" i="118" s="1"/>
  <c r="AG5" i="118" s="1"/>
  <c r="AF7" i="118"/>
  <c r="AF8" i="118" s="1"/>
  <c r="AF5" i="118" s="1"/>
  <c r="V30" i="118" l="1"/>
  <c r="V31" i="118" s="1"/>
  <c r="V28" i="118" s="1"/>
  <c r="W29" i="118" s="1"/>
  <c r="W30" i="118" l="1"/>
  <c r="W31" i="118" s="1"/>
  <c r="W28" i="118" l="1"/>
  <c r="X29" i="118" s="1"/>
  <c r="X30" i="118" l="1"/>
  <c r="X31" i="118" s="1"/>
  <c r="X28" i="118" s="1"/>
  <c r="Y29" i="118" s="1"/>
  <c r="Y30" i="118" l="1"/>
  <c r="Y31" i="118" s="1"/>
  <c r="Y28" i="118" s="1"/>
  <c r="Z29" i="118" s="1"/>
  <c r="Z30" i="118" l="1"/>
  <c r="Z31" i="118" s="1"/>
  <c r="Z28" i="118" s="1"/>
  <c r="AA29" i="118" s="1"/>
  <c r="AA30" i="118" l="1"/>
  <c r="AA31" i="118" s="1"/>
  <c r="AA28" i="118" l="1"/>
  <c r="AB29" i="118" s="1"/>
  <c r="AB30" i="118" l="1"/>
  <c r="AB31" i="118" s="1"/>
  <c r="AB28" i="118" l="1"/>
  <c r="AC29" i="118" s="1"/>
  <c r="AC30" i="118" l="1"/>
  <c r="AC31" i="118" s="1"/>
  <c r="AC28" i="118" s="1"/>
  <c r="AD29" i="118" s="1"/>
  <c r="AD30" i="118" l="1"/>
  <c r="AD31" i="118" s="1"/>
  <c r="AD28" i="118" s="1"/>
  <c r="AE29" i="118" s="1"/>
  <c r="AE30" i="118" l="1"/>
  <c r="AE31" i="118" s="1"/>
  <c r="AE28" i="118" s="1"/>
  <c r="AF29" i="118" s="1"/>
  <c r="AF30" i="118" l="1"/>
  <c r="AF31" i="118" s="1"/>
  <c r="AF28" i="118" s="1"/>
  <c r="AG29" i="118" s="1"/>
  <c r="AG30" i="118" s="1"/>
  <c r="AG31" i="118" s="1"/>
  <c r="AG28" i="118" s="1"/>
  <c r="C51" i="118" s="1"/>
  <c r="A54" i="118" l="1"/>
  <c r="AL71" i="118"/>
  <c r="AI71" i="118"/>
  <c r="C52" i="118"/>
  <c r="C53" i="118" s="1"/>
  <c r="AI67" i="118" l="1"/>
  <c r="AH67" i="118" s="1"/>
  <c r="C50" i="118"/>
  <c r="D51" i="118" l="1"/>
  <c r="D52" i="118" l="1"/>
  <c r="D53" i="118" s="1"/>
  <c r="D50" i="118" l="1"/>
  <c r="E51" i="118" l="1"/>
  <c r="AI111" i="118"/>
  <c r="AH111" i="118" s="1"/>
  <c r="AI68" i="118"/>
  <c r="AH68" i="118" s="1"/>
  <c r="AI132" i="118"/>
  <c r="AH132" i="118" s="1"/>
  <c r="AI90" i="118"/>
  <c r="AH90" i="118" s="1"/>
  <c r="E52" i="118" l="1"/>
  <c r="E53" i="118" s="1"/>
  <c r="E50" i="118" s="1"/>
  <c r="F51" i="118" s="1"/>
  <c r="AI46" i="118"/>
  <c r="AH46" i="118" s="1"/>
  <c r="AI23" i="118"/>
  <c r="AH23" i="118" s="1"/>
  <c r="AC172" i="118"/>
  <c r="F52" i="118" l="1"/>
  <c r="F53" i="118" s="1"/>
  <c r="F50" i="118" s="1"/>
  <c r="G51" i="118" s="1"/>
  <c r="X175" i="118"/>
  <c r="X177" i="118"/>
  <c r="X173" i="118"/>
  <c r="X172" i="118"/>
  <c r="X176" i="118"/>
  <c r="X174" i="118"/>
  <c r="G52" i="118" l="1"/>
  <c r="G53" i="118" s="1"/>
  <c r="X178" i="118"/>
  <c r="G50" i="118" l="1"/>
  <c r="H51" i="118" s="1"/>
  <c r="H52" i="118" l="1"/>
  <c r="H53" i="118" s="1"/>
  <c r="H50" i="118" s="1"/>
  <c r="I51" i="118" s="1"/>
  <c r="I52" i="118" l="1"/>
  <c r="I53" i="118" s="1"/>
  <c r="I50" i="118" s="1"/>
  <c r="J51" i="118" s="1"/>
  <c r="J52" i="118" l="1"/>
  <c r="J53" i="118" s="1"/>
  <c r="J50" i="118" l="1"/>
  <c r="K51" i="118" s="1"/>
  <c r="K52" i="118" l="1"/>
  <c r="K53" i="118" s="1"/>
  <c r="K50" i="118" l="1"/>
  <c r="L51" i="118" s="1"/>
  <c r="L52" i="118" l="1"/>
  <c r="L53" i="118" s="1"/>
  <c r="L50" i="118" l="1"/>
  <c r="M51" i="118" s="1"/>
  <c r="M52" i="118" l="1"/>
  <c r="M53" i="118" s="1"/>
  <c r="I150" i="118" l="1"/>
  <c r="I151" i="118"/>
  <c r="M50" i="118"/>
  <c r="N51" i="118" s="1"/>
  <c r="V151" i="118" l="1"/>
  <c r="K151" i="118"/>
  <c r="K150" i="118"/>
  <c r="V150" i="118"/>
  <c r="N52" i="118"/>
  <c r="N53" i="118" s="1"/>
  <c r="F32" i="118" l="1"/>
  <c r="G32" i="118"/>
  <c r="I32" i="118"/>
  <c r="M32" i="118"/>
  <c r="N32" i="118"/>
  <c r="P32" i="118"/>
  <c r="Q32" i="118"/>
  <c r="T32" i="118"/>
  <c r="U32" i="118"/>
  <c r="W32" i="118"/>
  <c r="AA32" i="118"/>
  <c r="AB32" i="118"/>
  <c r="C54" i="118"/>
  <c r="D54" i="118"/>
  <c r="G54" i="118"/>
  <c r="J54" i="118"/>
  <c r="K54" i="118"/>
  <c r="L54" i="118"/>
  <c r="M54" i="118"/>
  <c r="N54" i="118"/>
  <c r="N50" i="118"/>
  <c r="O51" i="118" s="1"/>
  <c r="AH172" i="118"/>
  <c r="O52" i="118" l="1"/>
  <c r="O53" i="118" s="1"/>
  <c r="O54" i="118" l="1"/>
  <c r="O50" i="118"/>
  <c r="P51" i="118" s="1"/>
  <c r="P52" i="118" l="1"/>
  <c r="P53" i="118" s="1"/>
  <c r="P50" i="118" s="1"/>
  <c r="Q51" i="118" s="1"/>
  <c r="Q52" i="118" l="1"/>
  <c r="Q53" i="118" s="1"/>
  <c r="Q50" i="118" s="1"/>
  <c r="R51" i="118" s="1"/>
  <c r="R52" i="118" l="1"/>
  <c r="R53" i="118" s="1"/>
  <c r="R54" i="118" l="1"/>
  <c r="R50" i="118"/>
  <c r="S51" i="118" s="1"/>
  <c r="S52" i="118" l="1"/>
  <c r="S53" i="118" s="1"/>
  <c r="S50" i="118" s="1"/>
  <c r="T51" i="118" s="1"/>
  <c r="T52" i="118" l="1"/>
  <c r="T53" i="118" s="1"/>
  <c r="T50" i="118" s="1"/>
  <c r="U51" i="118" s="1"/>
  <c r="U52" i="118" l="1"/>
  <c r="U53" i="118" s="1"/>
  <c r="U50" i="118" s="1"/>
  <c r="V51" i="118" s="1"/>
  <c r="V52" i="118" l="1"/>
  <c r="V53" i="118" s="1"/>
  <c r="V50" i="118" s="1"/>
  <c r="W51" i="118" s="1"/>
  <c r="W52" i="118" l="1"/>
  <c r="W53" i="118" s="1"/>
  <c r="W50" i="118" s="1"/>
  <c r="X51" i="118" s="1"/>
  <c r="X52" i="118" l="1"/>
  <c r="X53" i="118" s="1"/>
  <c r="X50" i="118" s="1"/>
  <c r="Y51" i="118" s="1"/>
  <c r="Y52" i="118" l="1"/>
  <c r="Y53" i="118" s="1"/>
  <c r="Y54" i="118" l="1"/>
  <c r="Y50" i="118"/>
  <c r="Z51" i="118" s="1"/>
  <c r="Z52" i="118" l="1"/>
  <c r="Z53" i="118" s="1"/>
  <c r="Z50" i="118" s="1"/>
  <c r="AA51" i="118" s="1"/>
  <c r="AA52" i="118" l="1"/>
  <c r="AA53" i="118" s="1"/>
  <c r="AA50" i="118" s="1"/>
  <c r="AB51" i="118" s="1"/>
  <c r="AB52" i="118" l="1"/>
  <c r="AB53" i="118" s="1"/>
  <c r="AB50" i="118" s="1"/>
  <c r="AC51" i="118" s="1"/>
  <c r="AC52" i="118" l="1"/>
  <c r="AC53" i="118" s="1"/>
  <c r="AC50" i="118" s="1"/>
  <c r="AD51" i="118" s="1"/>
  <c r="AD52" i="118" l="1"/>
  <c r="AD53" i="118" s="1"/>
  <c r="AD50" i="118" s="1"/>
  <c r="AE51" i="118" s="1"/>
  <c r="AE52" i="118" l="1"/>
  <c r="AE53" i="118" s="1"/>
  <c r="AE50" i="118" l="1"/>
  <c r="AF51" i="118" s="1"/>
  <c r="AE54" i="118"/>
  <c r="AF52" i="118" l="1"/>
  <c r="AF53" i="118" s="1"/>
  <c r="AF50" i="118" l="1"/>
  <c r="AG51" i="118" s="1"/>
  <c r="AG52" i="118" s="1"/>
  <c r="AG53" i="118" s="1"/>
  <c r="AF54" i="118"/>
  <c r="U172" i="118" l="1"/>
  <c r="AG54" i="118"/>
  <c r="AG50" i="118"/>
  <c r="C73" i="118" s="1"/>
  <c r="I152" i="118" l="1"/>
  <c r="AI93" i="118"/>
  <c r="AL93" i="118"/>
  <c r="A76" i="118"/>
  <c r="C74" i="118"/>
  <c r="C75" i="118" s="1"/>
  <c r="V152" i="118" l="1"/>
  <c r="K152" i="118"/>
  <c r="C72" i="118"/>
  <c r="AI89" i="118"/>
  <c r="AH89" i="118" s="1"/>
  <c r="D73" i="118" l="1"/>
  <c r="D74" i="118" l="1"/>
  <c r="D75" i="118" s="1"/>
  <c r="D72" i="118" s="1"/>
  <c r="E73" i="118" l="1"/>
  <c r="E74" i="118" l="1"/>
  <c r="E75" i="118" s="1"/>
  <c r="E72" i="118" l="1"/>
  <c r="E76" i="118"/>
  <c r="F73" i="118" l="1"/>
  <c r="F74" i="118" l="1"/>
  <c r="F75" i="118" s="1"/>
  <c r="F72" i="118" s="1"/>
  <c r="G73" i="118" s="1"/>
  <c r="G74" i="118" l="1"/>
  <c r="G75" i="118" s="1"/>
  <c r="G72" i="118" s="1"/>
  <c r="H73" i="118" s="1"/>
  <c r="H74" i="118" l="1"/>
  <c r="H75" i="118" s="1"/>
  <c r="H72" i="118" l="1"/>
  <c r="I73" i="118" s="1"/>
  <c r="H76" i="118"/>
  <c r="I74" i="118" l="1"/>
  <c r="I75" i="118" s="1"/>
  <c r="I76" i="118" l="1"/>
  <c r="I72" i="118"/>
  <c r="J73" i="118" s="1"/>
  <c r="J74" i="118" l="1"/>
  <c r="J75" i="118" s="1"/>
  <c r="J72" i="118" s="1"/>
  <c r="K73" i="118" s="1"/>
  <c r="K74" i="118" l="1"/>
  <c r="K75" i="118" s="1"/>
  <c r="K76" i="118" l="1"/>
  <c r="K72" i="118"/>
  <c r="L73" i="118" s="1"/>
  <c r="L74" i="118" l="1"/>
  <c r="L75" i="118" s="1"/>
  <c r="L72" i="118" s="1"/>
  <c r="M73" i="118" s="1"/>
  <c r="M74" i="118" l="1"/>
  <c r="M75" i="118" s="1"/>
  <c r="M72" i="118" s="1"/>
  <c r="N73" i="118" s="1"/>
  <c r="N74" i="118" l="1"/>
  <c r="N75" i="118" s="1"/>
  <c r="N76" i="118" l="1"/>
  <c r="N72" i="118"/>
  <c r="O73" i="118" s="1"/>
  <c r="O74" i="118" l="1"/>
  <c r="O75" i="118" s="1"/>
  <c r="O76" i="118" l="1"/>
  <c r="O72" i="118"/>
  <c r="P73" i="118" s="1"/>
  <c r="P74" i="118" l="1"/>
  <c r="P75" i="118" s="1"/>
  <c r="P72" i="118" l="1"/>
  <c r="Q73" i="118" s="1"/>
  <c r="P76" i="118"/>
  <c r="Q74" i="118" l="1"/>
  <c r="Q75" i="118" s="1"/>
  <c r="Q72" i="118" s="1"/>
  <c r="R73" i="118" s="1"/>
  <c r="R74" i="118" l="1"/>
  <c r="R75" i="118" s="1"/>
  <c r="R72" i="118" l="1"/>
  <c r="S73" i="118" s="1"/>
  <c r="R76" i="118"/>
  <c r="S74" i="118" l="1"/>
  <c r="S75" i="118" s="1"/>
  <c r="S72" i="118" l="1"/>
  <c r="T73" i="118" s="1"/>
  <c r="S76" i="118"/>
  <c r="T74" i="118" l="1"/>
  <c r="T75" i="118" s="1"/>
  <c r="T72" i="118" s="1"/>
  <c r="U73" i="118" s="1"/>
  <c r="U74" i="118" l="1"/>
  <c r="U75" i="118" s="1"/>
  <c r="U72" i="118" s="1"/>
  <c r="V73" i="118" s="1"/>
  <c r="V74" i="118" l="1"/>
  <c r="V75" i="118" s="1"/>
  <c r="V76" i="118" l="1"/>
  <c r="V72" i="118"/>
  <c r="W73" i="118" s="1"/>
  <c r="W74" i="118" l="1"/>
  <c r="W75" i="118" s="1"/>
  <c r="W76" i="118" l="1"/>
  <c r="W72" i="118"/>
  <c r="X73" i="118" s="1"/>
  <c r="X74" i="118" l="1"/>
  <c r="X75" i="118" s="1"/>
  <c r="X72" i="118" s="1"/>
  <c r="Y73" i="118" s="1"/>
  <c r="Y74" i="118" l="1"/>
  <c r="Y75" i="118" s="1"/>
  <c r="Y76" i="118" l="1"/>
  <c r="Y72" i="118"/>
  <c r="Z73" i="118" s="1"/>
  <c r="Z74" i="118" l="1"/>
  <c r="Z75" i="118" s="1"/>
  <c r="Z72" i="118" s="1"/>
  <c r="AA73" i="118" s="1"/>
  <c r="AA74" i="118" l="1"/>
  <c r="AA75" i="118" s="1"/>
  <c r="AA72" i="118" s="1"/>
  <c r="AB73" i="118" s="1"/>
  <c r="AB74" i="118" l="1"/>
  <c r="AB75" i="118" s="1"/>
  <c r="AB72" i="118" s="1"/>
  <c r="AC73" i="118" s="1"/>
  <c r="AC74" i="118" l="1"/>
  <c r="AC75" i="118" s="1"/>
  <c r="AC72" i="118" l="1"/>
  <c r="AD73" i="118" s="1"/>
  <c r="AC76" i="118"/>
  <c r="AD74" i="118" l="1"/>
  <c r="AD75" i="118" s="1"/>
  <c r="AD76" i="118" l="1"/>
  <c r="AD72" i="118"/>
  <c r="AE73" i="118" s="1"/>
  <c r="AE74" i="118" l="1"/>
  <c r="AE75" i="118" s="1"/>
  <c r="AE76" i="118" l="1"/>
  <c r="AE72" i="118"/>
  <c r="AF73" i="118" s="1"/>
  <c r="AF74" i="118" l="1"/>
  <c r="AF75" i="118" s="1"/>
  <c r="AF72" i="118" s="1"/>
  <c r="AG73" i="118" s="1"/>
  <c r="AG74" i="118" s="1"/>
  <c r="AG75" i="118" s="1"/>
  <c r="AG72" i="118" s="1"/>
  <c r="C95" i="118" s="1"/>
  <c r="AI114" i="118" l="1"/>
  <c r="C96" i="118"/>
  <c r="C97" i="118" s="1"/>
  <c r="A98" i="118"/>
  <c r="I153" i="118"/>
  <c r="AL114" i="118"/>
  <c r="AI110" i="118" l="1"/>
  <c r="AH110" i="118" s="1"/>
  <c r="C94" i="118"/>
  <c r="V153" i="118"/>
  <c r="K153" i="118"/>
  <c r="D95" i="118" l="1"/>
  <c r="D96" i="118" l="1"/>
  <c r="D97" i="118" s="1"/>
  <c r="D94" i="118" s="1"/>
  <c r="E95" i="118" l="1"/>
  <c r="E96" i="118" l="1"/>
  <c r="E97" i="118" s="1"/>
  <c r="E98" i="118" l="1"/>
  <c r="E94" i="118"/>
  <c r="F95" i="118" l="1"/>
  <c r="F96" i="118" l="1"/>
  <c r="F97" i="118" s="1"/>
  <c r="F98" i="118" l="1"/>
  <c r="F94" i="118"/>
  <c r="G95" i="118" s="1"/>
  <c r="G96" i="118" l="1"/>
  <c r="G97" i="118" s="1"/>
  <c r="G94" i="118" s="1"/>
  <c r="H95" i="118" s="1"/>
  <c r="H96" i="118" l="1"/>
  <c r="H97" i="118" s="1"/>
  <c r="H94" i="118" s="1"/>
  <c r="I95" i="118" s="1"/>
  <c r="I96" i="118" l="1"/>
  <c r="I97" i="118" s="1"/>
  <c r="I94" i="118" s="1"/>
  <c r="J95" i="118" s="1"/>
  <c r="J96" i="118" l="1"/>
  <c r="J97" i="118" s="1"/>
  <c r="J98" i="118" l="1"/>
  <c r="J94" i="118"/>
  <c r="K95" i="118" s="1"/>
  <c r="K96" i="118" l="1"/>
  <c r="K97" i="118" s="1"/>
  <c r="K94" i="118" s="1"/>
  <c r="L95" i="118" s="1"/>
  <c r="L96" i="118" l="1"/>
  <c r="L97" i="118" s="1"/>
  <c r="L94" i="118" l="1"/>
  <c r="M95" i="118" s="1"/>
  <c r="L98" i="118"/>
  <c r="U173" i="118"/>
  <c r="M96" i="118" l="1"/>
  <c r="M97" i="118" s="1"/>
  <c r="AC173" i="118"/>
  <c r="M98" i="118" l="1"/>
  <c r="M94" i="118"/>
  <c r="N95" i="118" s="1"/>
  <c r="AH173" i="118"/>
  <c r="N96" i="118" l="1"/>
  <c r="N97" i="118" s="1"/>
  <c r="N94" i="118" s="1"/>
  <c r="O95" i="118" s="1"/>
  <c r="O96" i="118" l="1"/>
  <c r="O97" i="118" s="1"/>
  <c r="O94" i="118" s="1"/>
  <c r="P95" i="118" s="1"/>
  <c r="P96" i="118" l="1"/>
  <c r="P97" i="118" s="1"/>
  <c r="P94" i="118" s="1"/>
  <c r="Q95" i="118" s="1"/>
  <c r="Q96" i="118" l="1"/>
  <c r="Q97" i="118" s="1"/>
  <c r="Q94" i="118" s="1"/>
  <c r="R95" i="118" s="1"/>
  <c r="R96" i="118" l="1"/>
  <c r="R97" i="118" s="1"/>
  <c r="R94" i="118" s="1"/>
  <c r="S95" i="118" s="1"/>
  <c r="S96" i="118" l="1"/>
  <c r="S97" i="118" s="1"/>
  <c r="S94" i="118" l="1"/>
  <c r="T95" i="118" s="1"/>
  <c r="S98" i="118"/>
  <c r="T96" i="118" l="1"/>
  <c r="T97" i="118" s="1"/>
  <c r="T98" i="118" l="1"/>
  <c r="T94" i="118"/>
  <c r="U95" i="118" s="1"/>
  <c r="U96" i="118" l="1"/>
  <c r="U97" i="118" s="1"/>
  <c r="U94" i="118" s="1"/>
  <c r="V95" i="118" s="1"/>
  <c r="V96" i="118" l="1"/>
  <c r="V97" i="118" s="1"/>
  <c r="V94" i="118" s="1"/>
  <c r="W95" i="118" s="1"/>
  <c r="W96" i="118" l="1"/>
  <c r="W97" i="118" s="1"/>
  <c r="W98" i="118" l="1"/>
  <c r="W94" i="118"/>
  <c r="X95" i="118" s="1"/>
  <c r="X96" i="118" l="1"/>
  <c r="X97" i="118" s="1"/>
  <c r="X94" i="118" s="1"/>
  <c r="Y95" i="118" s="1"/>
  <c r="Y96" i="118" l="1"/>
  <c r="Y97" i="118" s="1"/>
  <c r="Y94" i="118" s="1"/>
  <c r="Z95" i="118" s="1"/>
  <c r="Z96" i="118" l="1"/>
  <c r="Z97" i="118" s="1"/>
  <c r="Z98" i="118" l="1"/>
  <c r="Z94" i="118"/>
  <c r="AA95" i="118" s="1"/>
  <c r="AA96" i="118" l="1"/>
  <c r="AA97" i="118" s="1"/>
  <c r="AA98" i="118" l="1"/>
  <c r="AA94" i="118"/>
  <c r="AB95" i="118" s="1"/>
  <c r="AB96" i="118" l="1"/>
  <c r="AB97" i="118" s="1"/>
  <c r="AB94" i="118" l="1"/>
  <c r="AC95" i="118" s="1"/>
  <c r="AB98" i="118"/>
  <c r="AC96" i="118" l="1"/>
  <c r="AC97" i="118" s="1"/>
  <c r="AC98" i="118" l="1"/>
  <c r="AC94" i="118"/>
  <c r="AD95" i="118" s="1"/>
  <c r="AD96" i="118" l="1"/>
  <c r="AD97" i="118" s="1"/>
  <c r="AD94" i="118" s="1"/>
  <c r="AE95" i="118" s="1"/>
  <c r="AE96" i="118" l="1"/>
  <c r="AE97" i="118" s="1"/>
  <c r="AE94" i="118" s="1"/>
  <c r="AF95" i="118" s="1"/>
  <c r="AF96" i="118" l="1"/>
  <c r="AF97" i="118" s="1"/>
  <c r="AF94" i="118" s="1"/>
  <c r="AG95" i="118" s="1"/>
  <c r="AG96" i="118" s="1"/>
  <c r="AG97" i="118" s="1"/>
  <c r="AG94" i="118" l="1"/>
  <c r="C116" i="118" s="1"/>
  <c r="AG98" i="118"/>
  <c r="A119" i="118" l="1"/>
  <c r="I154" i="118"/>
  <c r="AL135" i="118"/>
  <c r="C117" i="118"/>
  <c r="C118" i="118" s="1"/>
  <c r="AI135" i="118"/>
  <c r="C115" i="118" l="1"/>
  <c r="D116" i="118" s="1"/>
  <c r="AI131" i="118"/>
  <c r="AH131" i="118" s="1"/>
  <c r="V154" i="118"/>
  <c r="K154" i="118"/>
  <c r="C119" i="118" s="1"/>
  <c r="D117" i="118" l="1"/>
  <c r="D118" i="118" s="1"/>
  <c r="D119" i="118" l="1"/>
  <c r="D115" i="118"/>
  <c r="E116" i="118" s="1"/>
  <c r="E117" i="118" l="1"/>
  <c r="E118" i="118" s="1"/>
  <c r="E115" i="118" s="1"/>
  <c r="F116" i="118" s="1"/>
  <c r="F117" i="118" l="1"/>
  <c r="F118" i="118" s="1"/>
  <c r="F115" i="118" s="1"/>
  <c r="G116" i="118" s="1"/>
  <c r="G117" i="118" l="1"/>
  <c r="G118" i="118" s="1"/>
  <c r="G115" i="118" s="1"/>
  <c r="H116" i="118" s="1"/>
  <c r="H117" i="118" l="1"/>
  <c r="H118" i="118" s="1"/>
  <c r="H115" i="118" s="1"/>
  <c r="I116" i="118" s="1"/>
  <c r="I117" i="118" l="1"/>
  <c r="I118" i="118" s="1"/>
  <c r="I115" i="118" s="1"/>
  <c r="J116" i="118" s="1"/>
  <c r="J117" i="118" l="1"/>
  <c r="J118" i="118" s="1"/>
  <c r="J115" i="118" s="1"/>
  <c r="K116" i="118" s="1"/>
  <c r="K117" i="118" l="1"/>
  <c r="K118" i="118" s="1"/>
  <c r="K115" i="118" l="1"/>
  <c r="L116" i="118" s="1"/>
  <c r="K119" i="118"/>
  <c r="L117" i="118" l="1"/>
  <c r="L118" i="118" s="1"/>
  <c r="L115" i="118" s="1"/>
  <c r="M116" i="118" s="1"/>
  <c r="M117" i="118" l="1"/>
  <c r="M118" i="118" s="1"/>
  <c r="M115" i="118" l="1"/>
  <c r="N116" i="118" s="1"/>
  <c r="M119" i="118"/>
  <c r="N117" i="118" l="1"/>
  <c r="N118" i="118" s="1"/>
  <c r="N115" i="118" s="1"/>
  <c r="O116" i="118" s="1"/>
  <c r="O117" i="118" l="1"/>
  <c r="O118" i="118" s="1"/>
  <c r="O115" i="118" s="1"/>
  <c r="P116" i="118" s="1"/>
  <c r="P117" i="118" l="1"/>
  <c r="P118" i="118" s="1"/>
  <c r="P115" i="118" s="1"/>
  <c r="Q116" i="118" s="1"/>
  <c r="Q117" i="118" l="1"/>
  <c r="Q118" i="118" s="1"/>
  <c r="Q115" i="118" s="1"/>
  <c r="R116" i="118" s="1"/>
  <c r="R117" i="118" l="1"/>
  <c r="R118" i="118" s="1"/>
  <c r="R115" i="118" l="1"/>
  <c r="S116" i="118" s="1"/>
  <c r="R119" i="118"/>
  <c r="S117" i="118" l="1"/>
  <c r="S118" i="118" s="1"/>
  <c r="S115" i="118" s="1"/>
  <c r="T116" i="118" s="1"/>
  <c r="T117" i="118" l="1"/>
  <c r="T118" i="118" s="1"/>
  <c r="T119" i="118" l="1"/>
  <c r="T115" i="118"/>
  <c r="U116" i="118" s="1"/>
  <c r="U117" i="118" l="1"/>
  <c r="U118" i="118" s="1"/>
  <c r="U115" i="118" s="1"/>
  <c r="V116" i="118" s="1"/>
  <c r="V117" i="118" l="1"/>
  <c r="V118" i="118" s="1"/>
  <c r="V115" i="118" s="1"/>
  <c r="W116" i="118" s="1"/>
  <c r="W117" i="118" l="1"/>
  <c r="W118" i="118" s="1"/>
  <c r="W115" i="118" s="1"/>
  <c r="X116" i="118" s="1"/>
  <c r="X117" i="118" l="1"/>
  <c r="X118" i="118" s="1"/>
  <c r="X115" i="118" s="1"/>
  <c r="Y116" i="118" s="1"/>
  <c r="Y117" i="118" l="1"/>
  <c r="Y118" i="118" s="1"/>
  <c r="Y119" i="118" l="1"/>
  <c r="Y115" i="118"/>
  <c r="Z116" i="118" s="1"/>
  <c r="Z117" i="118" l="1"/>
  <c r="Z118" i="118" s="1"/>
  <c r="Z115" i="118" s="1"/>
  <c r="AA116" i="118" s="1"/>
  <c r="AA117" i="118" l="1"/>
  <c r="AA118" i="118" s="1"/>
  <c r="AA115" i="118" s="1"/>
  <c r="AB116" i="118" s="1"/>
  <c r="AB117" i="118" l="1"/>
  <c r="AB118" i="118" s="1"/>
  <c r="AB115" i="118" s="1"/>
  <c r="AC116" i="118" s="1"/>
  <c r="AC117" i="118" l="1"/>
  <c r="AC118" i="118" s="1"/>
  <c r="AC115" i="118" s="1"/>
  <c r="AD116" i="118" s="1"/>
  <c r="AD117" i="118" l="1"/>
  <c r="AD118" i="118" s="1"/>
  <c r="AD115" i="118" s="1"/>
  <c r="AE116" i="118" s="1"/>
  <c r="AE117" i="118" l="1"/>
  <c r="AE118" i="118" s="1"/>
  <c r="AE115" i="118" s="1"/>
  <c r="AF116" i="118" s="1"/>
  <c r="AC174" i="118"/>
  <c r="U174" i="118"/>
  <c r="AF117" i="118" l="1"/>
  <c r="AF118" i="118" s="1"/>
  <c r="AH174" i="118"/>
  <c r="AF115" i="118" l="1"/>
  <c r="AG116" i="118" s="1"/>
  <c r="AG117" i="118" s="1"/>
  <c r="AG118" i="118" s="1"/>
  <c r="AG115" i="118" s="1"/>
  <c r="AF119" i="118"/>
  <c r="U175" i="118" l="1"/>
  <c r="AC175" i="118" l="1"/>
  <c r="AH175" i="118" l="1"/>
  <c r="AC184" i="118" l="1"/>
  <c r="U176" i="118" l="1"/>
  <c r="AC176" i="118" l="1"/>
  <c r="AH176" i="118" l="1"/>
  <c r="U177" i="118" l="1"/>
  <c r="T178" i="118" s="1"/>
  <c r="AC177" i="118"/>
  <c r="AC178" i="118" s="1"/>
  <c r="AC186" i="118" s="1"/>
  <c r="AC185" i="118" l="1"/>
  <c r="AK189" i="118"/>
  <c r="AI178" i="118"/>
  <c r="AH178" i="118" s="1"/>
  <c r="AJ189" i="118"/>
  <c r="AH189" i="118"/>
  <c r="AH188" i="118"/>
  <c r="X188" i="118"/>
  <c r="AH177" i="118"/>
  <c r="AK93" i="118"/>
  <c r="AK71" i="118"/>
  <c r="AK27" i="118"/>
  <c r="AK135" i="118"/>
  <c r="AK114" i="118"/>
  <c r="AK49" i="118"/>
  <c r="E173" i="116" l="1"/>
  <c r="E172" i="116"/>
  <c r="X171" i="116"/>
  <c r="C148" i="116"/>
  <c r="AI139" i="116"/>
  <c r="AJ139" i="116" s="1"/>
  <c r="AI88" i="116"/>
  <c r="AI66" i="116"/>
  <c r="AI44" i="116"/>
  <c r="AI21" i="116"/>
  <c r="P170" i="116" s="1"/>
  <c r="C6" i="116"/>
  <c r="AI27" i="116" s="1"/>
  <c r="S4" i="116"/>
  <c r="E4" i="116"/>
  <c r="K1" i="116"/>
  <c r="AL27" i="116" l="1"/>
  <c r="C29" i="116"/>
  <c r="C7" i="116"/>
  <c r="C8" i="116" s="1"/>
  <c r="D6" i="116"/>
  <c r="B172" i="116"/>
  <c r="B173" i="116"/>
  <c r="E174" i="116"/>
  <c r="K172" i="116"/>
  <c r="Q172" i="116" s="1"/>
  <c r="K173" i="116"/>
  <c r="Q173" i="116" s="1"/>
  <c r="E6" i="116" l="1"/>
  <c r="D7" i="116"/>
  <c r="D8" i="116" s="1"/>
  <c r="K174" i="116"/>
  <c r="Q174" i="116" s="1"/>
  <c r="E175" i="116"/>
  <c r="B174" i="116"/>
  <c r="AI22" i="116"/>
  <c r="AH22" i="116" s="1"/>
  <c r="C5" i="116"/>
  <c r="AI49" i="116"/>
  <c r="AL49" i="116"/>
  <c r="C30" i="116"/>
  <c r="C31" i="116" s="1"/>
  <c r="E7" i="116" l="1"/>
  <c r="E8" i="116" s="1"/>
  <c r="F6" i="116"/>
  <c r="AI45" i="116"/>
  <c r="AH45" i="116" s="1"/>
  <c r="C28" i="116"/>
  <c r="K175" i="116"/>
  <c r="Q175" i="116" s="1"/>
  <c r="E176" i="116"/>
  <c r="B175" i="116"/>
  <c r="K176" i="116" l="1"/>
  <c r="Q176" i="116" s="1"/>
  <c r="E177" i="116"/>
  <c r="B176" i="116"/>
  <c r="D29" i="116"/>
  <c r="F7" i="116"/>
  <c r="F8" i="116" s="1"/>
  <c r="G6" i="116"/>
  <c r="D30" i="116" l="1"/>
  <c r="D31" i="116" s="1"/>
  <c r="D28" i="116" s="1"/>
  <c r="K177" i="116"/>
  <c r="Q177" i="116" s="1"/>
  <c r="P178" i="116" s="1"/>
  <c r="B177" i="116"/>
  <c r="H6" i="116"/>
  <c r="G7" i="116"/>
  <c r="G8" i="116" s="1"/>
  <c r="I6" i="116" l="1"/>
  <c r="H7" i="116"/>
  <c r="H8" i="116" s="1"/>
  <c r="E29" i="116"/>
  <c r="J6" i="116" l="1"/>
  <c r="I7" i="116"/>
  <c r="I8" i="116" s="1"/>
  <c r="E30" i="116"/>
  <c r="E31" i="116" s="1"/>
  <c r="E28" i="116" s="1"/>
  <c r="F29" i="116" s="1"/>
  <c r="F30" i="116" l="1"/>
  <c r="F31" i="116" s="1"/>
  <c r="F28" i="116" s="1"/>
  <c r="G29" i="116" s="1"/>
  <c r="K6" i="116"/>
  <c r="J7" i="116"/>
  <c r="J8" i="116" s="1"/>
  <c r="G30" i="116" l="1"/>
  <c r="G31" i="116" s="1"/>
  <c r="L6" i="116"/>
  <c r="K7" i="116"/>
  <c r="K8" i="116" s="1"/>
  <c r="M6" i="116" l="1"/>
  <c r="L7" i="116"/>
  <c r="L8" i="116" s="1"/>
  <c r="G28" i="116"/>
  <c r="H29" i="116" s="1"/>
  <c r="H30" i="116" l="1"/>
  <c r="H31" i="116" s="1"/>
  <c r="H28" i="116" s="1"/>
  <c r="I29" i="116" s="1"/>
  <c r="M7" i="116"/>
  <c r="M8" i="116" s="1"/>
  <c r="N6" i="116"/>
  <c r="I30" i="116" l="1"/>
  <c r="I31" i="116" s="1"/>
  <c r="I28" i="116" s="1"/>
  <c r="J29" i="116" s="1"/>
  <c r="N7" i="116"/>
  <c r="N8" i="116" s="1"/>
  <c r="O6" i="116"/>
  <c r="J30" i="116" l="1"/>
  <c r="J31" i="116" s="1"/>
  <c r="J28" i="116" s="1"/>
  <c r="K29" i="116" s="1"/>
  <c r="P6" i="116"/>
  <c r="O7" i="116"/>
  <c r="O8" i="116" s="1"/>
  <c r="K30" i="116" l="1"/>
  <c r="K31" i="116" s="1"/>
  <c r="Q6" i="116"/>
  <c r="P7" i="116"/>
  <c r="P8" i="116" s="1"/>
  <c r="Q7" i="116" l="1"/>
  <c r="Q8" i="116" s="1"/>
  <c r="R6" i="116"/>
  <c r="K28" i="116"/>
  <c r="L29" i="116" s="1"/>
  <c r="L30" i="116" l="1"/>
  <c r="L31" i="116" s="1"/>
  <c r="L28" i="116" s="1"/>
  <c r="M29" i="116" s="1"/>
  <c r="S6" i="116"/>
  <c r="R7" i="116"/>
  <c r="R8" i="116" s="1"/>
  <c r="M30" i="116" l="1"/>
  <c r="M31" i="116" s="1"/>
  <c r="M28" i="116" s="1"/>
  <c r="N29" i="116" s="1"/>
  <c r="T6" i="116"/>
  <c r="S7" i="116"/>
  <c r="S8" i="116" s="1"/>
  <c r="N30" i="116" l="1"/>
  <c r="N31" i="116" s="1"/>
  <c r="N28" i="116" s="1"/>
  <c r="O29" i="116" s="1"/>
  <c r="U6" i="116"/>
  <c r="T7" i="116"/>
  <c r="T8" i="116" s="1"/>
  <c r="O30" i="116" l="1"/>
  <c r="O31" i="116" s="1"/>
  <c r="O28" i="116" s="1"/>
  <c r="P29" i="116" s="1"/>
  <c r="U7" i="116"/>
  <c r="U8" i="116" s="1"/>
  <c r="V6" i="116"/>
  <c r="P30" i="116" l="1"/>
  <c r="P31" i="116" s="1"/>
  <c r="P28" i="116" s="1"/>
  <c r="Q29" i="116" s="1"/>
  <c r="V7" i="116"/>
  <c r="V8" i="116" s="1"/>
  <c r="V5" i="116" s="1"/>
  <c r="W6" i="116"/>
  <c r="Q30" i="116" l="1"/>
  <c r="Q31" i="116" s="1"/>
  <c r="Q28" i="116" s="1"/>
  <c r="R29" i="116" s="1"/>
  <c r="X6" i="116"/>
  <c r="W7" i="116"/>
  <c r="W8" i="116" s="1"/>
  <c r="W5" i="116" s="1"/>
  <c r="Y6" i="116" l="1"/>
  <c r="X7" i="116"/>
  <c r="X8" i="116" s="1"/>
  <c r="X5" i="116" s="1"/>
  <c r="R30" i="116"/>
  <c r="R31" i="116" s="1"/>
  <c r="R28" i="116" l="1"/>
  <c r="S29" i="116" s="1"/>
  <c r="Z6" i="116"/>
  <c r="Y7" i="116"/>
  <c r="Y8" i="116" s="1"/>
  <c r="Y5" i="116" s="1"/>
  <c r="AA6" i="116" l="1"/>
  <c r="Z7" i="116"/>
  <c r="Z8" i="116" s="1"/>
  <c r="Z5" i="116" s="1"/>
  <c r="S30" i="116"/>
  <c r="S31" i="116" s="1"/>
  <c r="S28" i="116" s="1"/>
  <c r="T29" i="116" s="1"/>
  <c r="T30" i="116" l="1"/>
  <c r="T31" i="116" s="1"/>
  <c r="T28" i="116" s="1"/>
  <c r="U29" i="116" s="1"/>
  <c r="AB6" i="116"/>
  <c r="AA7" i="116"/>
  <c r="AA8" i="116" s="1"/>
  <c r="AA5" i="116" s="1"/>
  <c r="U30" i="116" l="1"/>
  <c r="U31" i="116" s="1"/>
  <c r="U28" i="116" s="1"/>
  <c r="V29" i="116" s="1"/>
  <c r="AC6" i="116"/>
  <c r="AB7" i="116"/>
  <c r="AB8" i="116" s="1"/>
  <c r="AB5" i="116" s="1"/>
  <c r="V30" i="116" l="1"/>
  <c r="V31" i="116" s="1"/>
  <c r="V28" i="116" s="1"/>
  <c r="W29" i="116" s="1"/>
  <c r="AC7" i="116"/>
  <c r="AC8" i="116" s="1"/>
  <c r="AC5" i="116" s="1"/>
  <c r="AD6" i="116"/>
  <c r="W30" i="116" l="1"/>
  <c r="W31" i="116" s="1"/>
  <c r="W28" i="116" s="1"/>
  <c r="X29" i="116" s="1"/>
  <c r="AD7" i="116"/>
  <c r="AD8" i="116" s="1"/>
  <c r="AD5" i="116" s="1"/>
  <c r="AE6" i="116"/>
  <c r="X30" i="116" l="1"/>
  <c r="X31" i="116" s="1"/>
  <c r="X28" i="116" s="1"/>
  <c r="Y29" i="116" s="1"/>
  <c r="AE7" i="116"/>
  <c r="AE8" i="116" s="1"/>
  <c r="AE5" i="116" s="1"/>
  <c r="AF6" i="116"/>
  <c r="Y30" i="116" l="1"/>
  <c r="Y31" i="116" s="1"/>
  <c r="AG6" i="116"/>
  <c r="AG7" i="116" s="1"/>
  <c r="AG8" i="116" s="1"/>
  <c r="AG5" i="116" s="1"/>
  <c r="AF7" i="116"/>
  <c r="AF8" i="116" s="1"/>
  <c r="AF5" i="116" s="1"/>
  <c r="Y28" i="116" l="1"/>
  <c r="Z29" i="116" s="1"/>
  <c r="Z30" i="116" l="1"/>
  <c r="Z31" i="116" s="1"/>
  <c r="Z28" i="116" s="1"/>
  <c r="AA29" i="116" s="1"/>
  <c r="AA30" i="116" l="1"/>
  <c r="AA31" i="116" s="1"/>
  <c r="AA28" i="116" s="1"/>
  <c r="AB29" i="116" s="1"/>
  <c r="AB30" i="116" l="1"/>
  <c r="AB31" i="116" s="1"/>
  <c r="AB28" i="116" s="1"/>
  <c r="AC29" i="116" s="1"/>
  <c r="AC30" i="116" l="1"/>
  <c r="AC31" i="116" s="1"/>
  <c r="AC28" i="116" s="1"/>
  <c r="AD29" i="116" s="1"/>
  <c r="AD30" i="116" l="1"/>
  <c r="AD31" i="116" s="1"/>
  <c r="AD28" i="116" s="1"/>
  <c r="AE29" i="116" s="1"/>
  <c r="AE30" i="116" l="1"/>
  <c r="AE31" i="116" s="1"/>
  <c r="AE28" i="116" s="1"/>
  <c r="AF29" i="116" s="1"/>
  <c r="AF30" i="116" l="1"/>
  <c r="AF31" i="116" s="1"/>
  <c r="AF32" i="116" l="1"/>
  <c r="AF28" i="116"/>
  <c r="AG29" i="116" s="1"/>
  <c r="AG30" i="116" s="1"/>
  <c r="AG31" i="116" s="1"/>
  <c r="AG28" i="116" s="1"/>
  <c r="C51" i="116" s="1"/>
  <c r="A54" i="116" l="1"/>
  <c r="AI71" i="116"/>
  <c r="C52" i="116"/>
  <c r="C53" i="116" s="1"/>
  <c r="AL71" i="116"/>
  <c r="AI67" i="116" l="1"/>
  <c r="AH67" i="116" s="1"/>
  <c r="C50" i="116"/>
  <c r="D51" i="116" l="1"/>
  <c r="D52" i="116" l="1"/>
  <c r="D53" i="116" s="1"/>
  <c r="D50" i="116" s="1"/>
  <c r="E51" i="116" s="1"/>
  <c r="E52" i="116" l="1"/>
  <c r="E53" i="116" s="1"/>
  <c r="E50" i="116" s="1"/>
  <c r="F51" i="116" s="1"/>
  <c r="F52" i="116" l="1"/>
  <c r="F53" i="116" s="1"/>
  <c r="F50" i="116" l="1"/>
  <c r="G51" i="116" l="1"/>
  <c r="G52" i="116" l="1"/>
  <c r="G53" i="116" s="1"/>
  <c r="G50" i="116" s="1"/>
  <c r="H51" i="116" s="1"/>
  <c r="H52" i="116" l="1"/>
  <c r="H53" i="116" s="1"/>
  <c r="H50" i="116" s="1"/>
  <c r="I51" i="116" s="1"/>
  <c r="I52" i="116" l="1"/>
  <c r="I53" i="116" s="1"/>
  <c r="I50" i="116" s="1"/>
  <c r="J51" i="116" s="1"/>
  <c r="J52" i="116" l="1"/>
  <c r="J53" i="116" s="1"/>
  <c r="J50" i="116" s="1"/>
  <c r="K51" i="116" s="1"/>
  <c r="AI111" i="116"/>
  <c r="AH111" i="116" s="1"/>
  <c r="AI68" i="116"/>
  <c r="AH68" i="116" s="1"/>
  <c r="AI132" i="116"/>
  <c r="AH132" i="116" s="1"/>
  <c r="AI90" i="116"/>
  <c r="AH90" i="116" s="1"/>
  <c r="K52" i="116" l="1"/>
  <c r="K53" i="116" s="1"/>
  <c r="K50" i="116" s="1"/>
  <c r="L51" i="116" s="1"/>
  <c r="AI46" i="116"/>
  <c r="AH46" i="116" s="1"/>
  <c r="AI23" i="116"/>
  <c r="AH23" i="116" s="1"/>
  <c r="AC172" i="116"/>
  <c r="L52" i="116" l="1"/>
  <c r="L53" i="116" s="1"/>
  <c r="L50" i="116" s="1"/>
  <c r="M51" i="116" s="1"/>
  <c r="X175" i="116"/>
  <c r="X177" i="116"/>
  <c r="X173" i="116"/>
  <c r="X172" i="116"/>
  <c r="X176" i="116"/>
  <c r="X174" i="116"/>
  <c r="M52" i="116" l="1"/>
  <c r="M53" i="116" s="1"/>
  <c r="M50" i="116" s="1"/>
  <c r="N51" i="116" s="1"/>
  <c r="X178" i="116"/>
  <c r="N52" i="116" l="1"/>
  <c r="N53" i="116" s="1"/>
  <c r="N50" i="116" s="1"/>
  <c r="O51" i="116" s="1"/>
  <c r="O52" i="116" l="1"/>
  <c r="O53" i="116" s="1"/>
  <c r="O50" i="116" s="1"/>
  <c r="P51" i="116" s="1"/>
  <c r="P52" i="116" l="1"/>
  <c r="P53" i="116" s="1"/>
  <c r="P50" i="116" s="1"/>
  <c r="Q51" i="116" s="1"/>
  <c r="Q52" i="116" l="1"/>
  <c r="Q53" i="116" s="1"/>
  <c r="Q50" i="116" s="1"/>
  <c r="R51" i="116" s="1"/>
  <c r="R52" i="116" l="1"/>
  <c r="R53" i="116" s="1"/>
  <c r="R50" i="116" s="1"/>
  <c r="S51" i="116" s="1"/>
  <c r="S52" i="116" l="1"/>
  <c r="S53" i="116" s="1"/>
  <c r="S50" i="116" s="1"/>
  <c r="T51" i="116" s="1"/>
  <c r="T52" i="116" l="1"/>
  <c r="T53" i="116" s="1"/>
  <c r="T50" i="116" s="1"/>
  <c r="U51" i="116" s="1"/>
  <c r="U52" i="116" l="1"/>
  <c r="U53" i="116" s="1"/>
  <c r="U50" i="116" s="1"/>
  <c r="V51" i="116" s="1"/>
  <c r="V52" i="116" l="1"/>
  <c r="V53" i="116" s="1"/>
  <c r="V50" i="116" s="1"/>
  <c r="W51" i="116" s="1"/>
  <c r="W52" i="116" l="1"/>
  <c r="W53" i="116" s="1"/>
  <c r="W50" i="116" s="1"/>
  <c r="X51" i="116" s="1"/>
  <c r="I151" i="116" l="1"/>
  <c r="I150" i="116"/>
  <c r="X52" i="116"/>
  <c r="X53" i="116" s="1"/>
  <c r="X50" i="116" s="1"/>
  <c r="Y51" i="116" s="1"/>
  <c r="Y52" i="116" l="1"/>
  <c r="Y53" i="116" s="1"/>
  <c r="Y50" i="116" s="1"/>
  <c r="Z51" i="116" s="1"/>
  <c r="V150" i="116"/>
  <c r="K150" i="116"/>
  <c r="V151" i="116"/>
  <c r="K151" i="116"/>
  <c r="Z52" i="116" l="1"/>
  <c r="Z53" i="116" s="1"/>
  <c r="Z50" i="116" s="1"/>
  <c r="AA51" i="116" s="1"/>
  <c r="C54" i="116"/>
  <c r="F54" i="116"/>
  <c r="G32" i="116"/>
  <c r="K32" i="116"/>
  <c r="R32" i="116"/>
  <c r="Y32" i="116"/>
  <c r="AH172" i="116"/>
  <c r="AA52" i="116" l="1"/>
  <c r="AA53" i="116" s="1"/>
  <c r="AA50" i="116" s="1"/>
  <c r="AB51" i="116" s="1"/>
  <c r="AB52" i="116" l="1"/>
  <c r="AB53" i="116" s="1"/>
  <c r="AB50" i="116" s="1"/>
  <c r="AC51" i="116" s="1"/>
  <c r="AC52" i="116" l="1"/>
  <c r="AC53" i="116" s="1"/>
  <c r="AC50" i="116" s="1"/>
  <c r="AD51" i="116" s="1"/>
  <c r="AD52" i="116" l="1"/>
  <c r="AD53" i="116" s="1"/>
  <c r="AD50" i="116" s="1"/>
  <c r="AE51" i="116" s="1"/>
  <c r="AE52" i="116" l="1"/>
  <c r="AE53" i="116" s="1"/>
  <c r="AE50" i="116" l="1"/>
  <c r="AF51" i="116" s="1"/>
  <c r="AE54" i="116"/>
  <c r="AF52" i="116" l="1"/>
  <c r="AF53" i="116" s="1"/>
  <c r="AF50" i="116" l="1"/>
  <c r="AG51" i="116" s="1"/>
  <c r="AG52" i="116" s="1"/>
  <c r="AG53" i="116" s="1"/>
  <c r="AF54" i="116"/>
  <c r="AG54" i="116" l="1"/>
  <c r="AG50" i="116"/>
  <c r="C73" i="116" s="1"/>
  <c r="I152" i="116" l="1"/>
  <c r="AL93" i="116"/>
  <c r="AI93" i="116"/>
  <c r="C74" i="116"/>
  <c r="C75" i="116" s="1"/>
  <c r="A76" i="116"/>
  <c r="V152" i="116" l="1"/>
  <c r="K152" i="116"/>
  <c r="AI89" i="116"/>
  <c r="AH89" i="116" s="1"/>
  <c r="C72" i="116"/>
  <c r="D73" i="116" l="1"/>
  <c r="D74" i="116" l="1"/>
  <c r="D75" i="116" s="1"/>
  <c r="D72" i="116" s="1"/>
  <c r="E73" i="116" s="1"/>
  <c r="E74" i="116" l="1"/>
  <c r="E75" i="116" s="1"/>
  <c r="E72" i="116" l="1"/>
  <c r="E76" i="116"/>
  <c r="F73" i="116" l="1"/>
  <c r="F74" i="116" l="1"/>
  <c r="F75" i="116" s="1"/>
  <c r="F72" i="116" s="1"/>
  <c r="G73" i="116" s="1"/>
  <c r="G74" i="116" l="1"/>
  <c r="G75" i="116" s="1"/>
  <c r="G72" i="116" s="1"/>
  <c r="H73" i="116" s="1"/>
  <c r="H74" i="116" l="1"/>
  <c r="H75" i="116" s="1"/>
  <c r="H76" i="116" l="1"/>
  <c r="H72" i="116"/>
  <c r="I73" i="116" s="1"/>
  <c r="I74" i="116" l="1"/>
  <c r="I75" i="116" s="1"/>
  <c r="I72" i="116" s="1"/>
  <c r="J73" i="116" s="1"/>
  <c r="J74" i="116" l="1"/>
  <c r="J75" i="116" s="1"/>
  <c r="J76" i="116" l="1"/>
  <c r="J72" i="116"/>
  <c r="K73" i="116" s="1"/>
  <c r="K74" i="116" l="1"/>
  <c r="K75" i="116" s="1"/>
  <c r="K72" i="116" s="1"/>
  <c r="L73" i="116" s="1"/>
  <c r="U172" i="116"/>
  <c r="L74" i="116" l="1"/>
  <c r="L75" i="116" s="1"/>
  <c r="L72" i="116" s="1"/>
  <c r="M73" i="116" s="1"/>
  <c r="M74" i="116" l="1"/>
  <c r="M75" i="116" s="1"/>
  <c r="M72" i="116" s="1"/>
  <c r="N73" i="116" s="1"/>
  <c r="N74" i="116" l="1"/>
  <c r="N75" i="116" s="1"/>
  <c r="N72" i="116" s="1"/>
  <c r="O73" i="116" s="1"/>
  <c r="O74" i="116" l="1"/>
  <c r="O75" i="116" s="1"/>
  <c r="O72" i="116" s="1"/>
  <c r="P73" i="116" s="1"/>
  <c r="P74" i="116" l="1"/>
  <c r="P75" i="116" s="1"/>
  <c r="P72" i="116" s="1"/>
  <c r="Q73" i="116" s="1"/>
  <c r="Q74" i="116" l="1"/>
  <c r="Q75" i="116" s="1"/>
  <c r="Q72" i="116" s="1"/>
  <c r="R73" i="116" s="1"/>
  <c r="R74" i="116" l="1"/>
  <c r="R75" i="116" s="1"/>
  <c r="R72" i="116" s="1"/>
  <c r="S73" i="116" s="1"/>
  <c r="S74" i="116" l="1"/>
  <c r="S75" i="116" s="1"/>
  <c r="S72" i="116" s="1"/>
  <c r="T73" i="116" s="1"/>
  <c r="T74" i="116" l="1"/>
  <c r="T75" i="116" s="1"/>
  <c r="T72" i="116" s="1"/>
  <c r="U73" i="116" s="1"/>
  <c r="U74" i="116" l="1"/>
  <c r="U75" i="116" s="1"/>
  <c r="U72" i="116" s="1"/>
  <c r="V73" i="116" s="1"/>
  <c r="V74" i="116" l="1"/>
  <c r="V75" i="116" s="1"/>
  <c r="V72" i="116" l="1"/>
  <c r="W73" i="116" s="1"/>
  <c r="V76" i="116"/>
  <c r="W74" i="116" l="1"/>
  <c r="W75" i="116" s="1"/>
  <c r="W72" i="116" s="1"/>
  <c r="X73" i="116" s="1"/>
  <c r="X74" i="116" l="1"/>
  <c r="X75" i="116" s="1"/>
  <c r="X72" i="116" s="1"/>
  <c r="Y73" i="116" s="1"/>
  <c r="Y74" i="116" l="1"/>
  <c r="Y75" i="116" s="1"/>
  <c r="Y72" i="116" s="1"/>
  <c r="Z73" i="116" s="1"/>
  <c r="Z74" i="116" l="1"/>
  <c r="Z75" i="116" s="1"/>
  <c r="Z72" i="116" s="1"/>
  <c r="AA73" i="116" s="1"/>
  <c r="AA74" i="116" l="1"/>
  <c r="AA75" i="116" s="1"/>
  <c r="AA72" i="116" s="1"/>
  <c r="AB73" i="116" s="1"/>
  <c r="AB74" i="116" l="1"/>
  <c r="AB75" i="116" s="1"/>
  <c r="AB72" i="116" s="1"/>
  <c r="AC73" i="116" s="1"/>
  <c r="AC74" i="116" l="1"/>
  <c r="AC75" i="116" s="1"/>
  <c r="AC72" i="116" s="1"/>
  <c r="AD73" i="116" s="1"/>
  <c r="AD74" i="116" l="1"/>
  <c r="AD75" i="116" s="1"/>
  <c r="AD72" i="116" s="1"/>
  <c r="AE73" i="116" s="1"/>
  <c r="AE74" i="116" l="1"/>
  <c r="AE75" i="116" s="1"/>
  <c r="AE72" i="116" s="1"/>
  <c r="AF73" i="116" s="1"/>
  <c r="AF74" i="116" l="1"/>
  <c r="AF75" i="116" s="1"/>
  <c r="AF72" i="116" s="1"/>
  <c r="AG73" i="116" s="1"/>
  <c r="AG74" i="116" s="1"/>
  <c r="AG75" i="116" s="1"/>
  <c r="AG72" i="116" s="1"/>
  <c r="C95" i="116" s="1"/>
  <c r="AL114" i="116" l="1"/>
  <c r="C96" i="116"/>
  <c r="C97" i="116" s="1"/>
  <c r="I153" i="116"/>
  <c r="AI114" i="116"/>
  <c r="A98" i="116"/>
  <c r="V153" i="116" l="1"/>
  <c r="K153" i="116"/>
  <c r="AI110" i="116"/>
  <c r="AH110" i="116" s="1"/>
  <c r="C94" i="116"/>
  <c r="D95" i="116" l="1"/>
  <c r="D96" i="116" l="1"/>
  <c r="D97" i="116" s="1"/>
  <c r="D94" i="116" s="1"/>
  <c r="E95" i="116" s="1"/>
  <c r="E96" i="116" l="1"/>
  <c r="E97" i="116" s="1"/>
  <c r="E94" i="116" l="1"/>
  <c r="E98" i="116"/>
  <c r="F95" i="116" l="1"/>
  <c r="F96" i="116" l="1"/>
  <c r="F97" i="116" s="1"/>
  <c r="F98" i="116" l="1"/>
  <c r="F94" i="116"/>
  <c r="G95" i="116" s="1"/>
  <c r="G96" i="116" l="1"/>
  <c r="G97" i="116" s="1"/>
  <c r="G98" i="116" l="1"/>
  <c r="G94" i="116"/>
  <c r="H95" i="116" s="1"/>
  <c r="H96" i="116" l="1"/>
  <c r="H97" i="116" s="1"/>
  <c r="H94" i="116" s="1"/>
  <c r="I95" i="116" s="1"/>
  <c r="I96" i="116" l="1"/>
  <c r="I97" i="116" s="1"/>
  <c r="I94" i="116" s="1"/>
  <c r="J95" i="116" s="1"/>
  <c r="J96" i="116" l="1"/>
  <c r="J97" i="116" s="1"/>
  <c r="J94" i="116" s="1"/>
  <c r="K95" i="116" s="1"/>
  <c r="K96" i="116" l="1"/>
  <c r="K97" i="116" s="1"/>
  <c r="K94" i="116" s="1"/>
  <c r="L95" i="116" s="1"/>
  <c r="L96" i="116" l="1"/>
  <c r="L97" i="116" s="1"/>
  <c r="L94" i="116" l="1"/>
  <c r="M95" i="116" s="1"/>
  <c r="L98" i="116"/>
  <c r="M96" i="116" l="1"/>
  <c r="M97" i="116" s="1"/>
  <c r="M94" i="116" l="1"/>
  <c r="N95" i="116" s="1"/>
  <c r="M98" i="116"/>
  <c r="N96" i="116" l="1"/>
  <c r="N97" i="116" s="1"/>
  <c r="N94" i="116" s="1"/>
  <c r="O95" i="116" s="1"/>
  <c r="O96" i="116" l="1"/>
  <c r="O97" i="116" s="1"/>
  <c r="O98" i="116" l="1"/>
  <c r="O94" i="116"/>
  <c r="P95" i="116" s="1"/>
  <c r="P96" i="116" l="1"/>
  <c r="P97" i="116" s="1"/>
  <c r="P94" i="116" l="1"/>
  <c r="Q95" i="116" s="1"/>
  <c r="P98" i="116"/>
  <c r="Q96" i="116" l="1"/>
  <c r="Q97" i="116" s="1"/>
  <c r="Q94" i="116" s="1"/>
  <c r="R95" i="116" s="1"/>
  <c r="R96" i="116" l="1"/>
  <c r="R97" i="116" s="1"/>
  <c r="R94" i="116" s="1"/>
  <c r="S95" i="116" s="1"/>
  <c r="S96" i="116" l="1"/>
  <c r="S97" i="116" s="1"/>
  <c r="S94" i="116" l="1"/>
  <c r="T95" i="116" s="1"/>
  <c r="S98" i="116"/>
  <c r="T96" i="116" l="1"/>
  <c r="T97" i="116" s="1"/>
  <c r="T94" i="116" l="1"/>
  <c r="U95" i="116" s="1"/>
  <c r="T98" i="116"/>
  <c r="U96" i="116" l="1"/>
  <c r="U97" i="116" s="1"/>
  <c r="U94" i="116" s="1"/>
  <c r="V95" i="116" s="1"/>
  <c r="V96" i="116" l="1"/>
  <c r="V97" i="116" s="1"/>
  <c r="V94" i="116" s="1"/>
  <c r="W95" i="116" s="1"/>
  <c r="W96" i="116" l="1"/>
  <c r="W97" i="116" s="1"/>
  <c r="W94" i="116" s="1"/>
  <c r="X95" i="116" s="1"/>
  <c r="X96" i="116" l="1"/>
  <c r="X97" i="116" s="1"/>
  <c r="X94" i="116" s="1"/>
  <c r="Y95" i="116" s="1"/>
  <c r="Y96" i="116" l="1"/>
  <c r="Y97" i="116" s="1"/>
  <c r="Y94" i="116" s="1"/>
  <c r="Z95" i="116" s="1"/>
  <c r="Z96" i="116" l="1"/>
  <c r="Z97" i="116" s="1"/>
  <c r="Z94" i="116" l="1"/>
  <c r="AA95" i="116" s="1"/>
  <c r="Z98" i="116"/>
  <c r="AA96" i="116" l="1"/>
  <c r="AA97" i="116" s="1"/>
  <c r="AA94" i="116" l="1"/>
  <c r="AB95" i="116" s="1"/>
  <c r="AA98" i="116"/>
  <c r="AB96" i="116" l="1"/>
  <c r="AB97" i="116" s="1"/>
  <c r="AB94" i="116" s="1"/>
  <c r="AC95" i="116" s="1"/>
  <c r="AC96" i="116" l="1"/>
  <c r="AC97" i="116" s="1"/>
  <c r="AC94" i="116" s="1"/>
  <c r="AD95" i="116" s="1"/>
  <c r="AD96" i="116" l="1"/>
  <c r="AD97" i="116" s="1"/>
  <c r="AD94" i="116" s="1"/>
  <c r="AE95" i="116" s="1"/>
  <c r="AE96" i="116" l="1"/>
  <c r="AE97" i="116" s="1"/>
  <c r="AE94" i="116" s="1"/>
  <c r="AF95" i="116" s="1"/>
  <c r="AF96" i="116" l="1"/>
  <c r="AF97" i="116" s="1"/>
  <c r="AF94" i="116" s="1"/>
  <c r="AG95" i="116" s="1"/>
  <c r="AG96" i="116" s="1"/>
  <c r="AG97" i="116" s="1"/>
  <c r="AG98" i="116" l="1"/>
  <c r="AG94" i="116"/>
  <c r="C116" i="116" s="1"/>
  <c r="U173" i="116"/>
  <c r="I154" i="116" l="1"/>
  <c r="AL135" i="116"/>
  <c r="AI135" i="116"/>
  <c r="C117" i="116"/>
  <c r="C118" i="116" s="1"/>
  <c r="A119" i="116"/>
  <c r="AC173" i="116"/>
  <c r="C115" i="116" l="1"/>
  <c r="D116" i="116" s="1"/>
  <c r="AI131" i="116"/>
  <c r="AH131" i="116" s="1"/>
  <c r="V154" i="116"/>
  <c r="K154" i="116"/>
  <c r="C119" i="116" s="1"/>
  <c r="AH173" i="116"/>
  <c r="D117" i="116" l="1"/>
  <c r="D118" i="116" s="1"/>
  <c r="D115" i="116" s="1"/>
  <c r="E116" i="116" s="1"/>
  <c r="E117" i="116" l="1"/>
  <c r="E118" i="116" s="1"/>
  <c r="E115" i="116" l="1"/>
  <c r="F116" i="116" s="1"/>
  <c r="E119" i="116"/>
  <c r="F117" i="116" l="1"/>
  <c r="F118" i="116" s="1"/>
  <c r="F115" i="116" s="1"/>
  <c r="G116" i="116" s="1"/>
  <c r="G117" i="116" l="1"/>
  <c r="G118" i="116" s="1"/>
  <c r="G115" i="116" s="1"/>
  <c r="H116" i="116" s="1"/>
  <c r="H117" i="116" l="1"/>
  <c r="H118" i="116" s="1"/>
  <c r="H115" i="116" s="1"/>
  <c r="I116" i="116" s="1"/>
  <c r="I117" i="116" l="1"/>
  <c r="I118" i="116" s="1"/>
  <c r="I115" i="116" s="1"/>
  <c r="J116" i="116" s="1"/>
  <c r="J117" i="116" l="1"/>
  <c r="J118" i="116" s="1"/>
  <c r="J119" i="116" l="1"/>
  <c r="J115" i="116"/>
  <c r="K116" i="116" s="1"/>
  <c r="K117" i="116" l="1"/>
  <c r="K118" i="116" s="1"/>
  <c r="K115" i="116" s="1"/>
  <c r="L116" i="116" s="1"/>
  <c r="L117" i="116" l="1"/>
  <c r="L118" i="116" s="1"/>
  <c r="L115" i="116" s="1"/>
  <c r="M116" i="116" s="1"/>
  <c r="M117" i="116" l="1"/>
  <c r="M118" i="116" s="1"/>
  <c r="M115" i="116" s="1"/>
  <c r="N116" i="116" s="1"/>
  <c r="N117" i="116" l="1"/>
  <c r="N118" i="116" s="1"/>
  <c r="N115" i="116" s="1"/>
  <c r="O116" i="116" s="1"/>
  <c r="O117" i="116" l="1"/>
  <c r="O118" i="116" s="1"/>
  <c r="O115" i="116" s="1"/>
  <c r="P116" i="116" s="1"/>
  <c r="P117" i="116" l="1"/>
  <c r="P118" i="116" s="1"/>
  <c r="P115" i="116" s="1"/>
  <c r="Q116" i="116" s="1"/>
  <c r="Q117" i="116" l="1"/>
  <c r="Q118" i="116" s="1"/>
  <c r="Q115" i="116" s="1"/>
  <c r="R116" i="116" s="1"/>
  <c r="R117" i="116" l="1"/>
  <c r="R118" i="116" s="1"/>
  <c r="R115" i="116" s="1"/>
  <c r="S116" i="116" s="1"/>
  <c r="S117" i="116" l="1"/>
  <c r="S118" i="116" s="1"/>
  <c r="S115" i="116" s="1"/>
  <c r="T116" i="116" s="1"/>
  <c r="T117" i="116" l="1"/>
  <c r="T118" i="116" s="1"/>
  <c r="T115" i="116" s="1"/>
  <c r="U116" i="116" s="1"/>
  <c r="U117" i="116" l="1"/>
  <c r="U118" i="116" s="1"/>
  <c r="U115" i="116" s="1"/>
  <c r="V116" i="116" s="1"/>
  <c r="V117" i="116" l="1"/>
  <c r="V118" i="116" s="1"/>
  <c r="V115" i="116" s="1"/>
  <c r="W116" i="116" s="1"/>
  <c r="W117" i="116" l="1"/>
  <c r="W118" i="116" s="1"/>
  <c r="W115" i="116" s="1"/>
  <c r="X116" i="116" s="1"/>
  <c r="X117" i="116" l="1"/>
  <c r="X118" i="116" s="1"/>
  <c r="X115" i="116" s="1"/>
  <c r="Y116" i="116" s="1"/>
  <c r="Y117" i="116" l="1"/>
  <c r="Y118" i="116" s="1"/>
  <c r="Y115" i="116" s="1"/>
  <c r="Z116" i="116" s="1"/>
  <c r="Z117" i="116" l="1"/>
  <c r="Z118" i="116" s="1"/>
  <c r="Z115" i="116" s="1"/>
  <c r="AA116" i="116" s="1"/>
  <c r="AA117" i="116" l="1"/>
  <c r="AA118" i="116" s="1"/>
  <c r="AA115" i="116" s="1"/>
  <c r="AB116" i="116" s="1"/>
  <c r="AB117" i="116" l="1"/>
  <c r="AB118" i="116" s="1"/>
  <c r="AB115" i="116" s="1"/>
  <c r="AC116" i="116" s="1"/>
  <c r="AC117" i="116" l="1"/>
  <c r="AC118" i="116" s="1"/>
  <c r="AC115" i="116" s="1"/>
  <c r="AD116" i="116" s="1"/>
  <c r="AD117" i="116" l="1"/>
  <c r="AD118" i="116" s="1"/>
  <c r="AD115" i="116" s="1"/>
  <c r="AE116" i="116" s="1"/>
  <c r="AE117" i="116" l="1"/>
  <c r="AE118" i="116" s="1"/>
  <c r="AE119" i="116" l="1"/>
  <c r="AE115" i="116"/>
  <c r="AF116" i="116" s="1"/>
  <c r="AF117" i="116" l="1"/>
  <c r="AF118" i="116" s="1"/>
  <c r="AF119" i="116" l="1"/>
  <c r="AF115" i="116"/>
  <c r="AG116" i="116" s="1"/>
  <c r="AG117" i="116" s="1"/>
  <c r="AG118" i="116" s="1"/>
  <c r="AG115" i="116" s="1"/>
  <c r="AC174" i="116" l="1"/>
  <c r="U174" i="116"/>
  <c r="AH174" i="116" l="1"/>
  <c r="U175" i="116" l="1"/>
  <c r="AC175" i="116" l="1"/>
  <c r="AH175" i="116" l="1"/>
  <c r="AC184" i="116" l="1"/>
  <c r="U176" i="116" l="1"/>
  <c r="AC176" i="116" l="1"/>
  <c r="AH176" i="116" l="1"/>
  <c r="U177" i="116" l="1"/>
  <c r="T178" i="116" s="1"/>
  <c r="AC177" i="116"/>
  <c r="AC178" i="116" s="1"/>
  <c r="AC186" i="116" s="1"/>
  <c r="AC185" i="116" l="1"/>
  <c r="AK189" i="116"/>
  <c r="AI178" i="116"/>
  <c r="AH178" i="116" s="1"/>
  <c r="AJ189" i="116"/>
  <c r="AH189" i="116"/>
  <c r="AH188" i="116"/>
  <c r="X188" i="116"/>
  <c r="AH177" i="116"/>
  <c r="AK93" i="116"/>
  <c r="AK71" i="116"/>
  <c r="AK27" i="116"/>
  <c r="AK135" i="116"/>
  <c r="AK114" i="116"/>
  <c r="AK49" i="116"/>
  <c r="E173" i="115" l="1"/>
  <c r="E172" i="115"/>
  <c r="X171" i="115"/>
  <c r="C148" i="115"/>
  <c r="AI139" i="115"/>
  <c r="AJ139" i="115" s="1"/>
  <c r="AI88" i="115"/>
  <c r="AI66" i="115"/>
  <c r="AI44" i="115"/>
  <c r="AI21" i="115"/>
  <c r="P170" i="115" s="1"/>
  <c r="C6" i="115"/>
  <c r="C29" i="115" s="1"/>
  <c r="S4" i="115"/>
  <c r="E4" i="115"/>
  <c r="K1" i="115"/>
  <c r="AL49" i="115" l="1"/>
  <c r="AI49" i="115"/>
  <c r="C30" i="115"/>
  <c r="C31" i="115" s="1"/>
  <c r="C7" i="115"/>
  <c r="C8" i="115" s="1"/>
  <c r="D6" i="115"/>
  <c r="AI27" i="115"/>
  <c r="AL27" i="115"/>
  <c r="B172" i="115"/>
  <c r="B173" i="115"/>
  <c r="E174" i="115"/>
  <c r="K172" i="115"/>
  <c r="Q172" i="115" s="1"/>
  <c r="K173" i="115"/>
  <c r="Q173" i="115" s="1"/>
  <c r="C28" i="115" l="1"/>
  <c r="AI45" i="115"/>
  <c r="AH45" i="115" s="1"/>
  <c r="K174" i="115"/>
  <c r="Q174" i="115" s="1"/>
  <c r="E175" i="115"/>
  <c r="B174" i="115"/>
  <c r="C5" i="115"/>
  <c r="AI22" i="115"/>
  <c r="AH22" i="115" s="1"/>
  <c r="E6" i="115"/>
  <c r="D7" i="115"/>
  <c r="D8" i="115" s="1"/>
  <c r="F6" i="115" l="1"/>
  <c r="E7" i="115"/>
  <c r="E8" i="115" s="1"/>
  <c r="K175" i="115"/>
  <c r="Q175" i="115" s="1"/>
  <c r="E176" i="115"/>
  <c r="B175" i="115"/>
  <c r="D29" i="115"/>
  <c r="K176" i="115" l="1"/>
  <c r="Q176" i="115" s="1"/>
  <c r="E177" i="115"/>
  <c r="B176" i="115"/>
  <c r="D30" i="115"/>
  <c r="D31" i="115" s="1"/>
  <c r="G6" i="115"/>
  <c r="F7" i="115"/>
  <c r="F8" i="115" s="1"/>
  <c r="K177" i="115" l="1"/>
  <c r="Q177" i="115" s="1"/>
  <c r="P178" i="115" s="1"/>
  <c r="B177" i="115"/>
  <c r="G7" i="115"/>
  <c r="G8" i="115" s="1"/>
  <c r="H6" i="115"/>
  <c r="D28" i="115"/>
  <c r="H7" i="115" l="1"/>
  <c r="H8" i="115" s="1"/>
  <c r="I6" i="115"/>
  <c r="E29" i="115"/>
  <c r="E30" i="115" l="1"/>
  <c r="E31" i="115" s="1"/>
  <c r="I7" i="115"/>
  <c r="I8" i="115" s="1"/>
  <c r="J6" i="115"/>
  <c r="J7" i="115" l="1"/>
  <c r="J8" i="115" s="1"/>
  <c r="K6" i="115"/>
  <c r="E28" i="115"/>
  <c r="F29" i="115" l="1"/>
  <c r="L6" i="115"/>
  <c r="K7" i="115"/>
  <c r="K8" i="115" s="1"/>
  <c r="L7" i="115" l="1"/>
  <c r="L8" i="115" s="1"/>
  <c r="M6" i="115"/>
  <c r="F30" i="115"/>
  <c r="F31" i="115" s="1"/>
  <c r="F28" i="115" s="1"/>
  <c r="G29" i="115" s="1"/>
  <c r="G30" i="115" l="1"/>
  <c r="G31" i="115" s="1"/>
  <c r="N6" i="115"/>
  <c r="M7" i="115"/>
  <c r="M8" i="115" s="1"/>
  <c r="O6" i="115" l="1"/>
  <c r="N7" i="115"/>
  <c r="N8" i="115" s="1"/>
  <c r="G28" i="115"/>
  <c r="H29" i="115" s="1"/>
  <c r="H30" i="115" l="1"/>
  <c r="H31" i="115" s="1"/>
  <c r="H28" i="115" s="1"/>
  <c r="I29" i="115" s="1"/>
  <c r="O7" i="115"/>
  <c r="O8" i="115" s="1"/>
  <c r="P6" i="115"/>
  <c r="I30" i="115" l="1"/>
  <c r="I31" i="115" s="1"/>
  <c r="I28" i="115" s="1"/>
  <c r="J29" i="115" s="1"/>
  <c r="P7" i="115"/>
  <c r="P8" i="115" s="1"/>
  <c r="Q6" i="115"/>
  <c r="J30" i="115" l="1"/>
  <c r="J31" i="115" s="1"/>
  <c r="J28" i="115" s="1"/>
  <c r="K29" i="115" s="1"/>
  <c r="Q7" i="115"/>
  <c r="Q8" i="115" s="1"/>
  <c r="R6" i="115"/>
  <c r="K30" i="115" l="1"/>
  <c r="K31" i="115" s="1"/>
  <c r="K28" i="115" s="1"/>
  <c r="L29" i="115" s="1"/>
  <c r="S6" i="115"/>
  <c r="R7" i="115"/>
  <c r="R8" i="115" s="1"/>
  <c r="L30" i="115" l="1"/>
  <c r="L31" i="115" s="1"/>
  <c r="L28" i="115" s="1"/>
  <c r="M29" i="115" s="1"/>
  <c r="T6" i="115"/>
  <c r="S7" i="115"/>
  <c r="S8" i="115" s="1"/>
  <c r="M30" i="115" l="1"/>
  <c r="M31" i="115" s="1"/>
  <c r="M28" i="115" s="1"/>
  <c r="N29" i="115" s="1"/>
  <c r="U6" i="115"/>
  <c r="T7" i="115"/>
  <c r="T8" i="115" s="1"/>
  <c r="N30" i="115" l="1"/>
  <c r="N31" i="115" s="1"/>
  <c r="N28" i="115" s="1"/>
  <c r="O29" i="115" s="1"/>
  <c r="V6" i="115"/>
  <c r="U7" i="115"/>
  <c r="U8" i="115" s="1"/>
  <c r="O30" i="115" l="1"/>
  <c r="O31" i="115" s="1"/>
  <c r="O28" i="115" s="1"/>
  <c r="P29" i="115" s="1"/>
  <c r="W6" i="115"/>
  <c r="V7" i="115"/>
  <c r="V8" i="115" s="1"/>
  <c r="V5" i="115" s="1"/>
  <c r="P30" i="115" l="1"/>
  <c r="P31" i="115" s="1"/>
  <c r="P28" i="115" s="1"/>
  <c r="Q29" i="115" s="1"/>
  <c r="W7" i="115"/>
  <c r="W8" i="115" s="1"/>
  <c r="W5" i="115" s="1"/>
  <c r="X6" i="115"/>
  <c r="Q30" i="115" l="1"/>
  <c r="Q31" i="115" s="1"/>
  <c r="Q28" i="115" s="1"/>
  <c r="R29" i="115" s="1"/>
  <c r="X7" i="115"/>
  <c r="X8" i="115" s="1"/>
  <c r="X5" i="115" s="1"/>
  <c r="Y6" i="115"/>
  <c r="R30" i="115" l="1"/>
  <c r="R31" i="115" s="1"/>
  <c r="R28" i="115" s="1"/>
  <c r="S29" i="115" s="1"/>
  <c r="Y7" i="115"/>
  <c r="Y8" i="115" s="1"/>
  <c r="Y5" i="115" s="1"/>
  <c r="Z6" i="115"/>
  <c r="S30" i="115" l="1"/>
  <c r="S31" i="115" s="1"/>
  <c r="S28" i="115" s="1"/>
  <c r="T29" i="115" s="1"/>
  <c r="AA6" i="115"/>
  <c r="Z7" i="115"/>
  <c r="Z8" i="115" s="1"/>
  <c r="Z5" i="115" s="1"/>
  <c r="T30" i="115" l="1"/>
  <c r="T31" i="115" s="1"/>
  <c r="T28" i="115" s="1"/>
  <c r="U29" i="115" s="1"/>
  <c r="AB6" i="115"/>
  <c r="AA7" i="115"/>
  <c r="AA8" i="115" s="1"/>
  <c r="AA5" i="115" s="1"/>
  <c r="U30" i="115" l="1"/>
  <c r="U31" i="115" s="1"/>
  <c r="U28" i="115" s="1"/>
  <c r="V29" i="115" s="1"/>
  <c r="AB7" i="115"/>
  <c r="AB8" i="115" s="1"/>
  <c r="AB5" i="115" s="1"/>
  <c r="AC6" i="115"/>
  <c r="V30" i="115" l="1"/>
  <c r="V31" i="115" s="1"/>
  <c r="V28" i="115" s="1"/>
  <c r="W29" i="115" s="1"/>
  <c r="AD6" i="115"/>
  <c r="AC7" i="115"/>
  <c r="AC8" i="115" s="1"/>
  <c r="AC5" i="115" s="1"/>
  <c r="W30" i="115" l="1"/>
  <c r="W31" i="115" s="1"/>
  <c r="W28" i="115" s="1"/>
  <c r="X29" i="115" s="1"/>
  <c r="AE6" i="115"/>
  <c r="AD7" i="115"/>
  <c r="AD8" i="115" s="1"/>
  <c r="AD5" i="115" s="1"/>
  <c r="X30" i="115" l="1"/>
  <c r="X31" i="115" s="1"/>
  <c r="X28" i="115" s="1"/>
  <c r="Y29" i="115" s="1"/>
  <c r="AE7" i="115"/>
  <c r="AE8" i="115" s="1"/>
  <c r="AE5" i="115" s="1"/>
  <c r="AF6" i="115"/>
  <c r="Y30" i="115" l="1"/>
  <c r="Y31" i="115" s="1"/>
  <c r="Y28" i="115" s="1"/>
  <c r="Z29" i="115" s="1"/>
  <c r="AF7" i="115"/>
  <c r="AF8" i="115" s="1"/>
  <c r="AF5" i="115" s="1"/>
  <c r="AG6" i="115"/>
  <c r="AG7" i="115" s="1"/>
  <c r="AG8" i="115" s="1"/>
  <c r="AG5" i="115" s="1"/>
  <c r="Z30" i="115" l="1"/>
  <c r="Z31" i="115" s="1"/>
  <c r="Z28" i="115" s="1"/>
  <c r="AA29" i="115" s="1"/>
  <c r="AA30" i="115" l="1"/>
  <c r="AA31" i="115" s="1"/>
  <c r="AA28" i="115" s="1"/>
  <c r="AB29" i="115" s="1"/>
  <c r="AB30" i="115" l="1"/>
  <c r="AB31" i="115" s="1"/>
  <c r="AB28" i="115" s="1"/>
  <c r="AC29" i="115" s="1"/>
  <c r="AC30" i="115" l="1"/>
  <c r="AC31" i="115" s="1"/>
  <c r="AC28" i="115" s="1"/>
  <c r="AD29" i="115" s="1"/>
  <c r="AD30" i="115" l="1"/>
  <c r="AD31" i="115" s="1"/>
  <c r="AD28" i="115" s="1"/>
  <c r="AE29" i="115" s="1"/>
  <c r="AE30" i="115" l="1"/>
  <c r="AE31" i="115" s="1"/>
  <c r="AE32" i="115" l="1"/>
  <c r="AE28" i="115"/>
  <c r="AF29" i="115" s="1"/>
  <c r="AF30" i="115" l="1"/>
  <c r="AF31" i="115" s="1"/>
  <c r="AF32" i="115" l="1"/>
  <c r="AF28" i="115"/>
  <c r="AG29" i="115" s="1"/>
  <c r="AG30" i="115" s="1"/>
  <c r="AG31" i="115" s="1"/>
  <c r="AG32" i="115" l="1"/>
  <c r="AG28" i="115"/>
  <c r="C51" i="115" s="1"/>
  <c r="AL71" i="115" l="1"/>
  <c r="C52" i="115"/>
  <c r="C53" i="115" s="1"/>
  <c r="AI71" i="115"/>
  <c r="A54" i="115"/>
  <c r="C50" i="115" l="1"/>
  <c r="AI67" i="115"/>
  <c r="AH67" i="115" s="1"/>
  <c r="D51" i="115" l="1"/>
  <c r="D52" i="115" l="1"/>
  <c r="D53" i="115" s="1"/>
  <c r="D50" i="115" l="1"/>
  <c r="E51" i="115" l="1"/>
  <c r="E52" i="115" l="1"/>
  <c r="E53" i="115" s="1"/>
  <c r="E50" i="115" s="1"/>
  <c r="F51" i="115" l="1"/>
  <c r="F52" i="115" l="1"/>
  <c r="F53" i="115" s="1"/>
  <c r="F50" i="115" l="1"/>
  <c r="G51" i="115" s="1"/>
  <c r="G52" i="115" l="1"/>
  <c r="G53" i="115" s="1"/>
  <c r="G50" i="115" s="1"/>
  <c r="H51" i="115" s="1"/>
  <c r="H52" i="115" l="1"/>
  <c r="H53" i="115" s="1"/>
  <c r="H50" i="115" s="1"/>
  <c r="I51" i="115" s="1"/>
  <c r="I52" i="115" l="1"/>
  <c r="I53" i="115" s="1"/>
  <c r="I50" i="115" s="1"/>
  <c r="J51" i="115" s="1"/>
  <c r="J52" i="115" l="1"/>
  <c r="J53" i="115" s="1"/>
  <c r="J50" i="115" l="1"/>
  <c r="K51" i="115" s="1"/>
  <c r="K52" i="115" l="1"/>
  <c r="K53" i="115" s="1"/>
  <c r="K50" i="115" l="1"/>
  <c r="L51" i="115" s="1"/>
  <c r="L52" i="115" l="1"/>
  <c r="L53" i="115" s="1"/>
  <c r="L50" i="115" s="1"/>
  <c r="M51" i="115" s="1"/>
  <c r="M52" i="115" l="1"/>
  <c r="M53" i="115" s="1"/>
  <c r="M50" i="115" s="1"/>
  <c r="N51" i="115" s="1"/>
  <c r="N52" i="115" l="1"/>
  <c r="N53" i="115" s="1"/>
  <c r="N50" i="115" s="1"/>
  <c r="O51" i="115" s="1"/>
  <c r="O52" i="115" l="1"/>
  <c r="O53" i="115" s="1"/>
  <c r="O50" i="115" s="1"/>
  <c r="P51" i="115" s="1"/>
  <c r="P52" i="115" l="1"/>
  <c r="P53" i="115" s="1"/>
  <c r="P50" i="115" s="1"/>
  <c r="Q51" i="115" s="1"/>
  <c r="Q52" i="115" l="1"/>
  <c r="Q53" i="115" s="1"/>
  <c r="Q50" i="115" s="1"/>
  <c r="R51" i="115" s="1"/>
  <c r="R52" i="115" l="1"/>
  <c r="R53" i="115" s="1"/>
  <c r="R50" i="115" l="1"/>
  <c r="S51" i="115" s="1"/>
  <c r="S52" i="115" l="1"/>
  <c r="S53" i="115" s="1"/>
  <c r="S50" i="115" l="1"/>
  <c r="T51" i="115" s="1"/>
  <c r="T52" i="115" l="1"/>
  <c r="T53" i="115" s="1"/>
  <c r="T50" i="115" s="1"/>
  <c r="U51" i="115" s="1"/>
  <c r="U52" i="115" l="1"/>
  <c r="U53" i="115" s="1"/>
  <c r="U50" i="115" s="1"/>
  <c r="V51" i="115" s="1"/>
  <c r="V52" i="115" l="1"/>
  <c r="V53" i="115" s="1"/>
  <c r="V50" i="115" s="1"/>
  <c r="W51" i="115" s="1"/>
  <c r="W52" i="115" l="1"/>
  <c r="W53" i="115" s="1"/>
  <c r="W50" i="115" s="1"/>
  <c r="X51" i="115" s="1"/>
  <c r="X52" i="115" l="1"/>
  <c r="X53" i="115" s="1"/>
  <c r="X50" i="115" s="1"/>
  <c r="Y51" i="115" s="1"/>
  <c r="Y52" i="115" l="1"/>
  <c r="Y53" i="115" s="1"/>
  <c r="Y50" i="115" l="1"/>
  <c r="Z51" i="115" s="1"/>
  <c r="Z52" i="115" l="1"/>
  <c r="Z53" i="115" s="1"/>
  <c r="Z50" i="115" s="1"/>
  <c r="AA51" i="115" s="1"/>
  <c r="AA52" i="115" l="1"/>
  <c r="AA53" i="115" s="1"/>
  <c r="AA50" i="115" l="1"/>
  <c r="AB51" i="115" s="1"/>
  <c r="AB52" i="115" l="1"/>
  <c r="AB53" i="115" s="1"/>
  <c r="AB50" i="115" s="1"/>
  <c r="AC51" i="115" s="1"/>
  <c r="AC52" i="115" l="1"/>
  <c r="AC53" i="115" s="1"/>
  <c r="AC50" i="115" s="1"/>
  <c r="AD51" i="115" s="1"/>
  <c r="AD52" i="115" l="1"/>
  <c r="AD53" i="115" s="1"/>
  <c r="AD50" i="115" s="1"/>
  <c r="AE51" i="115" s="1"/>
  <c r="AE52" i="115" l="1"/>
  <c r="AE53" i="115" s="1"/>
  <c r="AE50" i="115" l="1"/>
  <c r="AF51" i="115" s="1"/>
  <c r="AF52" i="115" l="1"/>
  <c r="AF53" i="115" s="1"/>
  <c r="AF50" i="115" l="1"/>
  <c r="AG51" i="115" s="1"/>
  <c r="AG52" i="115" s="1"/>
  <c r="AG53" i="115" s="1"/>
  <c r="AG50" i="115" s="1"/>
  <c r="C73" i="115" s="1"/>
  <c r="AI93" i="115" l="1"/>
  <c r="C74" i="115"/>
  <c r="C75" i="115" s="1"/>
  <c r="A76" i="115"/>
  <c r="AL93" i="115"/>
  <c r="AI89" i="115" l="1"/>
  <c r="AH89" i="115" s="1"/>
  <c r="C72" i="115"/>
  <c r="D73" i="115" l="1"/>
  <c r="D74" i="115" l="1"/>
  <c r="D75" i="115" s="1"/>
  <c r="D72" i="115" s="1"/>
  <c r="E73" i="115" s="1"/>
  <c r="E74" i="115" l="1"/>
  <c r="E75" i="115" s="1"/>
  <c r="E72" i="115" l="1"/>
  <c r="F73" i="115" l="1"/>
  <c r="F74" i="115" l="1"/>
  <c r="F75" i="115" s="1"/>
  <c r="F72" i="115" s="1"/>
  <c r="G73" i="115" s="1"/>
  <c r="G74" i="115" l="1"/>
  <c r="G75" i="115" s="1"/>
  <c r="G72" i="115" l="1"/>
  <c r="H73" i="115" s="1"/>
  <c r="H74" i="115" l="1"/>
  <c r="H75" i="115" s="1"/>
  <c r="H72" i="115" l="1"/>
  <c r="I73" i="115" s="1"/>
  <c r="I74" i="115" l="1"/>
  <c r="I75" i="115" s="1"/>
  <c r="I72" i="115" s="1"/>
  <c r="J73" i="115" s="1"/>
  <c r="J74" i="115" l="1"/>
  <c r="J75" i="115" s="1"/>
  <c r="J72" i="115" s="1"/>
  <c r="K73" i="115" s="1"/>
  <c r="K74" i="115" l="1"/>
  <c r="K75" i="115" s="1"/>
  <c r="K72" i="115" l="1"/>
  <c r="L73" i="115" s="1"/>
  <c r="L74" i="115" l="1"/>
  <c r="L75" i="115" s="1"/>
  <c r="L72" i="115" s="1"/>
  <c r="M73" i="115" s="1"/>
  <c r="M74" i="115" l="1"/>
  <c r="M75" i="115" s="1"/>
  <c r="M72" i="115" s="1"/>
  <c r="N73" i="115" s="1"/>
  <c r="N74" i="115" l="1"/>
  <c r="N75" i="115" s="1"/>
  <c r="N72" i="115" s="1"/>
  <c r="O73" i="115" s="1"/>
  <c r="O74" i="115" l="1"/>
  <c r="O75" i="115" s="1"/>
  <c r="O72" i="115" s="1"/>
  <c r="P73" i="115" s="1"/>
  <c r="P74" i="115" l="1"/>
  <c r="P75" i="115" s="1"/>
  <c r="P72" i="115" s="1"/>
  <c r="Q73" i="115" s="1"/>
  <c r="Q74" i="115" l="1"/>
  <c r="Q75" i="115" s="1"/>
  <c r="Q72" i="115" s="1"/>
  <c r="R73" i="115" s="1"/>
  <c r="R74" i="115" l="1"/>
  <c r="R75" i="115" s="1"/>
  <c r="R72" i="115" s="1"/>
  <c r="S73" i="115" s="1"/>
  <c r="S74" i="115" l="1"/>
  <c r="S75" i="115" s="1"/>
  <c r="S72" i="115" s="1"/>
  <c r="T73" i="115" s="1"/>
  <c r="T74" i="115" l="1"/>
  <c r="T75" i="115" s="1"/>
  <c r="T72" i="115" s="1"/>
  <c r="U73" i="115" s="1"/>
  <c r="U74" i="115" l="1"/>
  <c r="U75" i="115" s="1"/>
  <c r="U72" i="115" s="1"/>
  <c r="V73" i="115" s="1"/>
  <c r="V74" i="115" l="1"/>
  <c r="V75" i="115" s="1"/>
  <c r="V72" i="115" s="1"/>
  <c r="W73" i="115" s="1"/>
  <c r="W74" i="115" l="1"/>
  <c r="W75" i="115" s="1"/>
  <c r="W72" i="115" s="1"/>
  <c r="X73" i="115" s="1"/>
  <c r="X74" i="115" l="1"/>
  <c r="X75" i="115" s="1"/>
  <c r="X72" i="115" s="1"/>
  <c r="Y73" i="115" s="1"/>
  <c r="Y74" i="115" l="1"/>
  <c r="Y75" i="115" s="1"/>
  <c r="Y72" i="115" s="1"/>
  <c r="Z73" i="115" s="1"/>
  <c r="Z74" i="115" l="1"/>
  <c r="Z75" i="115" s="1"/>
  <c r="Z72" i="115" s="1"/>
  <c r="AA73" i="115" s="1"/>
  <c r="AA74" i="115" l="1"/>
  <c r="AA75" i="115" s="1"/>
  <c r="AA72" i="115" s="1"/>
  <c r="AB73" i="115" s="1"/>
  <c r="AB74" i="115" l="1"/>
  <c r="AB75" i="115" s="1"/>
  <c r="AB72" i="115" s="1"/>
  <c r="AC73" i="115" s="1"/>
  <c r="AC74" i="115" l="1"/>
  <c r="AC75" i="115" s="1"/>
  <c r="AC72" i="115" s="1"/>
  <c r="AD73" i="115" s="1"/>
  <c r="AD74" i="115" l="1"/>
  <c r="AD75" i="115" s="1"/>
  <c r="AD72" i="115" s="1"/>
  <c r="AE73" i="115" s="1"/>
  <c r="AE74" i="115" l="1"/>
  <c r="AE75" i="115" s="1"/>
  <c r="AE72" i="115" s="1"/>
  <c r="AF73" i="115" s="1"/>
  <c r="AF74" i="115" l="1"/>
  <c r="AF75" i="115" s="1"/>
  <c r="AF72" i="115" s="1"/>
  <c r="AG73" i="115" s="1"/>
  <c r="AG74" i="115" s="1"/>
  <c r="AG75" i="115" s="1"/>
  <c r="AG72" i="115" l="1"/>
  <c r="C95" i="115" s="1"/>
  <c r="AG76" i="115"/>
  <c r="A98" i="115" l="1"/>
  <c r="AL114" i="115"/>
  <c r="AI114" i="115"/>
  <c r="C96" i="115"/>
  <c r="C97" i="115" s="1"/>
  <c r="AI110" i="115" l="1"/>
  <c r="AH110" i="115" s="1"/>
  <c r="C94" i="115"/>
  <c r="D95" i="115" l="1"/>
  <c r="D96" i="115" l="1"/>
  <c r="D97" i="115" s="1"/>
  <c r="D94" i="115" s="1"/>
  <c r="E95" i="115" l="1"/>
  <c r="E96" i="115" l="1"/>
  <c r="E97" i="115" s="1"/>
  <c r="E94" i="115" l="1"/>
  <c r="F95" i="115" l="1"/>
  <c r="F96" i="115" l="1"/>
  <c r="F97" i="115" s="1"/>
  <c r="F94" i="115" l="1"/>
  <c r="G95" i="115" s="1"/>
  <c r="G96" i="115" l="1"/>
  <c r="G97" i="115" s="1"/>
  <c r="G94" i="115" l="1"/>
  <c r="H95" i="115" s="1"/>
  <c r="H96" i="115" l="1"/>
  <c r="H97" i="115" s="1"/>
  <c r="H94" i="115" s="1"/>
  <c r="I95" i="115" s="1"/>
  <c r="I96" i="115" l="1"/>
  <c r="I97" i="115" s="1"/>
  <c r="I94" i="115" s="1"/>
  <c r="J95" i="115" s="1"/>
  <c r="J96" i="115" l="1"/>
  <c r="J97" i="115" s="1"/>
  <c r="J94" i="115" s="1"/>
  <c r="K95" i="115" s="1"/>
  <c r="K96" i="115" l="1"/>
  <c r="K97" i="115" s="1"/>
  <c r="K94" i="115" s="1"/>
  <c r="L95" i="115" s="1"/>
  <c r="L96" i="115" l="1"/>
  <c r="L97" i="115" s="1"/>
  <c r="L94" i="115" l="1"/>
  <c r="M95" i="115" s="1"/>
  <c r="M96" i="115" l="1"/>
  <c r="M97" i="115" s="1"/>
  <c r="M94" i="115" l="1"/>
  <c r="N95" i="115" s="1"/>
  <c r="N96" i="115" l="1"/>
  <c r="N97" i="115" s="1"/>
  <c r="N94" i="115" s="1"/>
  <c r="O95" i="115" s="1"/>
  <c r="O96" i="115" l="1"/>
  <c r="O97" i="115" s="1"/>
  <c r="O94" i="115" l="1"/>
  <c r="P95" i="115" s="1"/>
  <c r="P96" i="115" l="1"/>
  <c r="P97" i="115" s="1"/>
  <c r="P94" i="115" s="1"/>
  <c r="Q95" i="115" s="1"/>
  <c r="Q96" i="115" l="1"/>
  <c r="Q97" i="115" s="1"/>
  <c r="Q94" i="115" s="1"/>
  <c r="R95" i="115" s="1"/>
  <c r="R96" i="115" l="1"/>
  <c r="R97" i="115" s="1"/>
  <c r="R94" i="115" s="1"/>
  <c r="S95" i="115" s="1"/>
  <c r="S96" i="115" l="1"/>
  <c r="S97" i="115" s="1"/>
  <c r="S94" i="115" l="1"/>
  <c r="T95" i="115" s="1"/>
  <c r="T96" i="115" l="1"/>
  <c r="T97" i="115" s="1"/>
  <c r="T94" i="115" l="1"/>
  <c r="U95" i="115" s="1"/>
  <c r="U96" i="115" l="1"/>
  <c r="U97" i="115" s="1"/>
  <c r="U94" i="115" s="1"/>
  <c r="V95" i="115" s="1"/>
  <c r="V96" i="115" l="1"/>
  <c r="V97" i="115" s="1"/>
  <c r="V94" i="115" s="1"/>
  <c r="W95" i="115" s="1"/>
  <c r="W96" i="115" l="1"/>
  <c r="W97" i="115" s="1"/>
  <c r="W94" i="115" l="1"/>
  <c r="X95" i="115" s="1"/>
  <c r="X96" i="115" l="1"/>
  <c r="X97" i="115" s="1"/>
  <c r="X94" i="115" s="1"/>
  <c r="Y95" i="115" s="1"/>
  <c r="Y96" i="115" l="1"/>
  <c r="Y97" i="115" s="1"/>
  <c r="Y94" i="115" s="1"/>
  <c r="Z95" i="115" s="1"/>
  <c r="Z96" i="115" l="1"/>
  <c r="Z97" i="115" s="1"/>
  <c r="Z94" i="115" l="1"/>
  <c r="AA95" i="115" s="1"/>
  <c r="AA96" i="115" l="1"/>
  <c r="AA97" i="115" s="1"/>
  <c r="AA94" i="115" l="1"/>
  <c r="AB95" i="115" s="1"/>
  <c r="AB96" i="115" l="1"/>
  <c r="AB97" i="115" s="1"/>
  <c r="AB94" i="115" s="1"/>
  <c r="AC95" i="115" s="1"/>
  <c r="AC96" i="115" l="1"/>
  <c r="AC97" i="115" s="1"/>
  <c r="AC94" i="115" l="1"/>
  <c r="AD95" i="115" s="1"/>
  <c r="AD96" i="115" l="1"/>
  <c r="AD97" i="115" s="1"/>
  <c r="AD94" i="115" l="1"/>
  <c r="AE95" i="115" s="1"/>
  <c r="AE96" i="115" l="1"/>
  <c r="AE97" i="115" s="1"/>
  <c r="AE94" i="115" s="1"/>
  <c r="AF95" i="115" s="1"/>
  <c r="AF96" i="115" l="1"/>
  <c r="AF97" i="115" s="1"/>
  <c r="AF94" i="115" s="1"/>
  <c r="AG95" i="115" s="1"/>
  <c r="AG96" i="115" s="1"/>
  <c r="AG97" i="115" s="1"/>
  <c r="AG94" i="115" l="1"/>
  <c r="C116" i="115" s="1"/>
  <c r="AL135" i="115" l="1"/>
  <c r="AI135" i="115"/>
  <c r="C117" i="115"/>
  <c r="C118" i="115" s="1"/>
  <c r="A119" i="115"/>
  <c r="C115" i="115" l="1"/>
  <c r="D116" i="115" s="1"/>
  <c r="AI131" i="115"/>
  <c r="AH131" i="115" s="1"/>
  <c r="D117" i="115" l="1"/>
  <c r="D118" i="115" s="1"/>
  <c r="D115" i="115" s="1"/>
  <c r="E116" i="115" s="1"/>
  <c r="E117" i="115" l="1"/>
  <c r="E118" i="115" s="1"/>
  <c r="E115" i="115" l="1"/>
  <c r="F116" i="115" s="1"/>
  <c r="F117" i="115" l="1"/>
  <c r="F118" i="115" s="1"/>
  <c r="F115" i="115" l="1"/>
  <c r="G116" i="115" s="1"/>
  <c r="G117" i="115" l="1"/>
  <c r="G118" i="115" s="1"/>
  <c r="G115" i="115" s="1"/>
  <c r="H116" i="115" s="1"/>
  <c r="H117" i="115" l="1"/>
  <c r="H118" i="115" s="1"/>
  <c r="H115" i="115" s="1"/>
  <c r="I116" i="115" s="1"/>
  <c r="I117" i="115" l="1"/>
  <c r="I118" i="115" s="1"/>
  <c r="I115" i="115" s="1"/>
  <c r="J116" i="115" s="1"/>
  <c r="J117" i="115" l="1"/>
  <c r="J118" i="115" s="1"/>
  <c r="J115" i="115" s="1"/>
  <c r="K116" i="115" s="1"/>
  <c r="K117" i="115" l="1"/>
  <c r="K118" i="115" s="1"/>
  <c r="K115" i="115" s="1"/>
  <c r="L116" i="115" s="1"/>
  <c r="L117" i="115" l="1"/>
  <c r="L118" i="115" s="1"/>
  <c r="L115" i="115" s="1"/>
  <c r="M116" i="115" s="1"/>
  <c r="M117" i="115" l="1"/>
  <c r="M118" i="115" s="1"/>
  <c r="M115" i="115" s="1"/>
  <c r="N116" i="115" s="1"/>
  <c r="N117" i="115" l="1"/>
  <c r="N118" i="115" s="1"/>
  <c r="N115" i="115" s="1"/>
  <c r="O116" i="115" s="1"/>
  <c r="O117" i="115" l="1"/>
  <c r="O118" i="115" s="1"/>
  <c r="O115" i="115" s="1"/>
  <c r="P116" i="115" s="1"/>
  <c r="P117" i="115" l="1"/>
  <c r="P118" i="115" s="1"/>
  <c r="P115" i="115" s="1"/>
  <c r="Q116" i="115" s="1"/>
  <c r="Q117" i="115" l="1"/>
  <c r="Q118" i="115" s="1"/>
  <c r="Q115" i="115" s="1"/>
  <c r="R116" i="115" s="1"/>
  <c r="R117" i="115" l="1"/>
  <c r="R118" i="115" s="1"/>
  <c r="R115" i="115" s="1"/>
  <c r="S116" i="115" s="1"/>
  <c r="S117" i="115" l="1"/>
  <c r="S118" i="115" s="1"/>
  <c r="S115" i="115" s="1"/>
  <c r="T116" i="115" s="1"/>
  <c r="T117" i="115" l="1"/>
  <c r="T118" i="115" s="1"/>
  <c r="T115" i="115" s="1"/>
  <c r="U116" i="115" s="1"/>
  <c r="U117" i="115" l="1"/>
  <c r="U118" i="115" s="1"/>
  <c r="U115" i="115" s="1"/>
  <c r="V116" i="115" s="1"/>
  <c r="V117" i="115" l="1"/>
  <c r="V118" i="115" s="1"/>
  <c r="V115" i="115" s="1"/>
  <c r="W116" i="115" s="1"/>
  <c r="W117" i="115" l="1"/>
  <c r="W118" i="115" s="1"/>
  <c r="W115" i="115" s="1"/>
  <c r="X116" i="115" s="1"/>
  <c r="X117" i="115" l="1"/>
  <c r="X118" i="115" s="1"/>
  <c r="X115" i="115" s="1"/>
  <c r="Y116" i="115" s="1"/>
  <c r="Y117" i="115" l="1"/>
  <c r="Y118" i="115" s="1"/>
  <c r="Y115" i="115" s="1"/>
  <c r="Z116" i="115" s="1"/>
  <c r="Z117" i="115" l="1"/>
  <c r="Z118" i="115" s="1"/>
  <c r="Z115" i="115" s="1"/>
  <c r="AA116" i="115" s="1"/>
  <c r="AA117" i="115" l="1"/>
  <c r="AA118" i="115" s="1"/>
  <c r="AA115" i="115" s="1"/>
  <c r="AB116" i="115" s="1"/>
  <c r="AB117" i="115" l="1"/>
  <c r="AB118" i="115" s="1"/>
  <c r="AB115" i="115" s="1"/>
  <c r="AC116" i="115" s="1"/>
  <c r="AC117" i="115" l="1"/>
  <c r="AC118" i="115" s="1"/>
  <c r="AC115" i="115" s="1"/>
  <c r="AD116" i="115" s="1"/>
  <c r="AD117" i="115" l="1"/>
  <c r="AD118" i="115" s="1"/>
  <c r="AD115" i="115" s="1"/>
  <c r="AE116" i="115" s="1"/>
  <c r="AE117" i="115" l="1"/>
  <c r="AE118" i="115" s="1"/>
  <c r="AE119" i="115" l="1"/>
  <c r="AE115" i="115"/>
  <c r="AF116" i="115" s="1"/>
  <c r="AF117" i="115" l="1"/>
  <c r="AF118" i="115" s="1"/>
  <c r="AF119" i="115" l="1"/>
  <c r="AF115" i="115"/>
  <c r="AG116" i="115" s="1"/>
  <c r="AG117" i="115" s="1"/>
  <c r="AG118" i="115" s="1"/>
  <c r="AG119" i="115" l="1"/>
  <c r="AG115" i="115"/>
  <c r="AH177" i="114" l="1"/>
  <c r="AH176" i="114"/>
  <c r="E173" i="114"/>
  <c r="B173" i="114" s="1"/>
  <c r="E172" i="114"/>
  <c r="B172" i="114" s="1"/>
  <c r="X171" i="114"/>
  <c r="C148" i="114"/>
  <c r="AI139" i="114"/>
  <c r="AJ139" i="114" s="1"/>
  <c r="AI88" i="114"/>
  <c r="AI66" i="114"/>
  <c r="AI44" i="114"/>
  <c r="AI21" i="114"/>
  <c r="P170" i="114" s="1"/>
  <c r="C6" i="114"/>
  <c r="AI27" i="114" s="1"/>
  <c r="S4" i="114"/>
  <c r="E4" i="114"/>
  <c r="K1" i="114"/>
  <c r="K172" i="114" l="1"/>
  <c r="Q172" i="114" s="1"/>
  <c r="D6" i="114"/>
  <c r="E6" i="114" s="1"/>
  <c r="F6" i="114" s="1"/>
  <c r="K173" i="114"/>
  <c r="Q173" i="114" s="1"/>
  <c r="E174" i="114"/>
  <c r="K174" i="114" s="1"/>
  <c r="Q174" i="114" s="1"/>
  <c r="AL27" i="114"/>
  <c r="C29" i="114"/>
  <c r="C30" i="114" s="1"/>
  <c r="C31" i="114" s="1"/>
  <c r="AI45" i="114" s="1"/>
  <c r="AH45" i="114" s="1"/>
  <c r="C7" i="114"/>
  <c r="C8" i="114" s="1"/>
  <c r="D7" i="114" l="1"/>
  <c r="D8" i="114" s="1"/>
  <c r="E7" i="114"/>
  <c r="E8" i="114" s="1"/>
  <c r="E175" i="114"/>
  <c r="K175" i="114" s="1"/>
  <c r="Q175" i="114" s="1"/>
  <c r="B174" i="114"/>
  <c r="C28" i="114"/>
  <c r="D29" i="114" s="1"/>
  <c r="D30" i="114" s="1"/>
  <c r="D31" i="114" s="1"/>
  <c r="AI49" i="114"/>
  <c r="AL49" i="114"/>
  <c r="F7" i="114"/>
  <c r="F8" i="114" s="1"/>
  <c r="G6" i="114"/>
  <c r="C5" i="114"/>
  <c r="AI22" i="114"/>
  <c r="AH22" i="114" s="1"/>
  <c r="B175" i="114" l="1"/>
  <c r="E176" i="114"/>
  <c r="K176" i="114" s="1"/>
  <c r="Q176" i="114" s="1"/>
  <c r="G7" i="114"/>
  <c r="G8" i="114" s="1"/>
  <c r="H6" i="114"/>
  <c r="D28" i="114"/>
  <c r="B176" i="114" l="1"/>
  <c r="E177" i="114"/>
  <c r="K177" i="114" s="1"/>
  <c r="Q177" i="114" s="1"/>
  <c r="P178" i="114" s="1"/>
  <c r="E29" i="114"/>
  <c r="H7" i="114"/>
  <c r="H8" i="114" s="1"/>
  <c r="I6" i="114"/>
  <c r="B177" i="114" l="1"/>
  <c r="E30" i="114"/>
  <c r="E31" i="114" s="1"/>
  <c r="J6" i="114"/>
  <c r="I7" i="114"/>
  <c r="I8" i="114" s="1"/>
  <c r="E28" i="114" l="1"/>
  <c r="K6" i="114"/>
  <c r="J7" i="114"/>
  <c r="J8" i="114" s="1"/>
  <c r="L6" i="114" l="1"/>
  <c r="K7" i="114"/>
  <c r="K8" i="114" s="1"/>
  <c r="F29" i="114"/>
  <c r="M6" i="114" l="1"/>
  <c r="L7" i="114"/>
  <c r="L8" i="114" s="1"/>
  <c r="F30" i="114"/>
  <c r="F31" i="114" s="1"/>
  <c r="F28" i="114" s="1"/>
  <c r="G29" i="114" l="1"/>
  <c r="N6" i="114"/>
  <c r="M7" i="114"/>
  <c r="M8" i="114" s="1"/>
  <c r="N7" i="114" l="1"/>
  <c r="N8" i="114" s="1"/>
  <c r="O6" i="114"/>
  <c r="G30" i="114"/>
  <c r="G31" i="114" s="1"/>
  <c r="G28" i="114" s="1"/>
  <c r="H29" i="114" s="1"/>
  <c r="H30" i="114" l="1"/>
  <c r="H31" i="114" s="1"/>
  <c r="H28" i="114" s="1"/>
  <c r="I29" i="114" s="1"/>
  <c r="O7" i="114"/>
  <c r="O8" i="114" s="1"/>
  <c r="P6" i="114"/>
  <c r="I30" i="114" l="1"/>
  <c r="I31" i="114" s="1"/>
  <c r="I28" i="114" s="1"/>
  <c r="J29" i="114" s="1"/>
  <c r="Q6" i="114"/>
  <c r="P7" i="114"/>
  <c r="P8" i="114" s="1"/>
  <c r="J30" i="114" l="1"/>
  <c r="J31" i="114" s="1"/>
  <c r="J28" i="114" s="1"/>
  <c r="K29" i="114" s="1"/>
  <c r="R6" i="114"/>
  <c r="Q7" i="114"/>
  <c r="Q8" i="114" s="1"/>
  <c r="K30" i="114" l="1"/>
  <c r="K31" i="114" s="1"/>
  <c r="S6" i="114"/>
  <c r="R7" i="114"/>
  <c r="R8" i="114" s="1"/>
  <c r="T6" i="114" l="1"/>
  <c r="S7" i="114"/>
  <c r="S8" i="114" s="1"/>
  <c r="K28" i="114"/>
  <c r="L29" i="114" s="1"/>
  <c r="L30" i="114" l="1"/>
  <c r="L31" i="114" s="1"/>
  <c r="U6" i="114"/>
  <c r="T7" i="114"/>
  <c r="T8" i="114" s="1"/>
  <c r="V6" i="114" l="1"/>
  <c r="U7" i="114"/>
  <c r="U8" i="114" s="1"/>
  <c r="L28" i="114"/>
  <c r="M29" i="114" s="1"/>
  <c r="M30" i="114" l="1"/>
  <c r="M31" i="114" s="1"/>
  <c r="M28" i="114" s="1"/>
  <c r="N29" i="114" s="1"/>
  <c r="V7" i="114"/>
  <c r="V8" i="114" s="1"/>
  <c r="V5" i="114" s="1"/>
  <c r="W6" i="114"/>
  <c r="N30" i="114" l="1"/>
  <c r="N31" i="114" s="1"/>
  <c r="N28" i="114" s="1"/>
  <c r="O29" i="114" s="1"/>
  <c r="W7" i="114"/>
  <c r="W8" i="114" s="1"/>
  <c r="W5" i="114" s="1"/>
  <c r="X6" i="114"/>
  <c r="O30" i="114" l="1"/>
  <c r="O31" i="114" s="1"/>
  <c r="O28" i="114" s="1"/>
  <c r="P29" i="114" s="1"/>
  <c r="X7" i="114"/>
  <c r="X8" i="114" s="1"/>
  <c r="X5" i="114" s="1"/>
  <c r="Y6" i="114"/>
  <c r="P30" i="114" l="1"/>
  <c r="P31" i="114" s="1"/>
  <c r="Z6" i="114"/>
  <c r="Y7" i="114"/>
  <c r="Y8" i="114" s="1"/>
  <c r="Y5" i="114" s="1"/>
  <c r="P28" i="114" l="1"/>
  <c r="Q29" i="114" s="1"/>
  <c r="AA6" i="114"/>
  <c r="Z7" i="114"/>
  <c r="Z8" i="114" s="1"/>
  <c r="Z5" i="114" s="1"/>
  <c r="AB6" i="114" l="1"/>
  <c r="AA7" i="114"/>
  <c r="AA8" i="114" s="1"/>
  <c r="AA5" i="114" s="1"/>
  <c r="Q30" i="114"/>
  <c r="Q31" i="114" s="1"/>
  <c r="Q28" i="114" s="1"/>
  <c r="R29" i="114" s="1"/>
  <c r="R30" i="114" l="1"/>
  <c r="R31" i="114" s="1"/>
  <c r="AC6" i="114"/>
  <c r="AB7" i="114"/>
  <c r="AB8" i="114" s="1"/>
  <c r="AB5" i="114" s="1"/>
  <c r="R28" i="114" l="1"/>
  <c r="S29" i="114" s="1"/>
  <c r="AD6" i="114"/>
  <c r="AC7" i="114"/>
  <c r="AC8" i="114" s="1"/>
  <c r="AC5" i="114" s="1"/>
  <c r="S30" i="114" l="1"/>
  <c r="S31" i="114" s="1"/>
  <c r="AD7" i="114"/>
  <c r="AD8" i="114" s="1"/>
  <c r="AD5" i="114" s="1"/>
  <c r="AE6" i="114"/>
  <c r="AE7" i="114" l="1"/>
  <c r="AE8" i="114" s="1"/>
  <c r="AE5" i="114" s="1"/>
  <c r="AF6" i="114"/>
  <c r="S28" i="114"/>
  <c r="T29" i="114" s="1"/>
  <c r="AG6" i="114" l="1"/>
  <c r="AG7" i="114" s="1"/>
  <c r="AG8" i="114" s="1"/>
  <c r="AG5" i="114" s="1"/>
  <c r="AF7" i="114"/>
  <c r="AF8" i="114" s="1"/>
  <c r="AF5" i="114" s="1"/>
  <c r="T30" i="114"/>
  <c r="T31" i="114" s="1"/>
  <c r="T28" i="114" s="1"/>
  <c r="U29" i="114" s="1"/>
  <c r="U30" i="114" l="1"/>
  <c r="U31" i="114" s="1"/>
  <c r="U28" i="114" s="1"/>
  <c r="V29" i="114" s="1"/>
  <c r="V30" i="114" l="1"/>
  <c r="V31" i="114" s="1"/>
  <c r="V28" i="114" l="1"/>
  <c r="W29" i="114" s="1"/>
  <c r="W30" i="114" l="1"/>
  <c r="W31" i="114" s="1"/>
  <c r="W28" i="114" s="1"/>
  <c r="X29" i="114" s="1"/>
  <c r="X30" i="114" l="1"/>
  <c r="X31" i="114" s="1"/>
  <c r="X28" i="114" s="1"/>
  <c r="Y29" i="114" s="1"/>
  <c r="Y30" i="114" l="1"/>
  <c r="Y31" i="114" s="1"/>
  <c r="Y28" i="114" l="1"/>
  <c r="Z29" i="114" s="1"/>
  <c r="Z30" i="114" l="1"/>
  <c r="Z31" i="114" s="1"/>
  <c r="Z28" i="114" l="1"/>
  <c r="AA29" i="114" s="1"/>
  <c r="AA30" i="114" l="1"/>
  <c r="AA31" i="114" s="1"/>
  <c r="AA28" i="114" s="1"/>
  <c r="AB29" i="114" s="1"/>
  <c r="AB30" i="114" l="1"/>
  <c r="AB31" i="114" s="1"/>
  <c r="AB28" i="114" s="1"/>
  <c r="AC29" i="114" s="1"/>
  <c r="AC30" i="114" l="1"/>
  <c r="AC31" i="114" s="1"/>
  <c r="AC28" i="114" l="1"/>
  <c r="AD29" i="114" s="1"/>
  <c r="AD30" i="114" l="1"/>
  <c r="AD31" i="114" s="1"/>
  <c r="AD28" i="114" s="1"/>
  <c r="AE29" i="114" s="1"/>
  <c r="AE30" i="114" l="1"/>
  <c r="AE31" i="114" s="1"/>
  <c r="AE28" i="114" s="1"/>
  <c r="AF29" i="114" s="1"/>
  <c r="AF30" i="114" l="1"/>
  <c r="AF31" i="114" s="1"/>
  <c r="AF28" i="114" l="1"/>
  <c r="AG29" i="114" s="1"/>
  <c r="AG30" i="114" s="1"/>
  <c r="AG31" i="114" s="1"/>
  <c r="AG28" i="114" l="1"/>
  <c r="C51" i="114" s="1"/>
  <c r="AI71" i="114" l="1"/>
  <c r="C52" i="114"/>
  <c r="C53" i="114" s="1"/>
  <c r="A54" i="114"/>
  <c r="AL71" i="114"/>
  <c r="C50" i="114" l="1"/>
  <c r="AI67" i="114"/>
  <c r="AH67" i="114" s="1"/>
  <c r="D51" i="114" l="1"/>
  <c r="D52" i="114" l="1"/>
  <c r="D53" i="114" s="1"/>
  <c r="D50" i="114" s="1"/>
  <c r="E51" i="114" s="1"/>
  <c r="E52" i="114" l="1"/>
  <c r="E53" i="114" s="1"/>
  <c r="E50" i="114" s="1"/>
  <c r="F51" i="114" s="1"/>
  <c r="F52" i="114" l="1"/>
  <c r="F53" i="114" s="1"/>
  <c r="F50" i="114" s="1"/>
  <c r="G51" i="114" s="1"/>
  <c r="G52" i="114" l="1"/>
  <c r="G53" i="114" s="1"/>
  <c r="G50" i="114" s="1"/>
  <c r="H51" i="114" s="1"/>
  <c r="AI111" i="114"/>
  <c r="AH111" i="114" s="1"/>
  <c r="AI68" i="114"/>
  <c r="AH68" i="114" s="1"/>
  <c r="AI132" i="114"/>
  <c r="AH132" i="114" s="1"/>
  <c r="AI90" i="114"/>
  <c r="AH90" i="114" s="1"/>
  <c r="H52" i="114" l="1"/>
  <c r="H53" i="114" s="1"/>
  <c r="AI46" i="114"/>
  <c r="AH46" i="114" s="1"/>
  <c r="AI23" i="114"/>
  <c r="AH23" i="114" s="1"/>
  <c r="AC172" i="114"/>
  <c r="H50" i="114" l="1"/>
  <c r="I51" i="114" s="1"/>
  <c r="X175" i="114"/>
  <c r="X177" i="114"/>
  <c r="X173" i="114"/>
  <c r="X172" i="114"/>
  <c r="X176" i="114"/>
  <c r="X174" i="114"/>
  <c r="X178" i="114" l="1"/>
  <c r="I52" i="114"/>
  <c r="I53" i="114" s="1"/>
  <c r="I50" i="114" l="1"/>
  <c r="J51" i="114" s="1"/>
  <c r="J52" i="114" l="1"/>
  <c r="J53" i="114" s="1"/>
  <c r="J50" i="114" s="1"/>
  <c r="K51" i="114" s="1"/>
  <c r="K52" i="114" l="1"/>
  <c r="K53" i="114" s="1"/>
  <c r="K50" i="114" s="1"/>
  <c r="L51" i="114" s="1"/>
  <c r="L52" i="114" l="1"/>
  <c r="L53" i="114" s="1"/>
  <c r="L50" i="114" s="1"/>
  <c r="M51" i="114" s="1"/>
  <c r="M52" i="114" l="1"/>
  <c r="M53" i="114" s="1"/>
  <c r="M50" i="114" s="1"/>
  <c r="N51" i="114" s="1"/>
  <c r="N52" i="114" l="1"/>
  <c r="N53" i="114" s="1"/>
  <c r="N50" i="114" s="1"/>
  <c r="O51" i="114" s="1"/>
  <c r="O52" i="114" l="1"/>
  <c r="O53" i="114" s="1"/>
  <c r="O50" i="114" s="1"/>
  <c r="P51" i="114" s="1"/>
  <c r="P52" i="114" l="1"/>
  <c r="P53" i="114" s="1"/>
  <c r="P50" i="114" l="1"/>
  <c r="Q51" i="114" s="1"/>
  <c r="Q52" i="114" l="1"/>
  <c r="Q53" i="114" s="1"/>
  <c r="I151" i="114" l="1"/>
  <c r="I150" i="114"/>
  <c r="Q50" i="114"/>
  <c r="R51" i="114" s="1"/>
  <c r="R52" i="114" l="1"/>
  <c r="R53" i="114" s="1"/>
  <c r="R50" i="114" s="1"/>
  <c r="S51" i="114" s="1"/>
  <c r="V150" i="114"/>
  <c r="K150" i="114"/>
  <c r="V151" i="114"/>
  <c r="K151" i="114"/>
  <c r="S52" i="114" l="1"/>
  <c r="S53" i="114" s="1"/>
  <c r="S50" i="114" s="1"/>
  <c r="T51" i="114" s="1"/>
  <c r="C54" i="114"/>
  <c r="H54" i="114"/>
  <c r="I54" i="114"/>
  <c r="P54" i="114"/>
  <c r="Q54" i="114"/>
  <c r="D32" i="114"/>
  <c r="E32" i="114"/>
  <c r="K32" i="114"/>
  <c r="L32" i="114"/>
  <c r="P32" i="114"/>
  <c r="R32" i="114"/>
  <c r="S32" i="114"/>
  <c r="V32" i="114"/>
  <c r="Y32" i="114"/>
  <c r="Z32" i="114"/>
  <c r="AC32" i="114"/>
  <c r="AF32" i="114"/>
  <c r="AG32" i="114"/>
  <c r="AH172" i="114"/>
  <c r="T52" i="114" l="1"/>
  <c r="T53" i="114" s="1"/>
  <c r="T50" i="114" s="1"/>
  <c r="U51" i="114" s="1"/>
  <c r="U52" i="114" l="1"/>
  <c r="U53" i="114" s="1"/>
  <c r="U50" i="114" s="1"/>
  <c r="V51" i="114" s="1"/>
  <c r="V52" i="114" l="1"/>
  <c r="V53" i="114" s="1"/>
  <c r="V50" i="114" s="1"/>
  <c r="W51" i="114" s="1"/>
  <c r="W52" i="114" l="1"/>
  <c r="W53" i="114" s="1"/>
  <c r="W50" i="114" l="1"/>
  <c r="X51" i="114" s="1"/>
  <c r="W54" i="114"/>
  <c r="X52" i="114" l="1"/>
  <c r="X53" i="114" s="1"/>
  <c r="X50" i="114" s="1"/>
  <c r="Y51" i="114" s="1"/>
  <c r="Y52" i="114" l="1"/>
  <c r="Y53" i="114" s="1"/>
  <c r="Y50" i="114" s="1"/>
  <c r="Z51" i="114" s="1"/>
  <c r="Z52" i="114" l="1"/>
  <c r="Z53" i="114" s="1"/>
  <c r="Z50" i="114" s="1"/>
  <c r="AA51" i="114" s="1"/>
  <c r="AA52" i="114" l="1"/>
  <c r="AA53" i="114" s="1"/>
  <c r="AA50" i="114" s="1"/>
  <c r="AB51" i="114" s="1"/>
  <c r="AB52" i="114" l="1"/>
  <c r="AB53" i="114" s="1"/>
  <c r="AB50" i="114" l="1"/>
  <c r="AC51" i="114" s="1"/>
  <c r="AB54" i="114"/>
  <c r="AC52" i="114" l="1"/>
  <c r="AC53" i="114" s="1"/>
  <c r="AC50" i="114" l="1"/>
  <c r="AD51" i="114" s="1"/>
  <c r="AC54" i="114"/>
  <c r="AD52" i="114" l="1"/>
  <c r="AD53" i="114" s="1"/>
  <c r="AD54" i="114" l="1"/>
  <c r="AD50" i="114"/>
  <c r="AE51" i="114" s="1"/>
  <c r="AE52" i="114" l="1"/>
  <c r="AE53" i="114" s="1"/>
  <c r="AE54" i="114" l="1"/>
  <c r="AE50" i="114"/>
  <c r="AF51" i="114" s="1"/>
  <c r="AF52" i="114" l="1"/>
  <c r="AF53" i="114" s="1"/>
  <c r="AF54" i="114" l="1"/>
  <c r="AF50" i="114"/>
  <c r="AG51" i="114" s="1"/>
  <c r="AG52" i="114" s="1"/>
  <c r="AG53" i="114" s="1"/>
  <c r="AG50" i="114" l="1"/>
  <c r="C73" i="114" s="1"/>
  <c r="AG54" i="114"/>
  <c r="I152" i="114" l="1"/>
  <c r="AI93" i="114"/>
  <c r="C74" i="114"/>
  <c r="C75" i="114" s="1"/>
  <c r="A76" i="114"/>
  <c r="AL93" i="114"/>
  <c r="V152" i="114" l="1"/>
  <c r="K152" i="114"/>
  <c r="C72" i="114"/>
  <c r="AI89" i="114"/>
  <c r="AH89" i="114" s="1"/>
  <c r="D73" i="114" l="1"/>
  <c r="U172" i="114" l="1"/>
  <c r="D74" i="114"/>
  <c r="D75" i="114" s="1"/>
  <c r="D72" i="114" s="1"/>
  <c r="E73" i="114" s="1"/>
  <c r="E74" i="114" l="1"/>
  <c r="E75" i="114" s="1"/>
  <c r="E72" i="114" s="1"/>
  <c r="F73" i="114" s="1"/>
  <c r="F74" i="114" l="1"/>
  <c r="F75" i="114" s="1"/>
  <c r="F72" i="114" s="1"/>
  <c r="G73" i="114" l="1"/>
  <c r="G74" i="114" l="1"/>
  <c r="G75" i="114" s="1"/>
  <c r="G72" i="114" s="1"/>
  <c r="H73" i="114" s="1"/>
  <c r="H74" i="114" l="1"/>
  <c r="H75" i="114" s="1"/>
  <c r="H76" i="114" l="1"/>
  <c r="H72" i="114"/>
  <c r="I73" i="114" s="1"/>
  <c r="I74" i="114" l="1"/>
  <c r="I75" i="114" s="1"/>
  <c r="I76" i="114" l="1"/>
  <c r="I72" i="114"/>
  <c r="J73" i="114" s="1"/>
  <c r="J74" i="114" l="1"/>
  <c r="J75" i="114" s="1"/>
  <c r="J72" i="114" s="1"/>
  <c r="K73" i="114" s="1"/>
  <c r="K74" i="114" l="1"/>
  <c r="K75" i="114" s="1"/>
  <c r="K72" i="114" s="1"/>
  <c r="L73" i="114" s="1"/>
  <c r="L74" i="114" l="1"/>
  <c r="L75" i="114" s="1"/>
  <c r="L72" i="114" s="1"/>
  <c r="M73" i="114" s="1"/>
  <c r="M74" i="114" l="1"/>
  <c r="M75" i="114" s="1"/>
  <c r="M72" i="114" l="1"/>
  <c r="N73" i="114" s="1"/>
  <c r="M76" i="114"/>
  <c r="N74" i="114" l="1"/>
  <c r="N75" i="114" s="1"/>
  <c r="N72" i="114" s="1"/>
  <c r="O73" i="114" s="1"/>
  <c r="O74" i="114" l="1"/>
  <c r="O75" i="114" s="1"/>
  <c r="O72" i="114" l="1"/>
  <c r="P73" i="114" s="1"/>
  <c r="O76" i="114"/>
  <c r="P74" i="114" l="1"/>
  <c r="P75" i="114" s="1"/>
  <c r="P72" i="114" l="1"/>
  <c r="Q73" i="114" s="1"/>
  <c r="P76" i="114"/>
  <c r="Q74" i="114" l="1"/>
  <c r="Q75" i="114" s="1"/>
  <c r="Q72" i="114" s="1"/>
  <c r="R73" i="114" s="1"/>
  <c r="R74" i="114" l="1"/>
  <c r="R75" i="114" s="1"/>
  <c r="R72" i="114" s="1"/>
  <c r="S73" i="114" s="1"/>
  <c r="S74" i="114" l="1"/>
  <c r="S75" i="114" s="1"/>
  <c r="S76" i="114" l="1"/>
  <c r="S72" i="114"/>
  <c r="T73" i="114" s="1"/>
  <c r="T74" i="114" l="1"/>
  <c r="T75" i="114" s="1"/>
  <c r="T72" i="114" s="1"/>
  <c r="U73" i="114" s="1"/>
  <c r="U74" i="114" l="1"/>
  <c r="U75" i="114" s="1"/>
  <c r="U72" i="114" s="1"/>
  <c r="V73" i="114" s="1"/>
  <c r="V74" i="114" l="1"/>
  <c r="V75" i="114" s="1"/>
  <c r="V76" i="114" l="1"/>
  <c r="V72" i="114"/>
  <c r="W73" i="114" s="1"/>
  <c r="W74" i="114" l="1"/>
  <c r="W75" i="114" s="1"/>
  <c r="W76" i="114" l="1"/>
  <c r="W72" i="114"/>
  <c r="X73" i="114" s="1"/>
  <c r="X74" i="114" l="1"/>
  <c r="X75" i="114" s="1"/>
  <c r="X76" i="114" l="1"/>
  <c r="X72" i="114"/>
  <c r="Y73" i="114" s="1"/>
  <c r="Y74" i="114" l="1"/>
  <c r="Y75" i="114" s="1"/>
  <c r="Y72" i="114" s="1"/>
  <c r="Z73" i="114" s="1"/>
  <c r="Z74" i="114" l="1"/>
  <c r="Z75" i="114" s="1"/>
  <c r="Z72" i="114" s="1"/>
  <c r="AA73" i="114" s="1"/>
  <c r="AA74" i="114" l="1"/>
  <c r="AA75" i="114" s="1"/>
  <c r="AA72" i="114" s="1"/>
  <c r="AB73" i="114" s="1"/>
  <c r="AB74" i="114" l="1"/>
  <c r="AB75" i="114" s="1"/>
  <c r="AB72" i="114" s="1"/>
  <c r="AC73" i="114" s="1"/>
  <c r="AC74" i="114" l="1"/>
  <c r="AC75" i="114" s="1"/>
  <c r="AC76" i="114" l="1"/>
  <c r="AC72" i="114"/>
  <c r="AD73" i="114" s="1"/>
  <c r="AD74" i="114" l="1"/>
  <c r="AD75" i="114" s="1"/>
  <c r="AD72" i="114" l="1"/>
  <c r="AE73" i="114" s="1"/>
  <c r="AD76" i="114"/>
  <c r="AE74" i="114" l="1"/>
  <c r="AE75" i="114" s="1"/>
  <c r="AE72" i="114" l="1"/>
  <c r="AF73" i="114" s="1"/>
  <c r="AE76" i="114"/>
  <c r="AF74" i="114" l="1"/>
  <c r="AF75" i="114" s="1"/>
  <c r="AF72" i="114" s="1"/>
  <c r="AG73" i="114" s="1"/>
  <c r="AG74" i="114" s="1"/>
  <c r="AG75" i="114" s="1"/>
  <c r="AG72" i="114" s="1"/>
  <c r="C95" i="114" s="1"/>
  <c r="A98" i="114" l="1"/>
  <c r="AL114" i="114"/>
  <c r="I153" i="114"/>
  <c r="AI114" i="114"/>
  <c r="C96" i="114"/>
  <c r="C97" i="114" s="1"/>
  <c r="AI110" i="114" l="1"/>
  <c r="AH110" i="114" s="1"/>
  <c r="C94" i="114"/>
  <c r="V153" i="114"/>
  <c r="K153" i="114"/>
  <c r="D95" i="114" l="1"/>
  <c r="D96" i="114" l="1"/>
  <c r="D97" i="114" s="1"/>
  <c r="D94" i="114" s="1"/>
  <c r="E95" i="114" l="1"/>
  <c r="E96" i="114" l="1"/>
  <c r="E97" i="114" s="1"/>
  <c r="E98" i="114" l="1"/>
  <c r="E94" i="114"/>
  <c r="F95" i="114" l="1"/>
  <c r="F96" i="114" l="1"/>
  <c r="F97" i="114" s="1"/>
  <c r="F94" i="114" l="1"/>
  <c r="G95" i="114" s="1"/>
  <c r="F98" i="114"/>
  <c r="G96" i="114" l="1"/>
  <c r="G97" i="114" s="1"/>
  <c r="G94" i="114" s="1"/>
  <c r="H95" i="114" s="1"/>
  <c r="H96" i="114" l="1"/>
  <c r="H97" i="114" s="1"/>
  <c r="H94" i="114" s="1"/>
  <c r="I95" i="114" s="1"/>
  <c r="I96" i="114" l="1"/>
  <c r="I97" i="114" s="1"/>
  <c r="I98" i="114" l="1"/>
  <c r="I94" i="114"/>
  <c r="J95" i="114" s="1"/>
  <c r="J96" i="114" l="1"/>
  <c r="J97" i="114" s="1"/>
  <c r="J94" i="114" s="1"/>
  <c r="K95" i="114" s="1"/>
  <c r="K96" i="114" l="1"/>
  <c r="K97" i="114" s="1"/>
  <c r="K94" i="114" s="1"/>
  <c r="L95" i="114" s="1"/>
  <c r="L96" i="114" l="1"/>
  <c r="L97" i="114" s="1"/>
  <c r="L94" i="114" l="1"/>
  <c r="M95" i="114" s="1"/>
  <c r="L98" i="114"/>
  <c r="M96" i="114" l="1"/>
  <c r="M97" i="114" s="1"/>
  <c r="M98" i="114" l="1"/>
  <c r="M94" i="114"/>
  <c r="N95" i="114" s="1"/>
  <c r="N96" i="114" l="1"/>
  <c r="N97" i="114" s="1"/>
  <c r="N94" i="114" l="1"/>
  <c r="O95" i="114" s="1"/>
  <c r="N98" i="114"/>
  <c r="O96" i="114" l="1"/>
  <c r="O97" i="114" s="1"/>
  <c r="O94" i="114" l="1"/>
  <c r="P95" i="114" s="1"/>
  <c r="O98" i="114"/>
  <c r="P96" i="114" l="1"/>
  <c r="P97" i="114" s="1"/>
  <c r="P94" i="114" l="1"/>
  <c r="Q95" i="114" s="1"/>
  <c r="P98" i="114"/>
  <c r="U173" i="114"/>
  <c r="Q96" i="114" l="1"/>
  <c r="Q97" i="114" s="1"/>
  <c r="AC173" i="114"/>
  <c r="Q98" i="114" l="1"/>
  <c r="Q94" i="114"/>
  <c r="R95" i="114" s="1"/>
  <c r="AH173" i="114"/>
  <c r="R96" i="114" l="1"/>
  <c r="R97" i="114" s="1"/>
  <c r="R94" i="114" s="1"/>
  <c r="S95" i="114" s="1"/>
  <c r="S96" i="114" l="1"/>
  <c r="S97" i="114" s="1"/>
  <c r="S94" i="114" l="1"/>
  <c r="T95" i="114" s="1"/>
  <c r="S98" i="114"/>
  <c r="T96" i="114" l="1"/>
  <c r="T97" i="114" s="1"/>
  <c r="T94" i="114" l="1"/>
  <c r="U95" i="114" s="1"/>
  <c r="T98" i="114"/>
  <c r="U96" i="114" l="1"/>
  <c r="U97" i="114" s="1"/>
  <c r="U94" i="114" s="1"/>
  <c r="V95" i="114" s="1"/>
  <c r="V96" i="114" l="1"/>
  <c r="V97" i="114" s="1"/>
  <c r="V94" i="114" s="1"/>
  <c r="W95" i="114" s="1"/>
  <c r="W96" i="114" l="1"/>
  <c r="W97" i="114" s="1"/>
  <c r="W94" i="114" l="1"/>
  <c r="X95" i="114" s="1"/>
  <c r="W98" i="114"/>
  <c r="X96" i="114" l="1"/>
  <c r="X97" i="114" s="1"/>
  <c r="X94" i="114" s="1"/>
  <c r="Y95" i="114" s="1"/>
  <c r="Y96" i="114" l="1"/>
  <c r="Y97" i="114" s="1"/>
  <c r="Y94" i="114" s="1"/>
  <c r="Z95" i="114" s="1"/>
  <c r="Z96" i="114" l="1"/>
  <c r="Z97" i="114" s="1"/>
  <c r="Z98" i="114" l="1"/>
  <c r="Z94" i="114"/>
  <c r="AA95" i="114" s="1"/>
  <c r="AA96" i="114" l="1"/>
  <c r="AA97" i="114" s="1"/>
  <c r="AA98" i="114" l="1"/>
  <c r="AA94" i="114"/>
  <c r="AB95" i="114" s="1"/>
  <c r="AB96" i="114" l="1"/>
  <c r="AB97" i="114" s="1"/>
  <c r="AB94" i="114" s="1"/>
  <c r="AC95" i="114" s="1"/>
  <c r="AC96" i="114" l="1"/>
  <c r="AC97" i="114" s="1"/>
  <c r="AC94" i="114" s="1"/>
  <c r="AD95" i="114" s="1"/>
  <c r="AD96" i="114" l="1"/>
  <c r="AD97" i="114" s="1"/>
  <c r="AD94" i="114" s="1"/>
  <c r="AE95" i="114" s="1"/>
  <c r="AE96" i="114" l="1"/>
  <c r="AE97" i="114" s="1"/>
  <c r="AE94" i="114" s="1"/>
  <c r="AF95" i="114" s="1"/>
  <c r="AF96" i="114" l="1"/>
  <c r="AF97" i="114" s="1"/>
  <c r="AF94" i="114" s="1"/>
  <c r="AG95" i="114" s="1"/>
  <c r="AG96" i="114" s="1"/>
  <c r="AG97" i="114" s="1"/>
  <c r="AG98" i="114" l="1"/>
  <c r="AG94" i="114"/>
  <c r="C116" i="114" s="1"/>
  <c r="I154" i="114" l="1"/>
  <c r="AL135" i="114"/>
  <c r="AI135" i="114"/>
  <c r="C117" i="114"/>
  <c r="C118" i="114" s="1"/>
  <c r="A119" i="114"/>
  <c r="C115" i="114" l="1"/>
  <c r="D116" i="114" s="1"/>
  <c r="AI131" i="114"/>
  <c r="AH131" i="114" s="1"/>
  <c r="V154" i="114"/>
  <c r="K154" i="114"/>
  <c r="C119" i="114" s="1"/>
  <c r="D117" i="114" l="1"/>
  <c r="D118" i="114" s="1"/>
  <c r="D115" i="114" l="1"/>
  <c r="E116" i="114" s="1"/>
  <c r="D119" i="114"/>
  <c r="E117" i="114" l="1"/>
  <c r="E118" i="114" s="1"/>
  <c r="E115" i="114" s="1"/>
  <c r="F116" i="114" s="1"/>
  <c r="F117" i="114" l="1"/>
  <c r="F118" i="114" s="1"/>
  <c r="F115" i="114" s="1"/>
  <c r="G116" i="114" s="1"/>
  <c r="G117" i="114" l="1"/>
  <c r="G118" i="114" s="1"/>
  <c r="G115" i="114" s="1"/>
  <c r="H116" i="114" s="1"/>
  <c r="H117" i="114" l="1"/>
  <c r="H118" i="114" s="1"/>
  <c r="H115" i="114" s="1"/>
  <c r="I116" i="114" s="1"/>
  <c r="I117" i="114" l="1"/>
  <c r="I118" i="114" s="1"/>
  <c r="I115" i="114" s="1"/>
  <c r="J116" i="114" s="1"/>
  <c r="J117" i="114" l="1"/>
  <c r="J118" i="114" s="1"/>
  <c r="J115" i="114" s="1"/>
  <c r="K116" i="114" s="1"/>
  <c r="K117" i="114" l="1"/>
  <c r="K118" i="114" s="1"/>
  <c r="K115" i="114" l="1"/>
  <c r="L116" i="114" s="1"/>
  <c r="K119" i="114"/>
  <c r="L117" i="114" l="1"/>
  <c r="L118" i="114" s="1"/>
  <c r="L115" i="114" s="1"/>
  <c r="M116" i="114" s="1"/>
  <c r="M117" i="114" l="1"/>
  <c r="M118" i="114" s="1"/>
  <c r="M115" i="114" l="1"/>
  <c r="N116" i="114" s="1"/>
  <c r="M119" i="114"/>
  <c r="N117" i="114" l="1"/>
  <c r="N118" i="114" s="1"/>
  <c r="N119" i="114" l="1"/>
  <c r="N115" i="114"/>
  <c r="O116" i="114" s="1"/>
  <c r="O117" i="114" l="1"/>
  <c r="O118" i="114" s="1"/>
  <c r="O115" i="114" s="1"/>
  <c r="P116" i="114" s="1"/>
  <c r="P117" i="114" l="1"/>
  <c r="P118" i="114" s="1"/>
  <c r="P115" i="114" s="1"/>
  <c r="Q116" i="114" s="1"/>
  <c r="Q117" i="114" l="1"/>
  <c r="Q118" i="114" s="1"/>
  <c r="Q115" i="114" s="1"/>
  <c r="R116" i="114" s="1"/>
  <c r="R117" i="114" l="1"/>
  <c r="R118" i="114" s="1"/>
  <c r="R119" i="114" l="1"/>
  <c r="R115" i="114"/>
  <c r="S116" i="114" s="1"/>
  <c r="S117" i="114" l="1"/>
  <c r="S118" i="114" s="1"/>
  <c r="S115" i="114" l="1"/>
  <c r="T116" i="114" s="1"/>
  <c r="S119" i="114"/>
  <c r="T117" i="114" l="1"/>
  <c r="T118" i="114" s="1"/>
  <c r="T115" i="114" s="1"/>
  <c r="U116" i="114" s="1"/>
  <c r="U117" i="114" l="1"/>
  <c r="U118" i="114" s="1"/>
  <c r="U115" i="114" l="1"/>
  <c r="V116" i="114" s="1"/>
  <c r="U119" i="114"/>
  <c r="V117" i="114" l="1"/>
  <c r="V118" i="114" s="1"/>
  <c r="V115" i="114" s="1"/>
  <c r="W116" i="114" s="1"/>
  <c r="W117" i="114" l="1"/>
  <c r="W118" i="114" s="1"/>
  <c r="W115" i="114" s="1"/>
  <c r="X116" i="114" s="1"/>
  <c r="X117" i="114" l="1"/>
  <c r="X118" i="114" s="1"/>
  <c r="X119" i="114" l="1"/>
  <c r="X115" i="114"/>
  <c r="Y116" i="114" s="1"/>
  <c r="Y117" i="114" l="1"/>
  <c r="Y118" i="114" s="1"/>
  <c r="Y119" i="114" l="1"/>
  <c r="Y115" i="114"/>
  <c r="Z116" i="114" s="1"/>
  <c r="Z117" i="114" l="1"/>
  <c r="Z118" i="114" s="1"/>
  <c r="Z115" i="114" s="1"/>
  <c r="AA116" i="114" s="1"/>
  <c r="AA117" i="114" l="1"/>
  <c r="AA118" i="114" s="1"/>
  <c r="AA115" i="114" l="1"/>
  <c r="AB116" i="114" s="1"/>
  <c r="AA119" i="114"/>
  <c r="AB117" i="114" l="1"/>
  <c r="AB118" i="114" s="1"/>
  <c r="AB115" i="114" s="1"/>
  <c r="AC116" i="114" s="1"/>
  <c r="AC117" i="114" l="1"/>
  <c r="AC118" i="114" s="1"/>
  <c r="AC115" i="114" s="1"/>
  <c r="AD116" i="114" s="1"/>
  <c r="AD117" i="114" l="1"/>
  <c r="AD118" i="114" s="1"/>
  <c r="AD115" i="114" s="1"/>
  <c r="AE116" i="114" s="1"/>
  <c r="AE117" i="114" l="1"/>
  <c r="AE118" i="114" s="1"/>
  <c r="AE119" i="114" l="1"/>
  <c r="AE115" i="114"/>
  <c r="AF116" i="114" s="1"/>
  <c r="AF117" i="114" l="1"/>
  <c r="AF118" i="114" s="1"/>
  <c r="AC174" i="114"/>
  <c r="U174" i="114"/>
  <c r="AF119" i="114" l="1"/>
  <c r="AF115" i="114"/>
  <c r="AG116" i="114" s="1"/>
  <c r="AG117" i="114" s="1"/>
  <c r="AG118" i="114" s="1"/>
  <c r="AG115" i="114" s="1"/>
  <c r="AH174" i="114"/>
  <c r="U175" i="114" l="1"/>
  <c r="AC175" i="114" l="1"/>
  <c r="AH175" i="114"/>
  <c r="AC184" i="114" l="1"/>
  <c r="U176" i="114" l="1"/>
  <c r="AC176" i="114" l="1"/>
  <c r="U177" i="114" l="1"/>
  <c r="T178" i="114" s="1"/>
  <c r="AK93" i="114"/>
  <c r="AK71" i="114"/>
  <c r="AK27" i="114"/>
  <c r="AK114" i="114"/>
  <c r="AK49" i="114"/>
  <c r="AC177" i="114" l="1"/>
  <c r="AC178" i="114" s="1"/>
  <c r="AC186" i="114" s="1"/>
  <c r="AK135" i="114" l="1"/>
  <c r="AC185" i="114" l="1"/>
  <c r="AK189" i="114"/>
  <c r="AI178" i="114"/>
  <c r="AH178" i="114" s="1"/>
  <c r="AJ189" i="114"/>
  <c r="AH189" i="114"/>
  <c r="AH188" i="114"/>
  <c r="X188" i="114"/>
  <c r="E173" i="113" l="1"/>
  <c r="B173" i="113" s="1"/>
  <c r="E172" i="113"/>
  <c r="B172" i="113" s="1"/>
  <c r="X171" i="113"/>
  <c r="C148" i="113"/>
  <c r="AI139" i="113"/>
  <c r="AJ139" i="113" s="1"/>
  <c r="AI88" i="113"/>
  <c r="AI66" i="113"/>
  <c r="AI44" i="113"/>
  <c r="AI21" i="113"/>
  <c r="P170" i="113" s="1"/>
  <c r="C6" i="113"/>
  <c r="AI27" i="113" s="1"/>
  <c r="S4" i="113"/>
  <c r="E4" i="113"/>
  <c r="K1" i="113"/>
  <c r="D6" i="113" l="1"/>
  <c r="E6" i="113" s="1"/>
  <c r="E7" i="113" s="1"/>
  <c r="E8" i="113" s="1"/>
  <c r="AL27" i="113"/>
  <c r="C29" i="113"/>
  <c r="C30" i="113" s="1"/>
  <c r="C31" i="113" s="1"/>
  <c r="AI45" i="113" s="1"/>
  <c r="AH45" i="113" s="1"/>
  <c r="K172" i="113"/>
  <c r="Q172" i="113" s="1"/>
  <c r="K173" i="113"/>
  <c r="Q173" i="113" s="1"/>
  <c r="C7" i="113"/>
  <c r="C8" i="113" s="1"/>
  <c r="E174" i="113"/>
  <c r="F6" i="113" l="1"/>
  <c r="F7" i="113" s="1"/>
  <c r="F8" i="113" s="1"/>
  <c r="D7" i="113"/>
  <c r="D8" i="113" s="1"/>
  <c r="AL49" i="113"/>
  <c r="C28" i="113"/>
  <c r="D29" i="113" s="1"/>
  <c r="D30" i="113" s="1"/>
  <c r="D31" i="113" s="1"/>
  <c r="AI49" i="113"/>
  <c r="K174" i="113"/>
  <c r="Q174" i="113" s="1"/>
  <c r="E175" i="113"/>
  <c r="B174" i="113"/>
  <c r="AI22" i="113"/>
  <c r="AH22" i="113" s="1"/>
  <c r="C5" i="113"/>
  <c r="G6" i="113" l="1"/>
  <c r="H6" i="113" s="1"/>
  <c r="K175" i="113"/>
  <c r="Q175" i="113" s="1"/>
  <c r="B175" i="113"/>
  <c r="E176" i="113"/>
  <c r="D28" i="113"/>
  <c r="G7" i="113" l="1"/>
  <c r="G8" i="113" s="1"/>
  <c r="K176" i="113"/>
  <c r="Q176" i="113" s="1"/>
  <c r="E177" i="113"/>
  <c r="B176" i="113"/>
  <c r="E29" i="113"/>
  <c r="I6" i="113"/>
  <c r="H7" i="113"/>
  <c r="H8" i="113" s="1"/>
  <c r="K177" i="113" l="1"/>
  <c r="Q177" i="113" s="1"/>
  <c r="P178" i="113" s="1"/>
  <c r="B177" i="113"/>
  <c r="I7" i="113"/>
  <c r="I8" i="113" s="1"/>
  <c r="J6" i="113"/>
  <c r="E30" i="113"/>
  <c r="E31" i="113" s="1"/>
  <c r="E28" i="113" l="1"/>
  <c r="J7" i="113"/>
  <c r="J8" i="113" s="1"/>
  <c r="K6" i="113"/>
  <c r="L6" i="113" l="1"/>
  <c r="K7" i="113"/>
  <c r="K8" i="113" s="1"/>
  <c r="F29" i="113"/>
  <c r="M6" i="113" l="1"/>
  <c r="L7" i="113"/>
  <c r="L8" i="113" s="1"/>
  <c r="F30" i="113"/>
  <c r="F31" i="113" s="1"/>
  <c r="F28" i="113" s="1"/>
  <c r="M7" i="113" l="1"/>
  <c r="M8" i="113" s="1"/>
  <c r="N6" i="113"/>
  <c r="G29" i="113"/>
  <c r="G30" i="113" l="1"/>
  <c r="G31" i="113" s="1"/>
  <c r="G28" i="113" s="1"/>
  <c r="H29" i="113" s="1"/>
  <c r="N7" i="113"/>
  <c r="N8" i="113" s="1"/>
  <c r="O6" i="113"/>
  <c r="H30" i="113" l="1"/>
  <c r="H31" i="113" s="1"/>
  <c r="H28" i="113" s="1"/>
  <c r="I29" i="113" s="1"/>
  <c r="P6" i="113"/>
  <c r="O7" i="113"/>
  <c r="O8" i="113" s="1"/>
  <c r="I30" i="113" l="1"/>
  <c r="I31" i="113" s="1"/>
  <c r="I28" i="113" s="1"/>
  <c r="J29" i="113" s="1"/>
  <c r="Q6" i="113"/>
  <c r="P7" i="113"/>
  <c r="P8" i="113" s="1"/>
  <c r="J30" i="113" l="1"/>
  <c r="J31" i="113" s="1"/>
  <c r="J28" i="113" s="1"/>
  <c r="K29" i="113" s="1"/>
  <c r="R6" i="113"/>
  <c r="Q7" i="113"/>
  <c r="Q8" i="113" s="1"/>
  <c r="K30" i="113" l="1"/>
  <c r="K31" i="113" s="1"/>
  <c r="R7" i="113"/>
  <c r="R8" i="113" s="1"/>
  <c r="S6" i="113"/>
  <c r="K28" i="113" l="1"/>
  <c r="L29" i="113" s="1"/>
  <c r="T6" i="113"/>
  <c r="S7" i="113"/>
  <c r="S8" i="113" s="1"/>
  <c r="L30" i="113" l="1"/>
  <c r="L31" i="113" s="1"/>
  <c r="U6" i="113"/>
  <c r="T7" i="113"/>
  <c r="T8" i="113" s="1"/>
  <c r="L28" i="113" l="1"/>
  <c r="M29" i="113" s="1"/>
  <c r="U7" i="113"/>
  <c r="U8" i="113" s="1"/>
  <c r="V6" i="113"/>
  <c r="V7" i="113" l="1"/>
  <c r="V8" i="113" s="1"/>
  <c r="V5" i="113" s="1"/>
  <c r="W6" i="113"/>
  <c r="M30" i="113"/>
  <c r="M31" i="113" s="1"/>
  <c r="M28" i="113" s="1"/>
  <c r="N29" i="113" s="1"/>
  <c r="N30" i="113" l="1"/>
  <c r="N31" i="113" s="1"/>
  <c r="N28" i="113" s="1"/>
  <c r="O29" i="113" s="1"/>
  <c r="X6" i="113"/>
  <c r="W7" i="113"/>
  <c r="W8" i="113" s="1"/>
  <c r="W5" i="113" s="1"/>
  <c r="O30" i="113" l="1"/>
  <c r="O31" i="113" s="1"/>
  <c r="Y6" i="113"/>
  <c r="X7" i="113"/>
  <c r="X8" i="113" s="1"/>
  <c r="X5" i="113" s="1"/>
  <c r="Y7" i="113" l="1"/>
  <c r="Y8" i="113" s="1"/>
  <c r="Y5" i="113" s="1"/>
  <c r="Z6" i="113"/>
  <c r="O28" i="113"/>
  <c r="P29" i="113" s="1"/>
  <c r="AA6" i="113" l="1"/>
  <c r="Z7" i="113"/>
  <c r="Z8" i="113" s="1"/>
  <c r="Z5" i="113" s="1"/>
  <c r="P30" i="113"/>
  <c r="P31" i="113" s="1"/>
  <c r="P28" i="113" l="1"/>
  <c r="Q29" i="113" s="1"/>
  <c r="AB6" i="113"/>
  <c r="AA7" i="113"/>
  <c r="AA8" i="113" s="1"/>
  <c r="AA5" i="113" s="1"/>
  <c r="AC6" i="113" l="1"/>
  <c r="AB7" i="113"/>
  <c r="AB8" i="113" s="1"/>
  <c r="AB5" i="113" s="1"/>
  <c r="Q30" i="113"/>
  <c r="Q31" i="113" s="1"/>
  <c r="Q28" i="113" s="1"/>
  <c r="R29" i="113" s="1"/>
  <c r="R30" i="113" l="1"/>
  <c r="R31" i="113" s="1"/>
  <c r="AC7" i="113"/>
  <c r="AC8" i="113" s="1"/>
  <c r="AC5" i="113" s="1"/>
  <c r="AD6" i="113"/>
  <c r="AD7" i="113" l="1"/>
  <c r="AD8" i="113" s="1"/>
  <c r="AD5" i="113" s="1"/>
  <c r="AE6" i="113"/>
  <c r="R28" i="113"/>
  <c r="S29" i="113" s="1"/>
  <c r="S30" i="113" l="1"/>
  <c r="S31" i="113" s="1"/>
  <c r="AF6" i="113"/>
  <c r="AE7" i="113"/>
  <c r="AE8" i="113" s="1"/>
  <c r="AE5" i="113" s="1"/>
  <c r="S28" i="113" l="1"/>
  <c r="T29" i="113" s="1"/>
  <c r="AF7" i="113"/>
  <c r="AF8" i="113" s="1"/>
  <c r="AF5" i="113" s="1"/>
  <c r="AG6" i="113"/>
  <c r="AG7" i="113" s="1"/>
  <c r="AG8" i="113" s="1"/>
  <c r="AG5" i="113" s="1"/>
  <c r="T30" i="113" l="1"/>
  <c r="T31" i="113" s="1"/>
  <c r="T28" i="113" s="1"/>
  <c r="U29" i="113" s="1"/>
  <c r="U30" i="113" l="1"/>
  <c r="U31" i="113" s="1"/>
  <c r="U28" i="113" s="1"/>
  <c r="V29" i="113" s="1"/>
  <c r="V30" i="113" l="1"/>
  <c r="V31" i="113" s="1"/>
  <c r="V28" i="113" l="1"/>
  <c r="W29" i="113" s="1"/>
  <c r="W30" i="113" l="1"/>
  <c r="W31" i="113" s="1"/>
  <c r="W28" i="113" s="1"/>
  <c r="X29" i="113" s="1"/>
  <c r="X30" i="113" l="1"/>
  <c r="X31" i="113" s="1"/>
  <c r="X28" i="113" s="1"/>
  <c r="Y29" i="113" s="1"/>
  <c r="Y30" i="113" l="1"/>
  <c r="Y31" i="113" s="1"/>
  <c r="Y28" i="113" l="1"/>
  <c r="Z29" i="113" s="1"/>
  <c r="Z30" i="113" l="1"/>
  <c r="Z31" i="113" s="1"/>
  <c r="Z28" i="113" l="1"/>
  <c r="AA29" i="113" s="1"/>
  <c r="AA30" i="113" l="1"/>
  <c r="AA31" i="113" s="1"/>
  <c r="AA28" i="113" s="1"/>
  <c r="AB29" i="113" s="1"/>
  <c r="AB30" i="113" l="1"/>
  <c r="AB31" i="113" s="1"/>
  <c r="AB28" i="113" l="1"/>
  <c r="AC29" i="113" s="1"/>
  <c r="AC30" i="113" l="1"/>
  <c r="AC31" i="113" s="1"/>
  <c r="AC28" i="113" s="1"/>
  <c r="AD29" i="113" s="1"/>
  <c r="AD30" i="113" l="1"/>
  <c r="AD31" i="113" s="1"/>
  <c r="AD28" i="113" s="1"/>
  <c r="AE29" i="113" s="1"/>
  <c r="AE30" i="113" l="1"/>
  <c r="AE31" i="113" s="1"/>
  <c r="AE28" i="113" s="1"/>
  <c r="AF29" i="113" s="1"/>
  <c r="AF30" i="113" l="1"/>
  <c r="AF31" i="113" s="1"/>
  <c r="AF28" i="113" l="1"/>
  <c r="AG29" i="113" s="1"/>
  <c r="AG30" i="113" s="1"/>
  <c r="AG31" i="113" s="1"/>
  <c r="AG28" i="113" l="1"/>
  <c r="C51" i="113" s="1"/>
  <c r="AL71" i="113" l="1"/>
  <c r="C52" i="113"/>
  <c r="C53" i="113" s="1"/>
  <c r="AI71" i="113"/>
  <c r="A54" i="113"/>
  <c r="C50" i="113" l="1"/>
  <c r="AI67" i="113"/>
  <c r="AH67" i="113" s="1"/>
  <c r="D51" i="113" l="1"/>
  <c r="D52" i="113" l="1"/>
  <c r="D53" i="113" s="1"/>
  <c r="D50" i="113" s="1"/>
  <c r="E51" i="113" s="1"/>
  <c r="AI111" i="113"/>
  <c r="AH111" i="113" s="1"/>
  <c r="AI68" i="113"/>
  <c r="AH68" i="113" s="1"/>
  <c r="AI132" i="113"/>
  <c r="AH132" i="113" s="1"/>
  <c r="AI90" i="113"/>
  <c r="AH90" i="113" s="1"/>
  <c r="E52" i="113" l="1"/>
  <c r="E53" i="113" s="1"/>
  <c r="E50" i="113" s="1"/>
  <c r="F51" i="113" s="1"/>
  <c r="AI46" i="113"/>
  <c r="AH46" i="113" s="1"/>
  <c r="AI23" i="113"/>
  <c r="AH23" i="113" s="1"/>
  <c r="AC172" i="113"/>
  <c r="F52" i="113" l="1"/>
  <c r="F53" i="113" s="1"/>
  <c r="F50" i="113" s="1"/>
  <c r="X175" i="113"/>
  <c r="X177" i="113"/>
  <c r="X173" i="113"/>
  <c r="X172" i="113"/>
  <c r="X176" i="113"/>
  <c r="X174" i="113"/>
  <c r="X178" i="113" l="1"/>
  <c r="G51" i="113"/>
  <c r="G52" i="113" l="1"/>
  <c r="G53" i="113" s="1"/>
  <c r="G50" i="113" s="1"/>
  <c r="H51" i="113" s="1"/>
  <c r="H52" i="113" l="1"/>
  <c r="H53" i="113" s="1"/>
  <c r="H50" i="113" l="1"/>
  <c r="I51" i="113" s="1"/>
  <c r="I52" i="113" l="1"/>
  <c r="I53" i="113" s="1"/>
  <c r="I50" i="113" l="1"/>
  <c r="J51" i="113" s="1"/>
  <c r="J52" i="113" l="1"/>
  <c r="J53" i="113" s="1"/>
  <c r="J50" i="113" s="1"/>
  <c r="K51" i="113" s="1"/>
  <c r="K52" i="113" l="1"/>
  <c r="K53" i="113" s="1"/>
  <c r="K50" i="113" s="1"/>
  <c r="L51" i="113" s="1"/>
  <c r="L52" i="113" l="1"/>
  <c r="L53" i="113" s="1"/>
  <c r="L50" i="113" s="1"/>
  <c r="M51" i="113" s="1"/>
  <c r="M52" i="113" l="1"/>
  <c r="M53" i="113" s="1"/>
  <c r="M50" i="113" s="1"/>
  <c r="N51" i="113" s="1"/>
  <c r="N52" i="113" l="1"/>
  <c r="N53" i="113" s="1"/>
  <c r="N50" i="113" s="1"/>
  <c r="O51" i="113" s="1"/>
  <c r="I150" i="113" l="1"/>
  <c r="I151" i="113"/>
  <c r="O52" i="113"/>
  <c r="O53" i="113" s="1"/>
  <c r="O50" i="113" s="1"/>
  <c r="P51" i="113" s="1"/>
  <c r="P52" i="113" l="1"/>
  <c r="P53" i="113" s="1"/>
  <c r="V151" i="113"/>
  <c r="K151" i="113"/>
  <c r="K150" i="113"/>
  <c r="V150" i="113"/>
  <c r="P54" i="113" l="1"/>
  <c r="P50" i="113"/>
  <c r="Q51" i="113" s="1"/>
  <c r="D32" i="113"/>
  <c r="E32" i="113"/>
  <c r="K32" i="113"/>
  <c r="L32" i="113"/>
  <c r="O32" i="113"/>
  <c r="P32" i="113"/>
  <c r="R32" i="113"/>
  <c r="S32" i="113"/>
  <c r="V32" i="113"/>
  <c r="Y32" i="113"/>
  <c r="Z32" i="113"/>
  <c r="AB32" i="113"/>
  <c r="AF32" i="113"/>
  <c r="AG32" i="113"/>
  <c r="C54" i="113"/>
  <c r="H54" i="113"/>
  <c r="I54" i="113"/>
  <c r="AH172" i="113"/>
  <c r="Q52" i="113" l="1"/>
  <c r="Q53" i="113" s="1"/>
  <c r="Q50" i="113" l="1"/>
  <c r="R51" i="113" s="1"/>
  <c r="Q54" i="113"/>
  <c r="R52" i="113" l="1"/>
  <c r="R53" i="113" s="1"/>
  <c r="R50" i="113" s="1"/>
  <c r="S51" i="113" s="1"/>
  <c r="S52" i="113" l="1"/>
  <c r="S53" i="113" s="1"/>
  <c r="S50" i="113" s="1"/>
  <c r="T51" i="113" s="1"/>
  <c r="T52" i="113" l="1"/>
  <c r="T53" i="113" s="1"/>
  <c r="T50" i="113" s="1"/>
  <c r="U51" i="113" s="1"/>
  <c r="U52" i="113" l="1"/>
  <c r="U53" i="113" s="1"/>
  <c r="U50" i="113" s="1"/>
  <c r="V51" i="113" s="1"/>
  <c r="V52" i="113" l="1"/>
  <c r="V53" i="113" s="1"/>
  <c r="V50" i="113" s="1"/>
  <c r="W51" i="113" s="1"/>
  <c r="W52" i="113" l="1"/>
  <c r="W53" i="113" s="1"/>
  <c r="W54" i="113" l="1"/>
  <c r="W50" i="113"/>
  <c r="X51" i="113" s="1"/>
  <c r="X52" i="113" l="1"/>
  <c r="X53" i="113" s="1"/>
  <c r="X50" i="113" s="1"/>
  <c r="Y51" i="113" s="1"/>
  <c r="Y52" i="113" l="1"/>
  <c r="Y53" i="113" s="1"/>
  <c r="Y50" i="113" s="1"/>
  <c r="Z51" i="113" s="1"/>
  <c r="Z52" i="113" l="1"/>
  <c r="Z53" i="113" s="1"/>
  <c r="Z50" i="113" s="1"/>
  <c r="AA51" i="113" s="1"/>
  <c r="AA52" i="113" l="1"/>
  <c r="AA53" i="113" s="1"/>
  <c r="AA50" i="113" s="1"/>
  <c r="AB51" i="113" s="1"/>
  <c r="AB52" i="113" l="1"/>
  <c r="AB53" i="113" s="1"/>
  <c r="AB54" i="113" l="1"/>
  <c r="AB50" i="113"/>
  <c r="AC51" i="113" s="1"/>
  <c r="AC52" i="113" l="1"/>
  <c r="AC53" i="113" s="1"/>
  <c r="AC50" i="113" l="1"/>
  <c r="AD51" i="113" s="1"/>
  <c r="AC54" i="113"/>
  <c r="AD52" i="113" l="1"/>
  <c r="AD53" i="113" s="1"/>
  <c r="AD50" i="113" l="1"/>
  <c r="AE51" i="113" s="1"/>
  <c r="AD54" i="113"/>
  <c r="AE52" i="113" l="1"/>
  <c r="AE53" i="113" s="1"/>
  <c r="AE54" i="113" l="1"/>
  <c r="AE50" i="113"/>
  <c r="AF51" i="113" s="1"/>
  <c r="AF52" i="113" l="1"/>
  <c r="AF53" i="113" s="1"/>
  <c r="AF54" i="113" l="1"/>
  <c r="AF50" i="113"/>
  <c r="AG51" i="113" s="1"/>
  <c r="AG52" i="113" s="1"/>
  <c r="AG53" i="113" s="1"/>
  <c r="U172" i="113" l="1"/>
  <c r="AG54" i="113"/>
  <c r="AG50" i="113"/>
  <c r="C73" i="113" s="1"/>
  <c r="I152" i="113" l="1"/>
  <c r="AI93" i="113"/>
  <c r="C74" i="113"/>
  <c r="C75" i="113" s="1"/>
  <c r="AL93" i="113"/>
  <c r="A76" i="113"/>
  <c r="C72" i="113" l="1"/>
  <c r="AI89" i="113"/>
  <c r="AH89" i="113" s="1"/>
  <c r="V152" i="113"/>
  <c r="K152" i="113"/>
  <c r="D73" i="113" l="1"/>
  <c r="D74" i="113" l="1"/>
  <c r="D75" i="113" s="1"/>
  <c r="D72" i="113" s="1"/>
  <c r="E73" i="113" l="1"/>
  <c r="E74" i="113" l="1"/>
  <c r="E75" i="113" s="1"/>
  <c r="E72" i="113" l="1"/>
  <c r="E76" i="113"/>
  <c r="F73" i="113" l="1"/>
  <c r="F74" i="113" l="1"/>
  <c r="F75" i="113" s="1"/>
  <c r="F72" i="113" s="1"/>
  <c r="G73" i="113" s="1"/>
  <c r="G74" i="113" l="1"/>
  <c r="G75" i="113" s="1"/>
  <c r="G72" i="113" s="1"/>
  <c r="H73" i="113" s="1"/>
  <c r="H74" i="113" l="1"/>
  <c r="H75" i="113" s="1"/>
  <c r="H76" i="113" l="1"/>
  <c r="H72" i="113"/>
  <c r="I73" i="113" s="1"/>
  <c r="I74" i="113" l="1"/>
  <c r="I75" i="113" s="1"/>
  <c r="I76" i="113" l="1"/>
  <c r="I72" i="113"/>
  <c r="J73" i="113" s="1"/>
  <c r="J74" i="113" l="1"/>
  <c r="J75" i="113" s="1"/>
  <c r="J76" i="113" l="1"/>
  <c r="J72" i="113"/>
  <c r="K73" i="113" s="1"/>
  <c r="K74" i="113" l="1"/>
  <c r="K75" i="113" s="1"/>
  <c r="K72" i="113" s="1"/>
  <c r="L73" i="113" s="1"/>
  <c r="L74" i="113" l="1"/>
  <c r="L75" i="113" s="1"/>
  <c r="L72" i="113" s="1"/>
  <c r="M73" i="113" s="1"/>
  <c r="M74" i="113" l="1"/>
  <c r="M75" i="113" s="1"/>
  <c r="M76" i="113" l="1"/>
  <c r="M72" i="113"/>
  <c r="N73" i="113" s="1"/>
  <c r="N74" i="113" l="1"/>
  <c r="N75" i="113" s="1"/>
  <c r="N72" i="113" s="1"/>
  <c r="O73" i="113" s="1"/>
  <c r="O74" i="113" l="1"/>
  <c r="O75" i="113" s="1"/>
  <c r="O76" i="113" l="1"/>
  <c r="O72" i="113"/>
  <c r="P73" i="113" s="1"/>
  <c r="P74" i="113" l="1"/>
  <c r="P75" i="113" s="1"/>
  <c r="P72" i="113" l="1"/>
  <c r="Q73" i="113" s="1"/>
  <c r="P76" i="113"/>
  <c r="Q74" i="113" l="1"/>
  <c r="Q75" i="113" s="1"/>
  <c r="Q72" i="113" s="1"/>
  <c r="R73" i="113" s="1"/>
  <c r="R74" i="113" l="1"/>
  <c r="R75" i="113" s="1"/>
  <c r="R72" i="113" s="1"/>
  <c r="S73" i="113" s="1"/>
  <c r="S74" i="113" l="1"/>
  <c r="S75" i="113" s="1"/>
  <c r="S72" i="113" l="1"/>
  <c r="T73" i="113" s="1"/>
  <c r="S76" i="113"/>
  <c r="T74" i="113" l="1"/>
  <c r="T75" i="113" s="1"/>
  <c r="T72" i="113" s="1"/>
  <c r="U73" i="113" s="1"/>
  <c r="U74" i="113" l="1"/>
  <c r="U75" i="113" s="1"/>
  <c r="U72" i="113" s="1"/>
  <c r="V73" i="113" s="1"/>
  <c r="V74" i="113" l="1"/>
  <c r="V75" i="113" s="1"/>
  <c r="V72" i="113" l="1"/>
  <c r="W73" i="113" s="1"/>
  <c r="V76" i="113"/>
  <c r="W74" i="113" l="1"/>
  <c r="W75" i="113" s="1"/>
  <c r="W76" i="113" l="1"/>
  <c r="W72" i="113"/>
  <c r="X73" i="113" s="1"/>
  <c r="X74" i="113" l="1"/>
  <c r="X75" i="113" s="1"/>
  <c r="X72" i="113" s="1"/>
  <c r="Y73" i="113" s="1"/>
  <c r="Y74" i="113" l="1"/>
  <c r="Y75" i="113" s="1"/>
  <c r="Y72" i="113" s="1"/>
  <c r="Z73" i="113" s="1"/>
  <c r="Z74" i="113" l="1"/>
  <c r="Z75" i="113" s="1"/>
  <c r="Z76" i="113" l="1"/>
  <c r="Z72" i="113"/>
  <c r="AA73" i="113" s="1"/>
  <c r="AA74" i="113" l="1"/>
  <c r="AA75" i="113" s="1"/>
  <c r="AA72" i="113" s="1"/>
  <c r="AB73" i="113" s="1"/>
  <c r="AB74" i="113" l="1"/>
  <c r="AB75" i="113" s="1"/>
  <c r="AB72" i="113" s="1"/>
  <c r="AC73" i="113" s="1"/>
  <c r="AC74" i="113" l="1"/>
  <c r="AC75" i="113" s="1"/>
  <c r="AC76" i="113" l="1"/>
  <c r="AC72" i="113"/>
  <c r="AD73" i="113" s="1"/>
  <c r="AD74" i="113" l="1"/>
  <c r="AD75" i="113" s="1"/>
  <c r="AD76" i="113" l="1"/>
  <c r="AD72" i="113"/>
  <c r="AE73" i="113" s="1"/>
  <c r="AE74" i="113" l="1"/>
  <c r="AE75" i="113" s="1"/>
  <c r="AE76" i="113" l="1"/>
  <c r="AE72" i="113"/>
  <c r="AF73" i="113" s="1"/>
  <c r="AF74" i="113" l="1"/>
  <c r="AF75" i="113" s="1"/>
  <c r="AF72" i="113" s="1"/>
  <c r="AG73" i="113" s="1"/>
  <c r="AG74" i="113" s="1"/>
  <c r="AG75" i="113" s="1"/>
  <c r="AG72" i="113" s="1"/>
  <c r="C95" i="113" s="1"/>
  <c r="C96" i="113" l="1"/>
  <c r="C97" i="113" s="1"/>
  <c r="A98" i="113"/>
  <c r="AI114" i="113"/>
  <c r="I153" i="113"/>
  <c r="AL114" i="113"/>
  <c r="V153" i="113" l="1"/>
  <c r="K153" i="113"/>
  <c r="AI110" i="113"/>
  <c r="AH110" i="113" s="1"/>
  <c r="C94" i="113"/>
  <c r="D95" i="113" l="1"/>
  <c r="D96" i="113" l="1"/>
  <c r="D97" i="113" s="1"/>
  <c r="D94" i="113" s="1"/>
  <c r="E95" i="113" s="1"/>
  <c r="E96" i="113" l="1"/>
  <c r="E97" i="113" s="1"/>
  <c r="E98" i="113" l="1"/>
  <c r="E94" i="113"/>
  <c r="F95" i="113" l="1"/>
  <c r="F96" i="113" l="1"/>
  <c r="F97" i="113" s="1"/>
  <c r="F98" i="113" l="1"/>
  <c r="F94" i="113"/>
  <c r="G95" i="113" s="1"/>
  <c r="G96" i="113" l="1"/>
  <c r="G97" i="113" s="1"/>
  <c r="G94" i="113" s="1"/>
  <c r="H95" i="113" s="1"/>
  <c r="H96" i="113" l="1"/>
  <c r="H97" i="113" s="1"/>
  <c r="H94" i="113" l="1"/>
  <c r="I95" i="113" s="1"/>
  <c r="H98" i="113"/>
  <c r="I96" i="113" l="1"/>
  <c r="I97" i="113" s="1"/>
  <c r="I94" i="113" l="1"/>
  <c r="J95" i="113" s="1"/>
  <c r="I98" i="113"/>
  <c r="J96" i="113" l="1"/>
  <c r="J97" i="113" s="1"/>
  <c r="J94" i="113" s="1"/>
  <c r="K95" i="113" s="1"/>
  <c r="K96" i="113" l="1"/>
  <c r="K97" i="113" s="1"/>
  <c r="K94" i="113" s="1"/>
  <c r="L95" i="113" s="1"/>
  <c r="L96" i="113" l="1"/>
  <c r="L97" i="113" s="1"/>
  <c r="L98" i="113" l="1"/>
  <c r="L94" i="113"/>
  <c r="M95" i="113" s="1"/>
  <c r="M96" i="113" l="1"/>
  <c r="M97" i="113" s="1"/>
  <c r="U173" i="113"/>
  <c r="M94" i="113" l="1"/>
  <c r="N95" i="113" s="1"/>
  <c r="M98" i="113"/>
  <c r="AC173" i="113"/>
  <c r="N96" i="113" l="1"/>
  <c r="N97" i="113" s="1"/>
  <c r="AH173" i="113"/>
  <c r="N98" i="113" l="1"/>
  <c r="N94" i="113"/>
  <c r="O95" i="113" s="1"/>
  <c r="O96" i="113" l="1"/>
  <c r="O97" i="113" s="1"/>
  <c r="O98" i="113" l="1"/>
  <c r="O94" i="113"/>
  <c r="P95" i="113" s="1"/>
  <c r="P96" i="113" l="1"/>
  <c r="P97" i="113" s="1"/>
  <c r="P98" i="113" l="1"/>
  <c r="P94" i="113"/>
  <c r="Q95" i="113" s="1"/>
  <c r="Q96" i="113" l="1"/>
  <c r="Q97" i="113" s="1"/>
  <c r="Q98" i="113" l="1"/>
  <c r="Q94" i="113"/>
  <c r="R95" i="113" s="1"/>
  <c r="R96" i="113" l="1"/>
  <c r="R97" i="113" s="1"/>
  <c r="R94" i="113" s="1"/>
  <c r="S95" i="113" s="1"/>
  <c r="S96" i="113" l="1"/>
  <c r="S97" i="113" s="1"/>
  <c r="S94" i="113" l="1"/>
  <c r="T95" i="113" s="1"/>
  <c r="S98" i="113"/>
  <c r="T96" i="113" l="1"/>
  <c r="T97" i="113" s="1"/>
  <c r="T98" i="113" l="1"/>
  <c r="T94" i="113"/>
  <c r="U95" i="113" s="1"/>
  <c r="U96" i="113" l="1"/>
  <c r="U97" i="113" s="1"/>
  <c r="U94" i="113" s="1"/>
  <c r="V95" i="113" s="1"/>
  <c r="V96" i="113" l="1"/>
  <c r="V97" i="113" s="1"/>
  <c r="V94" i="113" s="1"/>
  <c r="W95" i="113" s="1"/>
  <c r="W96" i="113" l="1"/>
  <c r="W97" i="113" s="1"/>
  <c r="W94" i="113" s="1"/>
  <c r="X95" i="113" s="1"/>
  <c r="X96" i="113" l="1"/>
  <c r="X97" i="113" s="1"/>
  <c r="X94" i="113" s="1"/>
  <c r="Y95" i="113" s="1"/>
  <c r="Y96" i="113" l="1"/>
  <c r="Y97" i="113" s="1"/>
  <c r="Y94" i="113" s="1"/>
  <c r="Z95" i="113" s="1"/>
  <c r="Z96" i="113" l="1"/>
  <c r="Z97" i="113" s="1"/>
  <c r="Z94" i="113" l="1"/>
  <c r="AA95" i="113" s="1"/>
  <c r="Z98" i="113"/>
  <c r="AA96" i="113" l="1"/>
  <c r="AA97" i="113" s="1"/>
  <c r="AA94" i="113" l="1"/>
  <c r="AB95" i="113" s="1"/>
  <c r="AA98" i="113"/>
  <c r="AB96" i="113" l="1"/>
  <c r="AB97" i="113" s="1"/>
  <c r="AB94" i="113" s="1"/>
  <c r="AC95" i="113" s="1"/>
  <c r="AC96" i="113" l="1"/>
  <c r="AC97" i="113" s="1"/>
  <c r="AC94" i="113" s="1"/>
  <c r="AD95" i="113" s="1"/>
  <c r="AD96" i="113" l="1"/>
  <c r="AD97" i="113" s="1"/>
  <c r="AD94" i="113" s="1"/>
  <c r="AE95" i="113" s="1"/>
  <c r="AE96" i="113" l="1"/>
  <c r="AE97" i="113" s="1"/>
  <c r="AE94" i="113" s="1"/>
  <c r="AF95" i="113" s="1"/>
  <c r="AF96" i="113" l="1"/>
  <c r="AF97" i="113" s="1"/>
  <c r="AF94" i="113" s="1"/>
  <c r="AG95" i="113" s="1"/>
  <c r="AG96" i="113" s="1"/>
  <c r="AG97" i="113" s="1"/>
  <c r="AG94" i="113" l="1"/>
  <c r="C116" i="113" s="1"/>
  <c r="AG98" i="113"/>
  <c r="I154" i="113" l="1"/>
  <c r="AL135" i="113"/>
  <c r="A119" i="113"/>
  <c r="C117" i="113"/>
  <c r="C118" i="113" s="1"/>
  <c r="AI135" i="113"/>
  <c r="C115" i="113" l="1"/>
  <c r="D116" i="113" s="1"/>
  <c r="AI131" i="113"/>
  <c r="AH131" i="113" s="1"/>
  <c r="V154" i="113"/>
  <c r="K154" i="113"/>
  <c r="C119" i="113" s="1"/>
  <c r="D117" i="113" l="1"/>
  <c r="D118" i="113" s="1"/>
  <c r="D115" i="113" l="1"/>
  <c r="E116" i="113" s="1"/>
  <c r="D119" i="113"/>
  <c r="E117" i="113" l="1"/>
  <c r="E118" i="113" s="1"/>
  <c r="E115" i="113" s="1"/>
  <c r="F116" i="113" s="1"/>
  <c r="F117" i="113" l="1"/>
  <c r="F118" i="113" s="1"/>
  <c r="F115" i="113" l="1"/>
  <c r="G116" i="113" s="1"/>
  <c r="F119" i="113"/>
  <c r="G117" i="113" l="1"/>
  <c r="G118" i="113" s="1"/>
  <c r="G115" i="113" s="1"/>
  <c r="H116" i="113" s="1"/>
  <c r="H117" i="113" l="1"/>
  <c r="H118" i="113" s="1"/>
  <c r="H115" i="113" s="1"/>
  <c r="I116" i="113" s="1"/>
  <c r="I117" i="113" l="1"/>
  <c r="I118" i="113" s="1"/>
  <c r="I115" i="113" s="1"/>
  <c r="J116" i="113" s="1"/>
  <c r="J117" i="113" l="1"/>
  <c r="J118" i="113" s="1"/>
  <c r="J119" i="113" l="1"/>
  <c r="J115" i="113"/>
  <c r="K116" i="113" s="1"/>
  <c r="K117" i="113" l="1"/>
  <c r="K118" i="113" s="1"/>
  <c r="K119" i="113" l="1"/>
  <c r="K115" i="113"/>
  <c r="L116" i="113" s="1"/>
  <c r="L117" i="113" l="1"/>
  <c r="L118" i="113" s="1"/>
  <c r="L115" i="113" s="1"/>
  <c r="M116" i="113" s="1"/>
  <c r="M117" i="113" l="1"/>
  <c r="M118" i="113" s="1"/>
  <c r="M119" i="113" l="1"/>
  <c r="M115" i="113"/>
  <c r="N116" i="113" s="1"/>
  <c r="N117" i="113" l="1"/>
  <c r="N118" i="113" s="1"/>
  <c r="N119" i="113" l="1"/>
  <c r="N115" i="113"/>
  <c r="O116" i="113" s="1"/>
  <c r="O117" i="113" l="1"/>
  <c r="O118" i="113" s="1"/>
  <c r="O115" i="113" s="1"/>
  <c r="P116" i="113" s="1"/>
  <c r="P117" i="113" l="1"/>
  <c r="P118" i="113" s="1"/>
  <c r="P115" i="113" s="1"/>
  <c r="Q116" i="113" s="1"/>
  <c r="Q117" i="113" l="1"/>
  <c r="Q118" i="113" s="1"/>
  <c r="Q115" i="113" s="1"/>
  <c r="R116" i="113" s="1"/>
  <c r="R117" i="113" l="1"/>
  <c r="R118" i="113" s="1"/>
  <c r="R119" i="113" l="1"/>
  <c r="R115" i="113"/>
  <c r="S116" i="113" s="1"/>
  <c r="S117" i="113" l="1"/>
  <c r="S118" i="113" s="1"/>
  <c r="S115" i="113" l="1"/>
  <c r="T116" i="113" s="1"/>
  <c r="S119" i="113"/>
  <c r="T117" i="113" l="1"/>
  <c r="T118" i="113" s="1"/>
  <c r="T115" i="113" s="1"/>
  <c r="U116" i="113" s="1"/>
  <c r="U117" i="113" l="1"/>
  <c r="U118" i="113" s="1"/>
  <c r="U115" i="113" l="1"/>
  <c r="V116" i="113" s="1"/>
  <c r="U119" i="113"/>
  <c r="V117" i="113" l="1"/>
  <c r="V118" i="113" s="1"/>
  <c r="V115" i="113" s="1"/>
  <c r="W116" i="113" s="1"/>
  <c r="W117" i="113" l="1"/>
  <c r="W118" i="113" s="1"/>
  <c r="W115" i="113" s="1"/>
  <c r="X116" i="113" s="1"/>
  <c r="X117" i="113" l="1"/>
  <c r="X118" i="113" s="1"/>
  <c r="X115" i="113" s="1"/>
  <c r="Y116" i="113" s="1"/>
  <c r="Y117" i="113" l="1"/>
  <c r="Y118" i="113" s="1"/>
  <c r="Y119" i="113" l="1"/>
  <c r="Y115" i="113"/>
  <c r="Z116" i="113" s="1"/>
  <c r="Z117" i="113" l="1"/>
  <c r="Z118" i="113" s="1"/>
  <c r="Z115" i="113" s="1"/>
  <c r="AA116" i="113" s="1"/>
  <c r="AA117" i="113" l="1"/>
  <c r="AA118" i="113" s="1"/>
  <c r="AC174" i="113"/>
  <c r="U174" i="113"/>
  <c r="AA119" i="113" l="1"/>
  <c r="AA115" i="113"/>
  <c r="AB116" i="113" s="1"/>
  <c r="AH174" i="113"/>
  <c r="AB117" i="113" l="1"/>
  <c r="AB118" i="113" s="1"/>
  <c r="AB115" i="113" s="1"/>
  <c r="AC116" i="113" s="1"/>
  <c r="AC117" i="113" l="1"/>
  <c r="AC118" i="113" s="1"/>
  <c r="AC115" i="113" s="1"/>
  <c r="AD116" i="113" s="1"/>
  <c r="AD117" i="113" l="1"/>
  <c r="AD118" i="113" s="1"/>
  <c r="AD115" i="113" s="1"/>
  <c r="AE116" i="113" s="1"/>
  <c r="AE117" i="113" l="1"/>
  <c r="AE118" i="113" s="1"/>
  <c r="AE119" i="113" l="1"/>
  <c r="AE115" i="113"/>
  <c r="AF116" i="113" s="1"/>
  <c r="AF117" i="113" l="1"/>
  <c r="AF118" i="113" s="1"/>
  <c r="AF119" i="113" l="1"/>
  <c r="AF115" i="113"/>
  <c r="AG116" i="113" s="1"/>
  <c r="AG117" i="113" s="1"/>
  <c r="AG118" i="113" s="1"/>
  <c r="AG115" i="113" s="1"/>
  <c r="U175" i="113" l="1"/>
  <c r="AC175" i="113" l="1"/>
  <c r="AH175" i="113" l="1"/>
  <c r="AC184" i="113" l="1"/>
  <c r="U176" i="113" l="1"/>
  <c r="AC176" i="113" l="1"/>
  <c r="AH176" i="113" l="1"/>
  <c r="U177" i="113" l="1"/>
  <c r="T178" i="113" s="1"/>
  <c r="AC177" i="113"/>
  <c r="AC178" i="113" s="1"/>
  <c r="AC186" i="113" s="1"/>
  <c r="AC185" i="113" l="1"/>
  <c r="AK189" i="113"/>
  <c r="AI178" i="113"/>
  <c r="AH178" i="113" s="1"/>
  <c r="AJ189" i="113"/>
  <c r="AH189" i="113"/>
  <c r="AH188" i="113"/>
  <c r="X188" i="113"/>
  <c r="AH177" i="113"/>
  <c r="AK93" i="113"/>
  <c r="AK71" i="113"/>
  <c r="AK27" i="113"/>
  <c r="AK135" i="113"/>
  <c r="AK114" i="113"/>
  <c r="AK49" i="113"/>
  <c r="E173" i="112" l="1"/>
  <c r="E172" i="112"/>
  <c r="X171" i="112"/>
  <c r="C148" i="112"/>
  <c r="AI139" i="112"/>
  <c r="AJ139" i="112" s="1"/>
  <c r="AI88" i="112"/>
  <c r="AI66" i="112"/>
  <c r="AI44" i="112"/>
  <c r="AI21" i="112"/>
  <c r="P170" i="112" s="1"/>
  <c r="C6" i="112"/>
  <c r="AL27" i="112" s="1"/>
  <c r="S4" i="112"/>
  <c r="E4" i="112"/>
  <c r="K1" i="112"/>
  <c r="C29" i="112" l="1"/>
  <c r="AI49" i="112" s="1"/>
  <c r="AI27" i="112"/>
  <c r="D6" i="112"/>
  <c r="E6" i="112" s="1"/>
  <c r="F6" i="112" s="1"/>
  <c r="C7" i="112"/>
  <c r="C8" i="112" s="1"/>
  <c r="B172" i="112"/>
  <c r="B173" i="112"/>
  <c r="E174" i="112"/>
  <c r="K172" i="112"/>
  <c r="Q172" i="112" s="1"/>
  <c r="K173" i="112"/>
  <c r="Q173" i="112" s="1"/>
  <c r="D7" i="112" l="1"/>
  <c r="D8" i="112" s="1"/>
  <c r="AL49" i="112"/>
  <c r="C30" i="112"/>
  <c r="C31" i="112" s="1"/>
  <c r="E7" i="112"/>
  <c r="E8" i="112" s="1"/>
  <c r="F7" i="112"/>
  <c r="F8" i="112" s="1"/>
  <c r="G6" i="112"/>
  <c r="AI45" i="112"/>
  <c r="AH45" i="112" s="1"/>
  <c r="C28" i="112"/>
  <c r="K174" i="112"/>
  <c r="Q174" i="112" s="1"/>
  <c r="E175" i="112"/>
  <c r="B174" i="112"/>
  <c r="C5" i="112"/>
  <c r="AI22" i="112"/>
  <c r="AH22" i="112" s="1"/>
  <c r="D29" i="112" l="1"/>
  <c r="K175" i="112"/>
  <c r="Q175" i="112" s="1"/>
  <c r="E176" i="112"/>
  <c r="B175" i="112"/>
  <c r="G7" i="112"/>
  <c r="G8" i="112" s="1"/>
  <c r="H6" i="112"/>
  <c r="K176" i="112" l="1"/>
  <c r="Q176" i="112" s="1"/>
  <c r="E177" i="112"/>
  <c r="B176" i="112"/>
  <c r="I6" i="112"/>
  <c r="H7" i="112"/>
  <c r="H8" i="112" s="1"/>
  <c r="D30" i="112"/>
  <c r="D31" i="112" s="1"/>
  <c r="D28" i="112" s="1"/>
  <c r="K177" i="112" l="1"/>
  <c r="Q177" i="112" s="1"/>
  <c r="P178" i="112" s="1"/>
  <c r="B177" i="112"/>
  <c r="E29" i="112"/>
  <c r="J6" i="112"/>
  <c r="I7" i="112"/>
  <c r="I8" i="112" s="1"/>
  <c r="K6" i="112" l="1"/>
  <c r="J7" i="112"/>
  <c r="J8" i="112" s="1"/>
  <c r="E30" i="112"/>
  <c r="E31" i="112" s="1"/>
  <c r="L6" i="112" l="1"/>
  <c r="K7" i="112"/>
  <c r="K8" i="112" s="1"/>
  <c r="E28" i="112"/>
  <c r="M6" i="112" l="1"/>
  <c r="L7" i="112"/>
  <c r="L8" i="112" s="1"/>
  <c r="F29" i="112"/>
  <c r="F30" i="112" l="1"/>
  <c r="F31" i="112" s="1"/>
  <c r="F28" i="112" s="1"/>
  <c r="G29" i="112" s="1"/>
  <c r="N6" i="112"/>
  <c r="M7" i="112"/>
  <c r="M8" i="112" s="1"/>
  <c r="G30" i="112" l="1"/>
  <c r="G31" i="112" s="1"/>
  <c r="G28" i="112" s="1"/>
  <c r="H29" i="112" s="1"/>
  <c r="N7" i="112"/>
  <c r="N8" i="112" s="1"/>
  <c r="O6" i="112"/>
  <c r="H30" i="112" l="1"/>
  <c r="H31" i="112" s="1"/>
  <c r="H28" i="112" s="1"/>
  <c r="I29" i="112" s="1"/>
  <c r="O7" i="112"/>
  <c r="O8" i="112" s="1"/>
  <c r="P6" i="112"/>
  <c r="I30" i="112" l="1"/>
  <c r="I31" i="112" s="1"/>
  <c r="P7" i="112"/>
  <c r="P8" i="112" s="1"/>
  <c r="Q6" i="112"/>
  <c r="I28" i="112" l="1"/>
  <c r="J29" i="112" s="1"/>
  <c r="R6" i="112"/>
  <c r="Q7" i="112"/>
  <c r="Q8" i="112" s="1"/>
  <c r="S6" i="112" l="1"/>
  <c r="R7" i="112"/>
  <c r="R8" i="112" s="1"/>
  <c r="J30" i="112"/>
  <c r="J31" i="112" s="1"/>
  <c r="T6" i="112" l="1"/>
  <c r="S7" i="112"/>
  <c r="S8" i="112" s="1"/>
  <c r="J28" i="112"/>
  <c r="K29" i="112" s="1"/>
  <c r="U6" i="112" l="1"/>
  <c r="T7" i="112"/>
  <c r="T8" i="112" s="1"/>
  <c r="K30" i="112"/>
  <c r="K31" i="112" s="1"/>
  <c r="V6" i="112" l="1"/>
  <c r="U7" i="112"/>
  <c r="U8" i="112" s="1"/>
  <c r="K28" i="112"/>
  <c r="L29" i="112" s="1"/>
  <c r="V7" i="112" l="1"/>
  <c r="V8" i="112" s="1"/>
  <c r="V5" i="112" s="1"/>
  <c r="W6" i="112"/>
  <c r="L30" i="112"/>
  <c r="L31" i="112" s="1"/>
  <c r="L28" i="112" l="1"/>
  <c r="M29" i="112" s="1"/>
  <c r="W7" i="112"/>
  <c r="W8" i="112" s="1"/>
  <c r="W5" i="112" s="1"/>
  <c r="X6" i="112"/>
  <c r="Y6" i="112" l="1"/>
  <c r="X7" i="112"/>
  <c r="X8" i="112" s="1"/>
  <c r="X5" i="112" s="1"/>
  <c r="M30" i="112"/>
  <c r="M31" i="112" s="1"/>
  <c r="M28" i="112" l="1"/>
  <c r="N29" i="112" s="1"/>
  <c r="Z6" i="112"/>
  <c r="Y7" i="112"/>
  <c r="Y8" i="112" s="1"/>
  <c r="Y5" i="112" s="1"/>
  <c r="N30" i="112" l="1"/>
  <c r="N31" i="112" s="1"/>
  <c r="AA6" i="112"/>
  <c r="Z7" i="112"/>
  <c r="Z8" i="112" s="1"/>
  <c r="Z5" i="112" s="1"/>
  <c r="AB6" i="112" l="1"/>
  <c r="AA7" i="112"/>
  <c r="AA8" i="112" s="1"/>
  <c r="AA5" i="112" s="1"/>
  <c r="N28" i="112"/>
  <c r="O29" i="112" s="1"/>
  <c r="AC6" i="112" l="1"/>
  <c r="AB7" i="112"/>
  <c r="AB8" i="112" s="1"/>
  <c r="AB5" i="112" s="1"/>
  <c r="O30" i="112"/>
  <c r="O31" i="112" s="1"/>
  <c r="O28" i="112" l="1"/>
  <c r="P29" i="112" s="1"/>
  <c r="AD6" i="112"/>
  <c r="AC7" i="112"/>
  <c r="AC8" i="112" s="1"/>
  <c r="AC5" i="112" s="1"/>
  <c r="AD7" i="112" l="1"/>
  <c r="AD8" i="112" s="1"/>
  <c r="AD5" i="112" s="1"/>
  <c r="AE6" i="112"/>
  <c r="P30" i="112"/>
  <c r="P31" i="112" s="1"/>
  <c r="P28" i="112" l="1"/>
  <c r="Q29" i="112" s="1"/>
  <c r="AE7" i="112"/>
  <c r="AE8" i="112" s="1"/>
  <c r="AE5" i="112" s="1"/>
  <c r="AF6" i="112"/>
  <c r="Q30" i="112" l="1"/>
  <c r="Q31" i="112" s="1"/>
  <c r="AF7" i="112"/>
  <c r="AF8" i="112" s="1"/>
  <c r="AF5" i="112" s="1"/>
  <c r="AG6" i="112"/>
  <c r="AG7" i="112" s="1"/>
  <c r="AG8" i="112" s="1"/>
  <c r="AG5" i="112" s="1"/>
  <c r="Q28" i="112" l="1"/>
  <c r="R29" i="112" s="1"/>
  <c r="R30" i="112" l="1"/>
  <c r="R31" i="112" s="1"/>
  <c r="R28" i="112" s="1"/>
  <c r="S29" i="112" s="1"/>
  <c r="S30" i="112" l="1"/>
  <c r="S31" i="112" s="1"/>
  <c r="S28" i="112" s="1"/>
  <c r="T29" i="112" s="1"/>
  <c r="T30" i="112" l="1"/>
  <c r="T31" i="112" s="1"/>
  <c r="T28" i="112" s="1"/>
  <c r="U29" i="112" s="1"/>
  <c r="U30" i="112" l="1"/>
  <c r="U31" i="112" s="1"/>
  <c r="U28" i="112" s="1"/>
  <c r="V29" i="112" s="1"/>
  <c r="V30" i="112" l="1"/>
  <c r="V31" i="112" s="1"/>
  <c r="V28" i="112" s="1"/>
  <c r="W29" i="112" s="1"/>
  <c r="W30" i="112" l="1"/>
  <c r="W31" i="112" s="1"/>
  <c r="W28" i="112" s="1"/>
  <c r="X29" i="112" s="1"/>
  <c r="X30" i="112" l="1"/>
  <c r="X31" i="112" s="1"/>
  <c r="X28" i="112" l="1"/>
  <c r="Y29" i="112" s="1"/>
  <c r="Y30" i="112" l="1"/>
  <c r="Y31" i="112" s="1"/>
  <c r="Y28" i="112" l="1"/>
  <c r="Z29" i="112" s="1"/>
  <c r="Z30" i="112" l="1"/>
  <c r="Z31" i="112" s="1"/>
  <c r="Z28" i="112" s="1"/>
  <c r="AA29" i="112" s="1"/>
  <c r="AA30" i="112" l="1"/>
  <c r="AA31" i="112" s="1"/>
  <c r="AA28" i="112" s="1"/>
  <c r="AB29" i="112" s="1"/>
  <c r="AB30" i="112" l="1"/>
  <c r="AB31" i="112" s="1"/>
  <c r="AB28" i="112" s="1"/>
  <c r="AC29" i="112" s="1"/>
  <c r="AC30" i="112" l="1"/>
  <c r="AC31" i="112" s="1"/>
  <c r="AC28" i="112" s="1"/>
  <c r="AD29" i="112" s="1"/>
  <c r="AD30" i="112" l="1"/>
  <c r="AD31" i="112" s="1"/>
  <c r="AD28" i="112" l="1"/>
  <c r="AE29" i="112" s="1"/>
  <c r="AE30" i="112" l="1"/>
  <c r="AE31" i="112" s="1"/>
  <c r="AE28" i="112" l="1"/>
  <c r="AF29" i="112" s="1"/>
  <c r="AF30" i="112" l="1"/>
  <c r="AF31" i="112" s="1"/>
  <c r="AF28" i="112" s="1"/>
  <c r="AG29" i="112" s="1"/>
  <c r="AG30" i="112" s="1"/>
  <c r="AG31" i="112" s="1"/>
  <c r="AG28" i="112" s="1"/>
  <c r="C51" i="112" s="1"/>
  <c r="AI71" i="112" l="1"/>
  <c r="C52" i="112"/>
  <c r="C53" i="112" s="1"/>
  <c r="AL71" i="112"/>
  <c r="A54" i="112"/>
  <c r="C50" i="112" l="1"/>
  <c r="AI67" i="112"/>
  <c r="AH67" i="112" s="1"/>
  <c r="D51" i="112" l="1"/>
  <c r="D52" i="112" l="1"/>
  <c r="D53" i="112" s="1"/>
  <c r="D50" i="112" s="1"/>
  <c r="E51" i="112" s="1"/>
  <c r="E52" i="112" l="1"/>
  <c r="E53" i="112" s="1"/>
  <c r="E50" i="112" s="1"/>
  <c r="F51" i="112" s="1"/>
  <c r="F52" i="112" l="1"/>
  <c r="F53" i="112" s="1"/>
  <c r="F50" i="112" l="1"/>
  <c r="G51" i="112" l="1"/>
  <c r="G52" i="112" l="1"/>
  <c r="G53" i="112" s="1"/>
  <c r="G50" i="112" l="1"/>
  <c r="H51" i="112" s="1"/>
  <c r="H52" i="112" l="1"/>
  <c r="H53" i="112" s="1"/>
  <c r="H50" i="112" l="1"/>
  <c r="I51" i="112" s="1"/>
  <c r="I52" i="112" l="1"/>
  <c r="I53" i="112" s="1"/>
  <c r="I50" i="112" s="1"/>
  <c r="J51" i="112" s="1"/>
  <c r="J52" i="112" l="1"/>
  <c r="J53" i="112" s="1"/>
  <c r="J50" i="112" s="1"/>
  <c r="K51" i="112" s="1"/>
  <c r="K52" i="112" l="1"/>
  <c r="K53" i="112" s="1"/>
  <c r="K50" i="112" s="1"/>
  <c r="L51" i="112" s="1"/>
  <c r="L52" i="112" l="1"/>
  <c r="L53" i="112" s="1"/>
  <c r="L50" i="112" s="1"/>
  <c r="M51" i="112" s="1"/>
  <c r="M52" i="112" l="1"/>
  <c r="M53" i="112" s="1"/>
  <c r="M50" i="112" s="1"/>
  <c r="N51" i="112" s="1"/>
  <c r="N52" i="112" l="1"/>
  <c r="N53" i="112" s="1"/>
  <c r="N50" i="112" l="1"/>
  <c r="O51" i="112" s="1"/>
  <c r="O52" i="112" l="1"/>
  <c r="O53" i="112" s="1"/>
  <c r="O50" i="112" s="1"/>
  <c r="P51" i="112" s="1"/>
  <c r="P52" i="112" l="1"/>
  <c r="P53" i="112" s="1"/>
  <c r="P50" i="112" s="1"/>
  <c r="Q51" i="112" s="1"/>
  <c r="Q52" i="112" l="1"/>
  <c r="Q53" i="112" s="1"/>
  <c r="Q50" i="112" s="1"/>
  <c r="R51" i="112" s="1"/>
  <c r="R52" i="112" l="1"/>
  <c r="R53" i="112" s="1"/>
  <c r="R50" i="112" s="1"/>
  <c r="S51" i="112" s="1"/>
  <c r="S52" i="112" l="1"/>
  <c r="S53" i="112" s="1"/>
  <c r="S50" i="112" s="1"/>
  <c r="T51" i="112" s="1"/>
  <c r="T52" i="112" l="1"/>
  <c r="T53" i="112" s="1"/>
  <c r="T50" i="112" s="1"/>
  <c r="U51" i="112" s="1"/>
  <c r="U52" i="112" l="1"/>
  <c r="U53" i="112" s="1"/>
  <c r="U50" i="112" l="1"/>
  <c r="V51" i="112" s="1"/>
  <c r="V52" i="112" l="1"/>
  <c r="V53" i="112" s="1"/>
  <c r="V50" i="112" s="1"/>
  <c r="W51" i="112" s="1"/>
  <c r="W52" i="112" l="1"/>
  <c r="W53" i="112" s="1"/>
  <c r="W50" i="112" s="1"/>
  <c r="X51" i="112" s="1"/>
  <c r="X52" i="112" l="1"/>
  <c r="X53" i="112" s="1"/>
  <c r="X50" i="112" l="1"/>
  <c r="Y51" i="112" s="1"/>
  <c r="Y52" i="112" l="1"/>
  <c r="Y53" i="112" s="1"/>
  <c r="Y50" i="112" s="1"/>
  <c r="Z51" i="112" s="1"/>
  <c r="Z52" i="112" l="1"/>
  <c r="Z53" i="112" s="1"/>
  <c r="Z50" i="112" s="1"/>
  <c r="AA51" i="112" s="1"/>
  <c r="AA52" i="112" l="1"/>
  <c r="AA53" i="112" s="1"/>
  <c r="AA50" i="112" l="1"/>
  <c r="AB51" i="112" s="1"/>
  <c r="AB52" i="112" l="1"/>
  <c r="AB53" i="112" s="1"/>
  <c r="AB50" i="112" l="1"/>
  <c r="AC51" i="112" s="1"/>
  <c r="AC52" i="112" l="1"/>
  <c r="AC53" i="112" s="1"/>
  <c r="AC50" i="112" s="1"/>
  <c r="AD51" i="112" s="1"/>
  <c r="AD52" i="112" l="1"/>
  <c r="AD53" i="112" s="1"/>
  <c r="AD50" i="112" s="1"/>
  <c r="AE51" i="112" s="1"/>
  <c r="AE52" i="112" l="1"/>
  <c r="AE53" i="112" s="1"/>
  <c r="AE50" i="112" s="1"/>
  <c r="AF51" i="112" s="1"/>
  <c r="AF52" i="112" l="1"/>
  <c r="AF53" i="112" s="1"/>
  <c r="AF50" i="112" s="1"/>
  <c r="AG51" i="112" s="1"/>
  <c r="AG52" i="112" s="1"/>
  <c r="AG53" i="112" s="1"/>
  <c r="AG50" i="112" s="1"/>
  <c r="C73" i="112" s="1"/>
  <c r="A76" i="112" l="1"/>
  <c r="AL93" i="112"/>
  <c r="AI93" i="112"/>
  <c r="C74" i="112"/>
  <c r="C75" i="112" s="1"/>
  <c r="C72" i="112" l="1"/>
  <c r="AI89" i="112"/>
  <c r="AH89" i="112" s="1"/>
  <c r="D73" i="112" l="1"/>
  <c r="D74" i="112" l="1"/>
  <c r="D75" i="112" s="1"/>
  <c r="D72" i="112" l="1"/>
  <c r="E73" i="112" l="1"/>
  <c r="E74" i="112" l="1"/>
  <c r="E75" i="112" s="1"/>
  <c r="E72" i="112" l="1"/>
  <c r="F73" i="112" l="1"/>
  <c r="F74" i="112" l="1"/>
  <c r="F75" i="112" s="1"/>
  <c r="F72" i="112" s="1"/>
  <c r="G73" i="112" l="1"/>
  <c r="G74" i="112" l="1"/>
  <c r="G75" i="112" s="1"/>
  <c r="G72" i="112" s="1"/>
  <c r="H73" i="112" s="1"/>
  <c r="H74" i="112" l="1"/>
  <c r="H75" i="112" s="1"/>
  <c r="H72" i="112" l="1"/>
  <c r="I73" i="112" s="1"/>
  <c r="I74" i="112" l="1"/>
  <c r="I75" i="112" s="1"/>
  <c r="I72" i="112" s="1"/>
  <c r="J73" i="112" s="1"/>
  <c r="J74" i="112" l="1"/>
  <c r="J75" i="112" s="1"/>
  <c r="J72" i="112" l="1"/>
  <c r="K73" i="112" s="1"/>
  <c r="K74" i="112" l="1"/>
  <c r="K75" i="112" s="1"/>
  <c r="K72" i="112" l="1"/>
  <c r="L73" i="112" s="1"/>
  <c r="L74" i="112" l="1"/>
  <c r="L75" i="112" s="1"/>
  <c r="L72" i="112" s="1"/>
  <c r="M73" i="112" s="1"/>
  <c r="M74" i="112" l="1"/>
  <c r="M75" i="112" s="1"/>
  <c r="M72" i="112" s="1"/>
  <c r="N73" i="112" s="1"/>
  <c r="N74" i="112" l="1"/>
  <c r="N75" i="112" s="1"/>
  <c r="N72" i="112" s="1"/>
  <c r="O73" i="112" s="1"/>
  <c r="O74" i="112" l="1"/>
  <c r="O75" i="112" s="1"/>
  <c r="O72" i="112" s="1"/>
  <c r="P73" i="112" s="1"/>
  <c r="P74" i="112" l="1"/>
  <c r="P75" i="112" s="1"/>
  <c r="P72" i="112" s="1"/>
  <c r="Q73" i="112" s="1"/>
  <c r="Q74" i="112" l="1"/>
  <c r="Q75" i="112" s="1"/>
  <c r="Q72" i="112" l="1"/>
  <c r="R73" i="112" s="1"/>
  <c r="R74" i="112" l="1"/>
  <c r="R75" i="112" s="1"/>
  <c r="R72" i="112" l="1"/>
  <c r="S73" i="112" s="1"/>
  <c r="S74" i="112" l="1"/>
  <c r="S75" i="112" s="1"/>
  <c r="S72" i="112" s="1"/>
  <c r="T73" i="112" s="1"/>
  <c r="T74" i="112" l="1"/>
  <c r="T75" i="112" s="1"/>
  <c r="T72" i="112" s="1"/>
  <c r="U73" i="112" s="1"/>
  <c r="U74" i="112" l="1"/>
  <c r="U75" i="112" s="1"/>
  <c r="U72" i="112" s="1"/>
  <c r="V73" i="112" s="1"/>
  <c r="V74" i="112" l="1"/>
  <c r="V75" i="112" s="1"/>
  <c r="V72" i="112" s="1"/>
  <c r="W73" i="112" s="1"/>
  <c r="W74" i="112" l="1"/>
  <c r="W75" i="112" s="1"/>
  <c r="W72" i="112" s="1"/>
  <c r="X73" i="112" s="1"/>
  <c r="X74" i="112" l="1"/>
  <c r="X75" i="112" s="1"/>
  <c r="X72" i="112" l="1"/>
  <c r="Y73" i="112" s="1"/>
  <c r="Y74" i="112" l="1"/>
  <c r="Y75" i="112" s="1"/>
  <c r="Y72" i="112" l="1"/>
  <c r="Z73" i="112" s="1"/>
  <c r="Z74" i="112" l="1"/>
  <c r="Z75" i="112" s="1"/>
  <c r="Z72" i="112" s="1"/>
  <c r="AA73" i="112" s="1"/>
  <c r="AA74" i="112" l="1"/>
  <c r="AA75" i="112" s="1"/>
  <c r="AA72" i="112" l="1"/>
  <c r="AB73" i="112" s="1"/>
  <c r="AB74" i="112" l="1"/>
  <c r="AB75" i="112" s="1"/>
  <c r="AB72" i="112" s="1"/>
  <c r="AC73" i="112" s="1"/>
  <c r="AC74" i="112" l="1"/>
  <c r="AC75" i="112" s="1"/>
  <c r="AC72" i="112" s="1"/>
  <c r="AD73" i="112" s="1"/>
  <c r="AD74" i="112" l="1"/>
  <c r="AD75" i="112" s="1"/>
  <c r="AD72" i="112" l="1"/>
  <c r="AE73" i="112" s="1"/>
  <c r="AE74" i="112" l="1"/>
  <c r="AE75" i="112" s="1"/>
  <c r="AE72" i="112" l="1"/>
  <c r="AF73" i="112" s="1"/>
  <c r="AE76" i="112"/>
  <c r="AF74" i="112" l="1"/>
  <c r="AF75" i="112" s="1"/>
  <c r="AF72" i="112" l="1"/>
  <c r="AG73" i="112" s="1"/>
  <c r="AG74" i="112" s="1"/>
  <c r="AG75" i="112" s="1"/>
  <c r="AF76" i="112"/>
  <c r="AG76" i="112" l="1"/>
  <c r="AG72" i="112"/>
  <c r="C95" i="112" s="1"/>
  <c r="AL114" i="112" l="1"/>
  <c r="C96" i="112"/>
  <c r="C97" i="112" s="1"/>
  <c r="AI114" i="112"/>
  <c r="A98" i="112"/>
  <c r="C94" i="112" l="1"/>
  <c r="AI110" i="112"/>
  <c r="AH110" i="112" s="1"/>
  <c r="D95" i="112" l="1"/>
  <c r="D96" i="112" l="1"/>
  <c r="D97" i="112" s="1"/>
  <c r="D94" i="112" l="1"/>
  <c r="E95" i="112" l="1"/>
  <c r="E96" i="112" l="1"/>
  <c r="E97" i="112" s="1"/>
  <c r="E94" i="112" s="1"/>
  <c r="F95" i="112" s="1"/>
  <c r="F96" i="112" l="1"/>
  <c r="F97" i="112" s="1"/>
  <c r="F94" i="112" s="1"/>
  <c r="G95" i="112" s="1"/>
  <c r="G96" i="112" l="1"/>
  <c r="G97" i="112" s="1"/>
  <c r="G94" i="112" s="1"/>
  <c r="H95" i="112" s="1"/>
  <c r="H96" i="112" l="1"/>
  <c r="H97" i="112" s="1"/>
  <c r="H94" i="112" l="1"/>
  <c r="I95" i="112" s="1"/>
  <c r="I96" i="112" l="1"/>
  <c r="I97" i="112" s="1"/>
  <c r="I94" i="112" s="1"/>
  <c r="J95" i="112" s="1"/>
  <c r="J96" i="112" l="1"/>
  <c r="J97" i="112" s="1"/>
  <c r="J94" i="112" l="1"/>
  <c r="K95" i="112" s="1"/>
  <c r="K96" i="112" l="1"/>
  <c r="K97" i="112" s="1"/>
  <c r="K94" i="112" l="1"/>
  <c r="L95" i="112" s="1"/>
  <c r="L96" i="112" l="1"/>
  <c r="L97" i="112" s="1"/>
  <c r="L94" i="112" s="1"/>
  <c r="M95" i="112" s="1"/>
  <c r="M96" i="112" l="1"/>
  <c r="M97" i="112" s="1"/>
  <c r="M94" i="112" s="1"/>
  <c r="N95" i="112" s="1"/>
  <c r="N96" i="112" l="1"/>
  <c r="N97" i="112" s="1"/>
  <c r="N94" i="112" s="1"/>
  <c r="O95" i="112" s="1"/>
  <c r="O96" i="112" l="1"/>
  <c r="O97" i="112" s="1"/>
  <c r="O94" i="112" s="1"/>
  <c r="P95" i="112" s="1"/>
  <c r="P96" i="112" l="1"/>
  <c r="P97" i="112" s="1"/>
  <c r="P94" i="112" s="1"/>
  <c r="Q95" i="112" s="1"/>
  <c r="Q96" i="112" l="1"/>
  <c r="Q97" i="112" s="1"/>
  <c r="Q94" i="112" l="1"/>
  <c r="R95" i="112" s="1"/>
  <c r="R96" i="112" l="1"/>
  <c r="R97" i="112" s="1"/>
  <c r="R94" i="112" l="1"/>
  <c r="S95" i="112" s="1"/>
  <c r="S96" i="112" l="1"/>
  <c r="S97" i="112" s="1"/>
  <c r="S94" i="112" s="1"/>
  <c r="T95" i="112" s="1"/>
  <c r="T96" i="112" l="1"/>
  <c r="T97" i="112" s="1"/>
  <c r="T94" i="112" s="1"/>
  <c r="U95" i="112" s="1"/>
  <c r="U96" i="112" l="1"/>
  <c r="U97" i="112" s="1"/>
  <c r="U94" i="112" s="1"/>
  <c r="V95" i="112" s="1"/>
  <c r="V96" i="112" l="1"/>
  <c r="V97" i="112" s="1"/>
  <c r="V94" i="112" s="1"/>
  <c r="W95" i="112" s="1"/>
  <c r="W96" i="112" l="1"/>
  <c r="W97" i="112" s="1"/>
  <c r="W94" i="112" s="1"/>
  <c r="X95" i="112" s="1"/>
  <c r="X96" i="112" l="1"/>
  <c r="X97" i="112" s="1"/>
  <c r="X94" i="112" l="1"/>
  <c r="Y95" i="112" s="1"/>
  <c r="Y96" i="112" l="1"/>
  <c r="Y97" i="112" s="1"/>
  <c r="Y94" i="112" l="1"/>
  <c r="Z95" i="112" s="1"/>
  <c r="Z96" i="112" l="1"/>
  <c r="Z97" i="112" s="1"/>
  <c r="Z94" i="112" s="1"/>
  <c r="AA95" i="112" s="1"/>
  <c r="AA96" i="112" l="1"/>
  <c r="AA97" i="112" s="1"/>
  <c r="AA94" i="112" s="1"/>
  <c r="AB95" i="112" s="1"/>
  <c r="AB96" i="112" l="1"/>
  <c r="AB97" i="112" s="1"/>
  <c r="AB94" i="112" l="1"/>
  <c r="AC95" i="112" s="1"/>
  <c r="AC96" i="112" l="1"/>
  <c r="AC97" i="112" s="1"/>
  <c r="AC94" i="112" s="1"/>
  <c r="AD95" i="112" s="1"/>
  <c r="AD96" i="112" l="1"/>
  <c r="AD97" i="112" s="1"/>
  <c r="AD94" i="112" s="1"/>
  <c r="AE95" i="112" s="1"/>
  <c r="AE96" i="112" l="1"/>
  <c r="AE97" i="112" s="1"/>
  <c r="AE94" i="112" l="1"/>
  <c r="AF95" i="112" s="1"/>
  <c r="AF96" i="112" l="1"/>
  <c r="AF97" i="112" s="1"/>
  <c r="AF94" i="112" l="1"/>
  <c r="AG95" i="112" s="1"/>
  <c r="AG96" i="112" s="1"/>
  <c r="AG97" i="112" s="1"/>
  <c r="AG94" i="112" s="1"/>
  <c r="C116" i="112" s="1"/>
  <c r="AL135" i="112" l="1"/>
  <c r="C117" i="112"/>
  <c r="C118" i="112" s="1"/>
  <c r="AI135" i="112"/>
  <c r="A119" i="112"/>
  <c r="C115" i="112" l="1"/>
  <c r="D116" i="112" s="1"/>
  <c r="AI131" i="112"/>
  <c r="AH131" i="112" s="1"/>
  <c r="D117" i="112" l="1"/>
  <c r="D118" i="112" s="1"/>
  <c r="D115" i="112" s="1"/>
  <c r="E116" i="112" s="1"/>
  <c r="E117" i="112" l="1"/>
  <c r="E118" i="112" s="1"/>
  <c r="E115" i="112" s="1"/>
  <c r="F116" i="112" s="1"/>
  <c r="F117" i="112" l="1"/>
  <c r="F118" i="112" s="1"/>
  <c r="F115" i="112" s="1"/>
  <c r="G116" i="112" s="1"/>
  <c r="G117" i="112" l="1"/>
  <c r="G118" i="112" s="1"/>
  <c r="G115" i="112" s="1"/>
  <c r="H116" i="112" s="1"/>
  <c r="H117" i="112" l="1"/>
  <c r="H118" i="112" s="1"/>
  <c r="H115" i="112" l="1"/>
  <c r="I116" i="112" s="1"/>
  <c r="I117" i="112" l="1"/>
  <c r="I118" i="112" s="1"/>
  <c r="I115" i="112" s="1"/>
  <c r="J116" i="112" s="1"/>
  <c r="J117" i="112" l="1"/>
  <c r="J118" i="112" s="1"/>
  <c r="J115" i="112" l="1"/>
  <c r="K116" i="112" s="1"/>
  <c r="K117" i="112" l="1"/>
  <c r="K118" i="112" s="1"/>
  <c r="K115" i="112" l="1"/>
  <c r="L116" i="112" s="1"/>
  <c r="L117" i="112" l="1"/>
  <c r="L118" i="112" s="1"/>
  <c r="L115" i="112" s="1"/>
  <c r="M116" i="112" s="1"/>
  <c r="M117" i="112" l="1"/>
  <c r="M118" i="112" s="1"/>
  <c r="M115" i="112" s="1"/>
  <c r="N116" i="112" s="1"/>
  <c r="N117" i="112" l="1"/>
  <c r="N118" i="112" s="1"/>
  <c r="N115" i="112" l="1"/>
  <c r="O116" i="112" s="1"/>
  <c r="O117" i="112" l="1"/>
  <c r="O118" i="112" s="1"/>
  <c r="O115" i="112" l="1"/>
  <c r="P116" i="112" s="1"/>
  <c r="P117" i="112" l="1"/>
  <c r="P118" i="112" s="1"/>
  <c r="P115" i="112" l="1"/>
  <c r="Q116" i="112" s="1"/>
  <c r="Q117" i="112" l="1"/>
  <c r="Q118" i="112" s="1"/>
  <c r="Q115" i="112" l="1"/>
  <c r="R116" i="112" s="1"/>
  <c r="R117" i="112" l="1"/>
  <c r="R118" i="112" s="1"/>
  <c r="R115" i="112" l="1"/>
  <c r="S116" i="112" s="1"/>
  <c r="S117" i="112" l="1"/>
  <c r="S118" i="112" s="1"/>
  <c r="S115" i="112" s="1"/>
  <c r="T116" i="112" s="1"/>
  <c r="T117" i="112" l="1"/>
  <c r="T118" i="112" s="1"/>
  <c r="T115" i="112" s="1"/>
  <c r="U116" i="112" s="1"/>
  <c r="U117" i="112" l="1"/>
  <c r="U118" i="112" s="1"/>
  <c r="U115" i="112" s="1"/>
  <c r="V116" i="112" s="1"/>
  <c r="V117" i="112" l="1"/>
  <c r="V118" i="112" s="1"/>
  <c r="V115" i="112" l="1"/>
  <c r="W116" i="112" s="1"/>
  <c r="W117" i="112" l="1"/>
  <c r="W118" i="112" s="1"/>
  <c r="W115" i="112" s="1"/>
  <c r="X116" i="112" s="1"/>
  <c r="X117" i="112" l="1"/>
  <c r="X118" i="112" s="1"/>
  <c r="X115" i="112" s="1"/>
  <c r="Y116" i="112" s="1"/>
  <c r="Y117" i="112" l="1"/>
  <c r="Y118" i="112" s="1"/>
  <c r="Y115" i="112" s="1"/>
  <c r="Z116" i="112" s="1"/>
  <c r="Z117" i="112" l="1"/>
  <c r="Z118" i="112" s="1"/>
  <c r="Z115" i="112" s="1"/>
  <c r="AA116" i="112" s="1"/>
  <c r="AA117" i="112" l="1"/>
  <c r="AA118" i="112" s="1"/>
  <c r="AA115" i="112" s="1"/>
  <c r="AB116" i="112" s="1"/>
  <c r="AB117" i="112" l="1"/>
  <c r="AB118" i="112" s="1"/>
  <c r="AB115" i="112" l="1"/>
  <c r="AC116" i="112" s="1"/>
  <c r="AC117" i="112" l="1"/>
  <c r="AC118" i="112" s="1"/>
  <c r="AC115" i="112" l="1"/>
  <c r="AD116" i="112" s="1"/>
  <c r="AD117" i="112" l="1"/>
  <c r="AD118" i="112" s="1"/>
  <c r="AD115" i="112" s="1"/>
  <c r="AE116" i="112" s="1"/>
  <c r="AE117" i="112" l="1"/>
  <c r="AE118" i="112" s="1"/>
  <c r="AE115" i="112" s="1"/>
  <c r="AF116" i="112" s="1"/>
  <c r="AF117" i="112" l="1"/>
  <c r="AF118" i="112" s="1"/>
  <c r="AF115" i="112" s="1"/>
  <c r="AG116" i="112" s="1"/>
  <c r="AG117" i="112" s="1"/>
  <c r="AG118" i="112" s="1"/>
  <c r="AG119" i="112" l="1"/>
  <c r="AG115" i="112"/>
  <c r="CM53" i="1" l="1"/>
  <c r="CA53" i="1"/>
  <c r="BZ53" i="1"/>
  <c r="BY53" i="1"/>
  <c r="CM52" i="1"/>
  <c r="CA52" i="1"/>
  <c r="BZ52" i="1"/>
  <c r="BY52" i="1"/>
  <c r="CM51" i="1"/>
  <c r="CA51" i="1"/>
  <c r="BZ51" i="1"/>
  <c r="BY51" i="1"/>
  <c r="CM50" i="1"/>
  <c r="CA50" i="1"/>
  <c r="BZ50" i="1"/>
  <c r="BY50" i="1"/>
  <c r="CM49" i="1"/>
  <c r="CA49" i="1"/>
  <c r="BZ49" i="1"/>
  <c r="BY49" i="1"/>
  <c r="CM48" i="1"/>
  <c r="CA48" i="1"/>
  <c r="BZ48" i="1"/>
  <c r="BY48" i="1"/>
  <c r="CM47" i="1"/>
  <c r="CA47" i="1"/>
  <c r="BZ47" i="1"/>
  <c r="BY47" i="1"/>
  <c r="CM46" i="1"/>
  <c r="CA46" i="1"/>
  <c r="BZ46" i="1"/>
  <c r="BY46" i="1"/>
  <c r="CM45" i="1"/>
  <c r="CA45" i="1"/>
  <c r="BZ45" i="1"/>
  <c r="BY45" i="1"/>
  <c r="CM44" i="1"/>
  <c r="CA44" i="1"/>
  <c r="BZ44" i="1"/>
  <c r="BY44" i="1"/>
  <c r="CM43" i="1"/>
  <c r="CA43" i="1"/>
  <c r="BZ43" i="1"/>
  <c r="BY43" i="1"/>
  <c r="AH43" i="1" l="1"/>
  <c r="AI43" i="1"/>
  <c r="AJ43" i="1"/>
  <c r="AK43" i="1"/>
  <c r="AM43" i="1"/>
  <c r="AN43" i="1"/>
  <c r="AO43" i="1"/>
  <c r="AP43" i="1"/>
  <c r="AQ43" i="1"/>
  <c r="AR43" i="1"/>
  <c r="AT43" i="1"/>
  <c r="AU43" i="1"/>
  <c r="AV43" i="1"/>
  <c r="AY43" i="1"/>
  <c r="BB43" i="1"/>
  <c r="BC43" i="1"/>
  <c r="BD43" i="1"/>
  <c r="AH44" i="1"/>
  <c r="AI44" i="1"/>
  <c r="AJ44" i="1"/>
  <c r="AK44" i="1"/>
  <c r="AM44" i="1"/>
  <c r="AN44" i="1"/>
  <c r="AO44" i="1"/>
  <c r="AP44" i="1"/>
  <c r="AQ44" i="1"/>
  <c r="AR44" i="1"/>
  <c r="AT44" i="1"/>
  <c r="AU44" i="1"/>
  <c r="AV44" i="1"/>
  <c r="AY44" i="1"/>
  <c r="BB44" i="1"/>
  <c r="BC44" i="1"/>
  <c r="BD44" i="1"/>
  <c r="AH45" i="1"/>
  <c r="AI45" i="1"/>
  <c r="AJ45" i="1"/>
  <c r="AK45" i="1"/>
  <c r="AM45" i="1"/>
  <c r="AN45" i="1"/>
  <c r="AO45" i="1"/>
  <c r="AP45" i="1"/>
  <c r="AQ45" i="1"/>
  <c r="AR45" i="1"/>
  <c r="AT45" i="1"/>
  <c r="AU45" i="1"/>
  <c r="AV45" i="1"/>
  <c r="AY45" i="1"/>
  <c r="BB45" i="1"/>
  <c r="BC45" i="1"/>
  <c r="BD45" i="1"/>
  <c r="AH46" i="1"/>
  <c r="AI46" i="1"/>
  <c r="AJ46" i="1"/>
  <c r="AK46" i="1"/>
  <c r="AM46" i="1"/>
  <c r="AN46" i="1"/>
  <c r="AO46" i="1"/>
  <c r="AP46" i="1"/>
  <c r="AQ46" i="1"/>
  <c r="AR46" i="1"/>
  <c r="AT46" i="1"/>
  <c r="AU46" i="1"/>
  <c r="AV46" i="1"/>
  <c r="AY46" i="1"/>
  <c r="BB46" i="1"/>
  <c r="BC46" i="1"/>
  <c r="BD46" i="1"/>
  <c r="AH47" i="1"/>
  <c r="AI47" i="1"/>
  <c r="AJ47" i="1"/>
  <c r="AK47" i="1"/>
  <c r="AM47" i="1"/>
  <c r="AN47" i="1"/>
  <c r="AO47" i="1"/>
  <c r="AP47" i="1"/>
  <c r="AQ47" i="1"/>
  <c r="AR47" i="1"/>
  <c r="AT47" i="1"/>
  <c r="AU47" i="1"/>
  <c r="AV47" i="1"/>
  <c r="AY47" i="1"/>
  <c r="BB47" i="1"/>
  <c r="BC47" i="1"/>
  <c r="BD47" i="1"/>
  <c r="AH48" i="1"/>
  <c r="AI48" i="1"/>
  <c r="AJ48" i="1"/>
  <c r="AK48" i="1"/>
  <c r="AM48" i="1"/>
  <c r="AN48" i="1"/>
  <c r="AO48" i="1"/>
  <c r="AP48" i="1"/>
  <c r="AQ48" i="1"/>
  <c r="AR48" i="1"/>
  <c r="AT48" i="1"/>
  <c r="AU48" i="1"/>
  <c r="AV48" i="1"/>
  <c r="AY48" i="1"/>
  <c r="BB48" i="1"/>
  <c r="BC48" i="1"/>
  <c r="BD48" i="1"/>
  <c r="AH49" i="1"/>
  <c r="AI49" i="1"/>
  <c r="AJ49" i="1"/>
  <c r="AK49" i="1"/>
  <c r="AM49" i="1"/>
  <c r="AN49" i="1"/>
  <c r="AO49" i="1"/>
  <c r="AP49" i="1"/>
  <c r="AQ49" i="1"/>
  <c r="AR49" i="1"/>
  <c r="AT49" i="1"/>
  <c r="AU49" i="1"/>
  <c r="AV49" i="1"/>
  <c r="AY49" i="1"/>
  <c r="BB49" i="1"/>
  <c r="BC49" i="1"/>
  <c r="BD49" i="1"/>
  <c r="AH50" i="1"/>
  <c r="AI50" i="1"/>
  <c r="AJ50" i="1"/>
  <c r="AK50" i="1"/>
  <c r="AM50" i="1"/>
  <c r="AN50" i="1"/>
  <c r="AO50" i="1"/>
  <c r="AP50" i="1"/>
  <c r="AQ50" i="1"/>
  <c r="AR50" i="1"/>
  <c r="AT50" i="1"/>
  <c r="AU50" i="1"/>
  <c r="AV50" i="1"/>
  <c r="AY50" i="1"/>
  <c r="BB50" i="1"/>
  <c r="BC50" i="1"/>
  <c r="BD50" i="1"/>
  <c r="AH51" i="1"/>
  <c r="AI51" i="1"/>
  <c r="AJ51" i="1"/>
  <c r="AK51" i="1"/>
  <c r="AM51" i="1"/>
  <c r="AN51" i="1"/>
  <c r="AO51" i="1"/>
  <c r="AP51" i="1"/>
  <c r="AQ51" i="1"/>
  <c r="AR51" i="1"/>
  <c r="AT51" i="1"/>
  <c r="AU51" i="1"/>
  <c r="AV51" i="1"/>
  <c r="AY51" i="1"/>
  <c r="BB51" i="1"/>
  <c r="BC51" i="1"/>
  <c r="BD51" i="1"/>
  <c r="AH52" i="1"/>
  <c r="AI52" i="1"/>
  <c r="AJ52" i="1"/>
  <c r="AK52" i="1"/>
  <c r="AM52" i="1"/>
  <c r="AN52" i="1"/>
  <c r="AO52" i="1"/>
  <c r="AP52" i="1"/>
  <c r="AQ52" i="1"/>
  <c r="AR52" i="1"/>
  <c r="AT52" i="1"/>
  <c r="AU52" i="1"/>
  <c r="AV52" i="1"/>
  <c r="AY52" i="1"/>
  <c r="BB52" i="1"/>
  <c r="BC52" i="1"/>
  <c r="BD52" i="1"/>
  <c r="AH53" i="1"/>
  <c r="AI53" i="1"/>
  <c r="AJ53" i="1"/>
  <c r="AK53" i="1"/>
  <c r="AM53" i="1"/>
  <c r="AN53" i="1"/>
  <c r="AO53" i="1"/>
  <c r="AP53" i="1"/>
  <c r="AQ53" i="1"/>
  <c r="AR53" i="1"/>
  <c r="AT53" i="1"/>
  <c r="AU53" i="1"/>
  <c r="AV53" i="1"/>
  <c r="AY53" i="1"/>
  <c r="BB53" i="1"/>
  <c r="BC53" i="1"/>
  <c r="BD53" i="1"/>
  <c r="V43" i="1"/>
  <c r="W43" i="1"/>
  <c r="X43" i="1"/>
  <c r="Y43" i="1"/>
  <c r="Z43" i="1"/>
  <c r="AA43" i="1"/>
  <c r="AB43" i="1"/>
  <c r="AC43" i="1"/>
  <c r="AD43" i="1"/>
  <c r="V44" i="1"/>
  <c r="W44" i="1"/>
  <c r="X44" i="1"/>
  <c r="Y44" i="1"/>
  <c r="Z44" i="1"/>
  <c r="AA44" i="1"/>
  <c r="AB44" i="1"/>
  <c r="AC44" i="1"/>
  <c r="AD44" i="1"/>
  <c r="V45" i="1"/>
  <c r="W45" i="1"/>
  <c r="X45" i="1"/>
  <c r="Y45" i="1"/>
  <c r="Z45" i="1"/>
  <c r="AA45" i="1"/>
  <c r="AB45" i="1"/>
  <c r="AC45" i="1"/>
  <c r="AD45" i="1"/>
  <c r="V46" i="1"/>
  <c r="W46" i="1"/>
  <c r="X46" i="1"/>
  <c r="Y46" i="1"/>
  <c r="Z46" i="1"/>
  <c r="AA46" i="1"/>
  <c r="AB46" i="1"/>
  <c r="AC46" i="1"/>
  <c r="AD46" i="1"/>
  <c r="V47" i="1"/>
  <c r="W47" i="1"/>
  <c r="X47" i="1"/>
  <c r="Y47" i="1"/>
  <c r="Z47" i="1"/>
  <c r="AA47" i="1"/>
  <c r="AB47" i="1"/>
  <c r="AC47" i="1"/>
  <c r="AD47" i="1"/>
  <c r="V48" i="1"/>
  <c r="W48" i="1"/>
  <c r="X48" i="1"/>
  <c r="Y48" i="1"/>
  <c r="Z48" i="1"/>
  <c r="AA48" i="1"/>
  <c r="AB48" i="1"/>
  <c r="AC48" i="1"/>
  <c r="AD48" i="1"/>
  <c r="V49" i="1"/>
  <c r="W49" i="1"/>
  <c r="X49" i="1"/>
  <c r="Y49" i="1"/>
  <c r="Z49" i="1"/>
  <c r="AA49" i="1"/>
  <c r="AB49" i="1"/>
  <c r="AC49" i="1"/>
  <c r="AD49" i="1"/>
  <c r="V50" i="1"/>
  <c r="W50" i="1"/>
  <c r="X50" i="1"/>
  <c r="Y50" i="1"/>
  <c r="Z50" i="1"/>
  <c r="AA50" i="1"/>
  <c r="AB50" i="1"/>
  <c r="AC50" i="1"/>
  <c r="AD50" i="1"/>
  <c r="V51" i="1"/>
  <c r="W51" i="1"/>
  <c r="X51" i="1"/>
  <c r="Y51" i="1"/>
  <c r="Z51" i="1"/>
  <c r="AA51" i="1"/>
  <c r="AB51" i="1"/>
  <c r="AC51" i="1"/>
  <c r="AD51" i="1"/>
  <c r="V52" i="1"/>
  <c r="W52" i="1"/>
  <c r="X52" i="1"/>
  <c r="Y52" i="1"/>
  <c r="Z52" i="1"/>
  <c r="AA52" i="1"/>
  <c r="AB52" i="1"/>
  <c r="AC52" i="1"/>
  <c r="AD52" i="1"/>
  <c r="V53" i="1"/>
  <c r="W53" i="1"/>
  <c r="X53" i="1"/>
  <c r="Y53" i="1"/>
  <c r="Z53" i="1"/>
  <c r="AA53" i="1"/>
  <c r="AB53" i="1"/>
  <c r="AC53" i="1"/>
  <c r="AD53" i="1"/>
  <c r="E173" i="103" l="1"/>
  <c r="E172" i="103"/>
  <c r="X171" i="103"/>
  <c r="C148" i="103"/>
  <c r="AI139" i="103"/>
  <c r="AJ139" i="103" s="1"/>
  <c r="AI88" i="103"/>
  <c r="AI66" i="103"/>
  <c r="AI44" i="103"/>
  <c r="AI21" i="103"/>
  <c r="P170" i="103" s="1"/>
  <c r="C6" i="103"/>
  <c r="C29" i="103" s="1"/>
  <c r="S4" i="103"/>
  <c r="E4" i="103"/>
  <c r="K1" i="103"/>
  <c r="D6" i="103" l="1"/>
  <c r="E6" i="103" s="1"/>
  <c r="E7" i="103" s="1"/>
  <c r="E8" i="103" s="1"/>
  <c r="C7" i="103"/>
  <c r="C8" i="103" s="1"/>
  <c r="AL49" i="103"/>
  <c r="AI49" i="103"/>
  <c r="C30" i="103"/>
  <c r="C31" i="103" s="1"/>
  <c r="AI27" i="103"/>
  <c r="AL27" i="103"/>
  <c r="B172" i="103"/>
  <c r="B173" i="103"/>
  <c r="E174" i="103"/>
  <c r="K172" i="103"/>
  <c r="Q172" i="103" s="1"/>
  <c r="K173" i="103"/>
  <c r="Q173" i="103" s="1"/>
  <c r="F6" i="103" l="1"/>
  <c r="G6" i="103" s="1"/>
  <c r="D7" i="103"/>
  <c r="D8" i="103" s="1"/>
  <c r="AI22" i="103"/>
  <c r="AH22" i="103" s="1"/>
  <c r="C5" i="103"/>
  <c r="K174" i="103"/>
  <c r="Q174" i="103" s="1"/>
  <c r="E175" i="103"/>
  <c r="B174" i="103"/>
  <c r="AI45" i="103"/>
  <c r="AH45" i="103" s="1"/>
  <c r="C28" i="103"/>
  <c r="F7" i="103" l="1"/>
  <c r="F8" i="103" s="1"/>
  <c r="H6" i="103"/>
  <c r="G7" i="103"/>
  <c r="G8" i="103" s="1"/>
  <c r="K175" i="103"/>
  <c r="Q175" i="103" s="1"/>
  <c r="E176" i="103"/>
  <c r="B175" i="103"/>
  <c r="D29" i="103"/>
  <c r="K176" i="103" l="1"/>
  <c r="Q176" i="103" s="1"/>
  <c r="E177" i="103"/>
  <c r="B176" i="103"/>
  <c r="D30" i="103"/>
  <c r="D31" i="103" s="1"/>
  <c r="D28" i="103" s="1"/>
  <c r="E29" i="103" s="1"/>
  <c r="H7" i="103"/>
  <c r="H8" i="103" s="1"/>
  <c r="I6" i="103"/>
  <c r="E30" i="103" l="1"/>
  <c r="E31" i="103" s="1"/>
  <c r="E28" i="103" s="1"/>
  <c r="F29" i="103" s="1"/>
  <c r="K177" i="103"/>
  <c r="Q177" i="103" s="1"/>
  <c r="P178" i="103" s="1"/>
  <c r="B177" i="103"/>
  <c r="J6" i="103"/>
  <c r="I7" i="103"/>
  <c r="I8" i="103" s="1"/>
  <c r="F30" i="103" l="1"/>
  <c r="F31" i="103" s="1"/>
  <c r="F28" i="103" s="1"/>
  <c r="G29" i="103" s="1"/>
  <c r="K6" i="103"/>
  <c r="J7" i="103"/>
  <c r="J8" i="103" s="1"/>
  <c r="G30" i="103" l="1"/>
  <c r="G31" i="103" s="1"/>
  <c r="G28" i="103" s="1"/>
  <c r="H29" i="103" s="1"/>
  <c r="L6" i="103"/>
  <c r="K7" i="103"/>
  <c r="K8" i="103" s="1"/>
  <c r="H30" i="103" l="1"/>
  <c r="H31" i="103" s="1"/>
  <c r="H28" i="103" s="1"/>
  <c r="I29" i="103" s="1"/>
  <c r="M6" i="103"/>
  <c r="L7" i="103"/>
  <c r="L8" i="103" s="1"/>
  <c r="I30" i="103" l="1"/>
  <c r="I31" i="103" s="1"/>
  <c r="I28" i="103" s="1"/>
  <c r="J29" i="103" s="1"/>
  <c r="M7" i="103"/>
  <c r="M8" i="103" s="1"/>
  <c r="N6" i="103"/>
  <c r="J30" i="103" l="1"/>
  <c r="J31" i="103" s="1"/>
  <c r="J28" i="103" s="1"/>
  <c r="K29" i="103" s="1"/>
  <c r="O6" i="103"/>
  <c r="N7" i="103"/>
  <c r="N8" i="103" s="1"/>
  <c r="K30" i="103" l="1"/>
  <c r="K31" i="103" s="1"/>
  <c r="K28" i="103" s="1"/>
  <c r="L29" i="103" s="1"/>
  <c r="P6" i="103"/>
  <c r="O7" i="103"/>
  <c r="O8" i="103" s="1"/>
  <c r="L30" i="103" l="1"/>
  <c r="L31" i="103" s="1"/>
  <c r="L28" i="103" s="1"/>
  <c r="M29" i="103" s="1"/>
  <c r="P7" i="103"/>
  <c r="P8" i="103" s="1"/>
  <c r="Q6" i="103"/>
  <c r="M30" i="103" l="1"/>
  <c r="M31" i="103" s="1"/>
  <c r="M28" i="103" s="1"/>
  <c r="N29" i="103" s="1"/>
  <c r="Q7" i="103"/>
  <c r="Q8" i="103" s="1"/>
  <c r="R6" i="103"/>
  <c r="N30" i="103" l="1"/>
  <c r="N31" i="103" s="1"/>
  <c r="N28" i="103" s="1"/>
  <c r="O29" i="103" s="1"/>
  <c r="S6" i="103"/>
  <c r="R7" i="103"/>
  <c r="R8" i="103" s="1"/>
  <c r="O30" i="103" l="1"/>
  <c r="O31" i="103" s="1"/>
  <c r="O28" i="103" s="1"/>
  <c r="P29" i="103" s="1"/>
  <c r="T6" i="103"/>
  <c r="S7" i="103"/>
  <c r="S8" i="103" s="1"/>
  <c r="P30" i="103" l="1"/>
  <c r="P31" i="103" s="1"/>
  <c r="P28" i="103" s="1"/>
  <c r="Q29" i="103" s="1"/>
  <c r="U6" i="103"/>
  <c r="T7" i="103"/>
  <c r="T8" i="103" s="1"/>
  <c r="Q30" i="103" l="1"/>
  <c r="Q31" i="103" s="1"/>
  <c r="U7" i="103"/>
  <c r="U8" i="103" s="1"/>
  <c r="V6" i="103"/>
  <c r="W6" i="103" l="1"/>
  <c r="V7" i="103"/>
  <c r="V8" i="103" s="1"/>
  <c r="V5" i="103" s="1"/>
  <c r="Q28" i="103"/>
  <c r="R29" i="103" s="1"/>
  <c r="R30" i="103" l="1"/>
  <c r="R31" i="103" s="1"/>
  <c r="R28" i="103" s="1"/>
  <c r="S29" i="103" s="1"/>
  <c r="X6" i="103"/>
  <c r="W7" i="103"/>
  <c r="W8" i="103" s="1"/>
  <c r="W5" i="103" s="1"/>
  <c r="S30" i="103" l="1"/>
  <c r="S31" i="103" s="1"/>
  <c r="S28" i="103" s="1"/>
  <c r="T29" i="103" s="1"/>
  <c r="X7" i="103"/>
  <c r="X8" i="103" s="1"/>
  <c r="X5" i="103" s="1"/>
  <c r="Y6" i="103"/>
  <c r="T30" i="103" l="1"/>
  <c r="T31" i="103" s="1"/>
  <c r="T28" i="103" s="1"/>
  <c r="U29" i="103" s="1"/>
  <c r="Z6" i="103"/>
  <c r="Y7" i="103"/>
  <c r="Y8" i="103" s="1"/>
  <c r="Y5" i="103" s="1"/>
  <c r="U30" i="103" l="1"/>
  <c r="U31" i="103" s="1"/>
  <c r="U28" i="103" s="1"/>
  <c r="V29" i="103" s="1"/>
  <c r="AA6" i="103"/>
  <c r="Z7" i="103"/>
  <c r="Z8" i="103" s="1"/>
  <c r="Z5" i="103" s="1"/>
  <c r="V30" i="103" l="1"/>
  <c r="V31" i="103" s="1"/>
  <c r="V28" i="103" s="1"/>
  <c r="W29" i="103" s="1"/>
  <c r="AB6" i="103"/>
  <c r="AA7" i="103"/>
  <c r="AA8" i="103" s="1"/>
  <c r="AA5" i="103" s="1"/>
  <c r="W30" i="103" l="1"/>
  <c r="W31" i="103" s="1"/>
  <c r="W28" i="103" s="1"/>
  <c r="X29" i="103" s="1"/>
  <c r="AC6" i="103"/>
  <c r="AB7" i="103"/>
  <c r="AB8" i="103" s="1"/>
  <c r="AB5" i="103" s="1"/>
  <c r="X30" i="103" l="1"/>
  <c r="X31" i="103" s="1"/>
  <c r="X28" i="103" s="1"/>
  <c r="Y29" i="103" s="1"/>
  <c r="AC7" i="103"/>
  <c r="AC8" i="103" s="1"/>
  <c r="AC5" i="103" s="1"/>
  <c r="AD6" i="103"/>
  <c r="Y30" i="103" l="1"/>
  <c r="Y31" i="103" s="1"/>
  <c r="Y28" i="103" s="1"/>
  <c r="Z29" i="103" s="1"/>
  <c r="AE6" i="103"/>
  <c r="AD7" i="103"/>
  <c r="AD8" i="103" s="1"/>
  <c r="AD5" i="103" s="1"/>
  <c r="Z30" i="103" l="1"/>
  <c r="Z31" i="103" s="1"/>
  <c r="Z28" i="103" s="1"/>
  <c r="AA29" i="103" s="1"/>
  <c r="AF6" i="103"/>
  <c r="AE7" i="103"/>
  <c r="AE8" i="103" s="1"/>
  <c r="AE5" i="103" s="1"/>
  <c r="AA30" i="103" l="1"/>
  <c r="AA31" i="103" s="1"/>
  <c r="AA28" i="103" s="1"/>
  <c r="AB29" i="103" s="1"/>
  <c r="AF7" i="103"/>
  <c r="AF8" i="103" s="1"/>
  <c r="AF5" i="103" s="1"/>
  <c r="AG6" i="103"/>
  <c r="AG7" i="103" s="1"/>
  <c r="AG8" i="103" s="1"/>
  <c r="AG5" i="103" s="1"/>
  <c r="AB30" i="103" l="1"/>
  <c r="AB31" i="103" s="1"/>
  <c r="AB28" i="103" s="1"/>
  <c r="AC29" i="103" s="1"/>
  <c r="AC30" i="103" l="1"/>
  <c r="AC31" i="103" s="1"/>
  <c r="AC28" i="103" s="1"/>
  <c r="AD29" i="103" s="1"/>
  <c r="AD30" i="103" l="1"/>
  <c r="AD31" i="103" s="1"/>
  <c r="AD28" i="103" s="1"/>
  <c r="AE29" i="103" s="1"/>
  <c r="AE30" i="103" l="1"/>
  <c r="AE31" i="103" s="1"/>
  <c r="AE28" i="103" s="1"/>
  <c r="AF29" i="103" s="1"/>
  <c r="AF30" i="103" l="1"/>
  <c r="AF31" i="103" s="1"/>
  <c r="AF28" i="103" l="1"/>
  <c r="AG29" i="103" s="1"/>
  <c r="AG30" i="103" s="1"/>
  <c r="AG31" i="103" s="1"/>
  <c r="AG32" i="103" l="1"/>
  <c r="AG28" i="103"/>
  <c r="C51" i="103" s="1"/>
  <c r="C52" i="103" l="1"/>
  <c r="C53" i="103" s="1"/>
  <c r="AI71" i="103"/>
  <c r="AL71" i="103"/>
  <c r="A54" i="103"/>
  <c r="AI67" i="103" l="1"/>
  <c r="AH67" i="103" s="1"/>
  <c r="C50" i="103"/>
  <c r="D51" i="103" l="1"/>
  <c r="D52" i="103" l="1"/>
  <c r="D53" i="103" s="1"/>
  <c r="D50" i="103" s="1"/>
  <c r="E51" i="103" l="1"/>
  <c r="E52" i="103" l="1"/>
  <c r="E53" i="103" s="1"/>
  <c r="E50" i="103" s="1"/>
  <c r="F51" i="103" s="1"/>
  <c r="F52" i="103" l="1"/>
  <c r="F53" i="103" s="1"/>
  <c r="F50" i="103" s="1"/>
  <c r="G51" i="103" s="1"/>
  <c r="G52" i="103" l="1"/>
  <c r="G53" i="103" s="1"/>
  <c r="G50" i="103" s="1"/>
  <c r="H51" i="103" s="1"/>
  <c r="H52" i="103" l="1"/>
  <c r="H53" i="103" s="1"/>
  <c r="H50" i="103" s="1"/>
  <c r="I51" i="103" s="1"/>
  <c r="I52" i="103" l="1"/>
  <c r="I53" i="103" s="1"/>
  <c r="I50" i="103" s="1"/>
  <c r="J51" i="103" s="1"/>
  <c r="J52" i="103" l="1"/>
  <c r="J53" i="103" s="1"/>
  <c r="J50" i="103" s="1"/>
  <c r="K51" i="103" s="1"/>
  <c r="K52" i="103" l="1"/>
  <c r="K53" i="103" s="1"/>
  <c r="K50" i="103" s="1"/>
  <c r="L51" i="103" s="1"/>
  <c r="L52" i="103" l="1"/>
  <c r="L53" i="103" s="1"/>
  <c r="L50" i="103" s="1"/>
  <c r="M51" i="103" s="1"/>
  <c r="M52" i="103" l="1"/>
  <c r="M53" i="103" s="1"/>
  <c r="M50" i="103" s="1"/>
  <c r="N51" i="103" s="1"/>
  <c r="N52" i="103" l="1"/>
  <c r="N53" i="103" s="1"/>
  <c r="N50" i="103" s="1"/>
  <c r="O51" i="103" s="1"/>
  <c r="O52" i="103" l="1"/>
  <c r="O53" i="103" s="1"/>
  <c r="O50" i="103" s="1"/>
  <c r="P51" i="103" s="1"/>
  <c r="P52" i="103" l="1"/>
  <c r="P53" i="103" s="1"/>
  <c r="P50" i="103" s="1"/>
  <c r="Q51" i="103" s="1"/>
  <c r="Q52" i="103" l="1"/>
  <c r="Q53" i="103" s="1"/>
  <c r="Q50" i="103" s="1"/>
  <c r="R51" i="103" s="1"/>
  <c r="R52" i="103" l="1"/>
  <c r="R53" i="103" s="1"/>
  <c r="R50" i="103" s="1"/>
  <c r="S51" i="103" s="1"/>
  <c r="S52" i="103" l="1"/>
  <c r="S53" i="103" s="1"/>
  <c r="S50" i="103" s="1"/>
  <c r="T51" i="103" s="1"/>
  <c r="T52" i="103" l="1"/>
  <c r="T53" i="103" s="1"/>
  <c r="T50" i="103" l="1"/>
  <c r="U51" i="103" s="1"/>
  <c r="U52" i="103" l="1"/>
  <c r="U53" i="103" s="1"/>
  <c r="U50" i="103" s="1"/>
  <c r="V51" i="103" s="1"/>
  <c r="V52" i="103" l="1"/>
  <c r="V53" i="103" s="1"/>
  <c r="V50" i="103" s="1"/>
  <c r="W51" i="103" s="1"/>
  <c r="W52" i="103" l="1"/>
  <c r="W53" i="103" s="1"/>
  <c r="W50" i="103" s="1"/>
  <c r="X51" i="103" s="1"/>
  <c r="X52" i="103" l="1"/>
  <c r="X53" i="103" s="1"/>
  <c r="X50" i="103" s="1"/>
  <c r="Y51" i="103" s="1"/>
  <c r="Y52" i="103" l="1"/>
  <c r="Y53" i="103" s="1"/>
  <c r="Y50" i="103" s="1"/>
  <c r="Z51" i="103" s="1"/>
  <c r="Z52" i="103" l="1"/>
  <c r="Z53" i="103" s="1"/>
  <c r="Z50" i="103" s="1"/>
  <c r="AA51" i="103" s="1"/>
  <c r="AA52" i="103" l="1"/>
  <c r="AA53" i="103" s="1"/>
  <c r="AA50" i="103" s="1"/>
  <c r="AB51" i="103" s="1"/>
  <c r="AB52" i="103" l="1"/>
  <c r="AB53" i="103" s="1"/>
  <c r="AB50" i="103" s="1"/>
  <c r="AC51" i="103" s="1"/>
  <c r="AC52" i="103" l="1"/>
  <c r="AC53" i="103" s="1"/>
  <c r="AC50" i="103" s="1"/>
  <c r="AD51" i="103" s="1"/>
  <c r="AD52" i="103" l="1"/>
  <c r="AD53" i="103" s="1"/>
  <c r="AD50" i="103" s="1"/>
  <c r="AE51" i="103" s="1"/>
  <c r="AE52" i="103" l="1"/>
  <c r="AE53" i="103" s="1"/>
  <c r="AE50" i="103" l="1"/>
  <c r="AF51" i="103" s="1"/>
  <c r="AF52" i="103" l="1"/>
  <c r="AF53" i="103" s="1"/>
  <c r="AF50" i="103" s="1"/>
  <c r="AG51" i="103" s="1"/>
  <c r="AG52" i="103" s="1"/>
  <c r="AG53" i="103" s="1"/>
  <c r="AG50" i="103" s="1"/>
  <c r="C73" i="103" s="1"/>
  <c r="AL93" i="103" l="1"/>
  <c r="AI93" i="103"/>
  <c r="C74" i="103"/>
  <c r="C75" i="103" s="1"/>
  <c r="A76" i="103"/>
  <c r="AI89" i="103" l="1"/>
  <c r="AH89" i="103" s="1"/>
  <c r="C72" i="103"/>
  <c r="D73" i="103" l="1"/>
  <c r="D74" i="103" l="1"/>
  <c r="D75" i="103" s="1"/>
  <c r="D72" i="103" s="1"/>
  <c r="E73" i="103" l="1"/>
  <c r="E74" i="103" l="1"/>
  <c r="E75" i="103" s="1"/>
  <c r="E72" i="103" s="1"/>
  <c r="F73" i="103" s="1"/>
  <c r="F74" i="103" l="1"/>
  <c r="F75" i="103" s="1"/>
  <c r="F72" i="103" s="1"/>
  <c r="G73" i="103" s="1"/>
  <c r="G74" i="103" l="1"/>
  <c r="G75" i="103" s="1"/>
  <c r="G72" i="103" s="1"/>
  <c r="H73" i="103" s="1"/>
  <c r="H74" i="103" l="1"/>
  <c r="H75" i="103" s="1"/>
  <c r="H72" i="103" s="1"/>
  <c r="I73" i="103" s="1"/>
  <c r="I74" i="103" l="1"/>
  <c r="I75" i="103" s="1"/>
  <c r="I72" i="103" s="1"/>
  <c r="J73" i="103" s="1"/>
  <c r="J74" i="103" l="1"/>
  <c r="J75" i="103" s="1"/>
  <c r="J72" i="103" s="1"/>
  <c r="K73" i="103" s="1"/>
  <c r="K74" i="103" l="1"/>
  <c r="K75" i="103" s="1"/>
  <c r="K72" i="103" s="1"/>
  <c r="L73" i="103" s="1"/>
  <c r="L74" i="103" l="1"/>
  <c r="L75" i="103" s="1"/>
  <c r="L72" i="103" s="1"/>
  <c r="M73" i="103" s="1"/>
  <c r="M74" i="103" l="1"/>
  <c r="M75" i="103" s="1"/>
  <c r="M72" i="103" s="1"/>
  <c r="N73" i="103" s="1"/>
  <c r="N74" i="103" l="1"/>
  <c r="N75" i="103" s="1"/>
  <c r="N72" i="103" s="1"/>
  <c r="O73" i="103" s="1"/>
  <c r="O74" i="103" l="1"/>
  <c r="O75" i="103" s="1"/>
  <c r="O72" i="103" s="1"/>
  <c r="P73" i="103" s="1"/>
  <c r="P74" i="103" l="1"/>
  <c r="P75" i="103" s="1"/>
  <c r="P72" i="103" s="1"/>
  <c r="Q73" i="103" s="1"/>
  <c r="Q74" i="103" l="1"/>
  <c r="Q75" i="103" s="1"/>
  <c r="Q72" i="103" s="1"/>
  <c r="R73" i="103" s="1"/>
  <c r="R74" i="103" l="1"/>
  <c r="R75" i="103" s="1"/>
  <c r="R72" i="103" s="1"/>
  <c r="S73" i="103" s="1"/>
  <c r="S74" i="103" l="1"/>
  <c r="S75" i="103" s="1"/>
  <c r="S72" i="103" s="1"/>
  <c r="T73" i="103" s="1"/>
  <c r="T74" i="103" l="1"/>
  <c r="T75" i="103" s="1"/>
  <c r="T72" i="103" s="1"/>
  <c r="U73" i="103" s="1"/>
  <c r="U74" i="103" l="1"/>
  <c r="U75" i="103" s="1"/>
  <c r="U72" i="103" l="1"/>
  <c r="V73" i="103" s="1"/>
  <c r="V74" i="103" l="1"/>
  <c r="V75" i="103" s="1"/>
  <c r="V72" i="103" l="1"/>
  <c r="W73" i="103" s="1"/>
  <c r="W74" i="103" l="1"/>
  <c r="W75" i="103" s="1"/>
  <c r="W72" i="103" s="1"/>
  <c r="X73" i="103" s="1"/>
  <c r="X74" i="103" l="1"/>
  <c r="X75" i="103" s="1"/>
  <c r="X72" i="103" s="1"/>
  <c r="Y73" i="103" s="1"/>
  <c r="Y74" i="103" l="1"/>
  <c r="Y75" i="103" s="1"/>
  <c r="Y72" i="103" s="1"/>
  <c r="Z73" i="103" s="1"/>
  <c r="Z74" i="103" l="1"/>
  <c r="Z75" i="103" s="1"/>
  <c r="Z72" i="103" s="1"/>
  <c r="AA73" i="103" s="1"/>
  <c r="AA74" i="103" l="1"/>
  <c r="AA75" i="103" s="1"/>
  <c r="AA72" i="103" s="1"/>
  <c r="AB73" i="103" s="1"/>
  <c r="AB74" i="103" l="1"/>
  <c r="AB75" i="103" s="1"/>
  <c r="AB72" i="103" l="1"/>
  <c r="AC73" i="103" s="1"/>
  <c r="AC74" i="103" l="1"/>
  <c r="AC75" i="103" s="1"/>
  <c r="AC72" i="103" s="1"/>
  <c r="AD73" i="103" s="1"/>
  <c r="AD74" i="103" l="1"/>
  <c r="AD75" i="103" s="1"/>
  <c r="AD72" i="103" l="1"/>
  <c r="AE73" i="103" s="1"/>
  <c r="AE74" i="103" l="1"/>
  <c r="AE75" i="103" s="1"/>
  <c r="AE72" i="103" s="1"/>
  <c r="AF73" i="103" s="1"/>
  <c r="AF74" i="103" l="1"/>
  <c r="AF75" i="103" s="1"/>
  <c r="AF72" i="103" s="1"/>
  <c r="AG73" i="103" s="1"/>
  <c r="AG74" i="103" s="1"/>
  <c r="AG75" i="103" s="1"/>
  <c r="AG72" i="103" s="1"/>
  <c r="C95" i="103" s="1"/>
  <c r="AL114" i="103" l="1"/>
  <c r="C96" i="103"/>
  <c r="C97" i="103" s="1"/>
  <c r="AI114" i="103"/>
  <c r="A98" i="103"/>
  <c r="AI110" i="103" l="1"/>
  <c r="AH110" i="103" s="1"/>
  <c r="C94" i="103"/>
  <c r="D95" i="103" l="1"/>
  <c r="D96" i="103" l="1"/>
  <c r="D97" i="103" s="1"/>
  <c r="D94" i="103" l="1"/>
  <c r="E95" i="103" l="1"/>
  <c r="E96" i="103" l="1"/>
  <c r="E97" i="103" s="1"/>
  <c r="E94" i="103" l="1"/>
  <c r="F95" i="103" l="1"/>
  <c r="F96" i="103" l="1"/>
  <c r="F97" i="103" s="1"/>
  <c r="F94" i="103" s="1"/>
  <c r="G95" i="103" l="1"/>
  <c r="G96" i="103" l="1"/>
  <c r="G97" i="103" s="1"/>
  <c r="G94" i="103" s="1"/>
  <c r="H95" i="103" s="1"/>
  <c r="H96" i="103" l="1"/>
  <c r="H97" i="103" s="1"/>
  <c r="H94" i="103" s="1"/>
  <c r="I95" i="103" s="1"/>
  <c r="I96" i="103" l="1"/>
  <c r="I97" i="103" s="1"/>
  <c r="I94" i="103" s="1"/>
  <c r="J95" i="103" s="1"/>
  <c r="J96" i="103" l="1"/>
  <c r="J97" i="103" s="1"/>
  <c r="J94" i="103" s="1"/>
  <c r="K95" i="103" s="1"/>
  <c r="K96" i="103" l="1"/>
  <c r="K97" i="103" s="1"/>
  <c r="K94" i="103" s="1"/>
  <c r="L95" i="103" s="1"/>
  <c r="L96" i="103" l="1"/>
  <c r="L97" i="103" s="1"/>
  <c r="L94" i="103" s="1"/>
  <c r="M95" i="103" s="1"/>
  <c r="M96" i="103" l="1"/>
  <c r="M97" i="103" s="1"/>
  <c r="M94" i="103" s="1"/>
  <c r="N95" i="103" s="1"/>
  <c r="N96" i="103" l="1"/>
  <c r="N97" i="103" s="1"/>
  <c r="N94" i="103" l="1"/>
  <c r="O95" i="103" s="1"/>
  <c r="O96" i="103" l="1"/>
  <c r="O97" i="103" s="1"/>
  <c r="O94" i="103" s="1"/>
  <c r="P95" i="103" s="1"/>
  <c r="P96" i="103" l="1"/>
  <c r="P97" i="103" s="1"/>
  <c r="P94" i="103" s="1"/>
  <c r="Q95" i="103" s="1"/>
  <c r="Q96" i="103" l="1"/>
  <c r="Q97" i="103" s="1"/>
  <c r="Q94" i="103" s="1"/>
  <c r="R95" i="103" s="1"/>
  <c r="R96" i="103" l="1"/>
  <c r="R97" i="103" s="1"/>
  <c r="R94" i="103" s="1"/>
  <c r="S95" i="103" s="1"/>
  <c r="S96" i="103" l="1"/>
  <c r="S97" i="103" s="1"/>
  <c r="S94" i="103" s="1"/>
  <c r="T95" i="103" s="1"/>
  <c r="T96" i="103" l="1"/>
  <c r="T97" i="103" s="1"/>
  <c r="T94" i="103" s="1"/>
  <c r="U95" i="103" s="1"/>
  <c r="U96" i="103" l="1"/>
  <c r="U97" i="103" s="1"/>
  <c r="U94" i="103" s="1"/>
  <c r="V95" i="103" s="1"/>
  <c r="V96" i="103" l="1"/>
  <c r="V97" i="103" s="1"/>
  <c r="V94" i="103" s="1"/>
  <c r="W95" i="103" s="1"/>
  <c r="W96" i="103" l="1"/>
  <c r="W97" i="103" s="1"/>
  <c r="W94" i="103" s="1"/>
  <c r="X95" i="103" s="1"/>
  <c r="X96" i="103" l="1"/>
  <c r="X97" i="103" s="1"/>
  <c r="X94" i="103" s="1"/>
  <c r="Y95" i="103" s="1"/>
  <c r="Y96" i="103" l="1"/>
  <c r="Y97" i="103" s="1"/>
  <c r="Y94" i="103" s="1"/>
  <c r="Z95" i="103" s="1"/>
  <c r="Z96" i="103" l="1"/>
  <c r="Z97" i="103" s="1"/>
  <c r="Z94" i="103" s="1"/>
  <c r="AA95" i="103" s="1"/>
  <c r="AA96" i="103" l="1"/>
  <c r="AA97" i="103" s="1"/>
  <c r="AA94" i="103" s="1"/>
  <c r="AB95" i="103" s="1"/>
  <c r="AB96" i="103" l="1"/>
  <c r="AB97" i="103" s="1"/>
  <c r="AB94" i="103" s="1"/>
  <c r="AC95" i="103" s="1"/>
  <c r="AC96" i="103" l="1"/>
  <c r="AC97" i="103" s="1"/>
  <c r="AC94" i="103" s="1"/>
  <c r="AD95" i="103" s="1"/>
  <c r="AD96" i="103" l="1"/>
  <c r="AD97" i="103" s="1"/>
  <c r="AD94" i="103" s="1"/>
  <c r="AE95" i="103" s="1"/>
  <c r="AE96" i="103" l="1"/>
  <c r="AE97" i="103" s="1"/>
  <c r="AE94" i="103" s="1"/>
  <c r="AF95" i="103" s="1"/>
  <c r="AF96" i="103" l="1"/>
  <c r="AF97" i="103" s="1"/>
  <c r="AF94" i="103" s="1"/>
  <c r="AG95" i="103" s="1"/>
  <c r="AG96" i="103" s="1"/>
  <c r="AG97" i="103" s="1"/>
  <c r="AG94" i="103" s="1"/>
  <c r="C116" i="103" s="1"/>
  <c r="AL135" i="103" l="1"/>
  <c r="AI135" i="103"/>
  <c r="C117" i="103"/>
  <c r="C118" i="103" s="1"/>
  <c r="A119" i="103"/>
  <c r="C115" i="103" l="1"/>
  <c r="D116" i="103" s="1"/>
  <c r="AI131" i="103"/>
  <c r="AH131" i="103" s="1"/>
  <c r="D117" i="103" l="1"/>
  <c r="D118" i="103" s="1"/>
  <c r="D115" i="103" l="1"/>
  <c r="E116" i="103" s="1"/>
  <c r="E117" i="103" l="1"/>
  <c r="E118" i="103" s="1"/>
  <c r="E115" i="103" s="1"/>
  <c r="F116" i="103" s="1"/>
  <c r="F117" i="103" l="1"/>
  <c r="F118" i="103" s="1"/>
  <c r="F115" i="103" s="1"/>
  <c r="G116" i="103" s="1"/>
  <c r="G117" i="103" l="1"/>
  <c r="G118" i="103" s="1"/>
  <c r="G115" i="103" s="1"/>
  <c r="H116" i="103" s="1"/>
  <c r="H117" i="103" l="1"/>
  <c r="H118" i="103" s="1"/>
  <c r="H115" i="103" s="1"/>
  <c r="I116" i="103" s="1"/>
  <c r="I117" i="103" l="1"/>
  <c r="I118" i="103" s="1"/>
  <c r="I115" i="103" s="1"/>
  <c r="J116" i="103" s="1"/>
  <c r="J117" i="103" l="1"/>
  <c r="J118" i="103" s="1"/>
  <c r="J115" i="103" s="1"/>
  <c r="K116" i="103" s="1"/>
  <c r="K117" i="103" l="1"/>
  <c r="K118" i="103" s="1"/>
  <c r="K115" i="103" s="1"/>
  <c r="L116" i="103" s="1"/>
  <c r="L117" i="103" l="1"/>
  <c r="L118" i="103" s="1"/>
  <c r="L115" i="103" s="1"/>
  <c r="M116" i="103" s="1"/>
  <c r="M117" i="103" l="1"/>
  <c r="M118" i="103" s="1"/>
  <c r="M115" i="103" s="1"/>
  <c r="N116" i="103" s="1"/>
  <c r="N117" i="103" l="1"/>
  <c r="N118" i="103" s="1"/>
  <c r="N115" i="103" s="1"/>
  <c r="O116" i="103" s="1"/>
  <c r="O117" i="103" l="1"/>
  <c r="O118" i="103" s="1"/>
  <c r="O115" i="103" s="1"/>
  <c r="P116" i="103" s="1"/>
  <c r="P117" i="103" l="1"/>
  <c r="P118" i="103" s="1"/>
  <c r="P115" i="103" s="1"/>
  <c r="Q116" i="103" s="1"/>
  <c r="Q117" i="103" l="1"/>
  <c r="Q118" i="103" s="1"/>
  <c r="Q115" i="103" s="1"/>
  <c r="R116" i="103" s="1"/>
  <c r="R117" i="103" l="1"/>
  <c r="R118" i="103" s="1"/>
  <c r="R115" i="103" s="1"/>
  <c r="S116" i="103" s="1"/>
  <c r="S117" i="103" l="1"/>
  <c r="S118" i="103" s="1"/>
  <c r="S115" i="103" s="1"/>
  <c r="T116" i="103" s="1"/>
  <c r="T117" i="103" l="1"/>
  <c r="T118" i="103" s="1"/>
  <c r="T115" i="103" l="1"/>
  <c r="U116" i="103" s="1"/>
  <c r="U117" i="103" l="1"/>
  <c r="U118" i="103" s="1"/>
  <c r="U115" i="103" s="1"/>
  <c r="V116" i="103" s="1"/>
  <c r="V117" i="103" l="1"/>
  <c r="V118" i="103" s="1"/>
  <c r="V115" i="103" s="1"/>
  <c r="W116" i="103" s="1"/>
  <c r="W117" i="103" l="1"/>
  <c r="W118" i="103" s="1"/>
  <c r="W115" i="103" s="1"/>
  <c r="X116" i="103" s="1"/>
  <c r="X117" i="103" l="1"/>
  <c r="X118" i="103" s="1"/>
  <c r="X115" i="103" s="1"/>
  <c r="Y116" i="103" s="1"/>
  <c r="Y117" i="103" l="1"/>
  <c r="Y118" i="103" s="1"/>
  <c r="Y115" i="103" s="1"/>
  <c r="Z116" i="103" s="1"/>
  <c r="Z117" i="103" l="1"/>
  <c r="Z118" i="103" s="1"/>
  <c r="Z115" i="103" s="1"/>
  <c r="AA116" i="103" s="1"/>
  <c r="AA117" i="103" l="1"/>
  <c r="AA118" i="103" s="1"/>
  <c r="AA115" i="103" s="1"/>
  <c r="AB116" i="103" s="1"/>
  <c r="AB117" i="103" l="1"/>
  <c r="AB118" i="103" s="1"/>
  <c r="AB115" i="103" s="1"/>
  <c r="AC116" i="103" s="1"/>
  <c r="AC117" i="103" l="1"/>
  <c r="AC118" i="103" s="1"/>
  <c r="AC115" i="103" s="1"/>
  <c r="AD116" i="103" s="1"/>
  <c r="AD117" i="103" l="1"/>
  <c r="AD118" i="103" s="1"/>
  <c r="AD115" i="103" s="1"/>
  <c r="AE116" i="103" s="1"/>
  <c r="AE117" i="103" l="1"/>
  <c r="AE118" i="103" s="1"/>
  <c r="AE115" i="103" l="1"/>
  <c r="AF116" i="103" s="1"/>
  <c r="AF117" i="103" l="1"/>
  <c r="AF118" i="103" s="1"/>
  <c r="AF115" i="103" l="1"/>
  <c r="AG116" i="103" s="1"/>
  <c r="AG117" i="103" s="1"/>
  <c r="AG118" i="103" s="1"/>
  <c r="AG115" i="103" s="1"/>
  <c r="AR55" i="1" l="1"/>
  <c r="AR56" i="1"/>
  <c r="AR57" i="1"/>
  <c r="AR58" i="1"/>
  <c r="AR59" i="1"/>
  <c r="AR60" i="1"/>
  <c r="AR61" i="1"/>
  <c r="AR62" i="1"/>
  <c r="AR63" i="1"/>
  <c r="AR64" i="1"/>
  <c r="AR65" i="1"/>
  <c r="AE43" i="1"/>
  <c r="AF43" i="1"/>
  <c r="AG43" i="1"/>
  <c r="AE44" i="1"/>
  <c r="AF44" i="1"/>
  <c r="AG44" i="1"/>
  <c r="AE45" i="1"/>
  <c r="AF45" i="1"/>
  <c r="AG45" i="1"/>
  <c r="AE46" i="1"/>
  <c r="AF46" i="1"/>
  <c r="AG46" i="1"/>
  <c r="AE47" i="1"/>
  <c r="AF47" i="1"/>
  <c r="AG47" i="1"/>
  <c r="AE48" i="1"/>
  <c r="AF48" i="1"/>
  <c r="AG48" i="1"/>
  <c r="AE49" i="1"/>
  <c r="AF49" i="1"/>
  <c r="AG49" i="1"/>
  <c r="AE50" i="1"/>
  <c r="AF50" i="1"/>
  <c r="AG50" i="1"/>
  <c r="AE51" i="1"/>
  <c r="AF51" i="1"/>
  <c r="AG51" i="1"/>
  <c r="AE52" i="1"/>
  <c r="AF52" i="1"/>
  <c r="AG52" i="1"/>
  <c r="AE53" i="1"/>
  <c r="AF53" i="1"/>
  <c r="AG53" i="1"/>
  <c r="AE55" i="1"/>
  <c r="AF55" i="1"/>
  <c r="AG55" i="1"/>
  <c r="AI55" i="1"/>
  <c r="AJ55" i="1"/>
  <c r="AK55" i="1"/>
  <c r="AM55" i="1"/>
  <c r="AP55" i="1"/>
  <c r="AQ55" i="1"/>
  <c r="AE56" i="1"/>
  <c r="AF56" i="1"/>
  <c r="AG56" i="1"/>
  <c r="AI56" i="1"/>
  <c r="AJ56" i="1"/>
  <c r="AK56" i="1"/>
  <c r="AM56" i="1"/>
  <c r="AP56" i="1"/>
  <c r="AQ56" i="1"/>
  <c r="AE57" i="1"/>
  <c r="AF57" i="1"/>
  <c r="AG57" i="1"/>
  <c r="AI57" i="1"/>
  <c r="AJ57" i="1"/>
  <c r="AK57" i="1"/>
  <c r="AM57" i="1"/>
  <c r="AP57" i="1"/>
  <c r="AQ57" i="1"/>
  <c r="AE58" i="1"/>
  <c r="AF58" i="1"/>
  <c r="AG58" i="1"/>
  <c r="AI58" i="1"/>
  <c r="AJ58" i="1"/>
  <c r="AK58" i="1"/>
  <c r="AM58" i="1"/>
  <c r="AP58" i="1"/>
  <c r="AQ58" i="1"/>
  <c r="AE59" i="1"/>
  <c r="AF59" i="1"/>
  <c r="AG59" i="1"/>
  <c r="AI59" i="1"/>
  <c r="AJ59" i="1"/>
  <c r="AK59" i="1"/>
  <c r="AM59" i="1"/>
  <c r="AP59" i="1"/>
  <c r="AQ59" i="1"/>
  <c r="AE60" i="1"/>
  <c r="AF60" i="1"/>
  <c r="AG60" i="1"/>
  <c r="AI60" i="1"/>
  <c r="AJ60" i="1"/>
  <c r="AK60" i="1"/>
  <c r="AM60" i="1"/>
  <c r="AP60" i="1"/>
  <c r="AQ60" i="1"/>
  <c r="AE61" i="1"/>
  <c r="AF61" i="1"/>
  <c r="AG61" i="1"/>
  <c r="AI61" i="1"/>
  <c r="AJ61" i="1"/>
  <c r="AK61" i="1"/>
  <c r="AM61" i="1"/>
  <c r="AP61" i="1"/>
  <c r="AQ61" i="1"/>
  <c r="AE62" i="1"/>
  <c r="AF62" i="1"/>
  <c r="AG62" i="1"/>
  <c r="AI62" i="1"/>
  <c r="AJ62" i="1"/>
  <c r="AK62" i="1"/>
  <c r="AM62" i="1"/>
  <c r="AP62" i="1"/>
  <c r="AQ62" i="1"/>
  <c r="AE63" i="1"/>
  <c r="AF63" i="1"/>
  <c r="AG63" i="1"/>
  <c r="AI63" i="1"/>
  <c r="AJ63" i="1"/>
  <c r="AK63" i="1"/>
  <c r="AM63" i="1"/>
  <c r="AP63" i="1"/>
  <c r="AQ63" i="1"/>
  <c r="AE64" i="1"/>
  <c r="AF64" i="1"/>
  <c r="AG64" i="1"/>
  <c r="AI64" i="1"/>
  <c r="AJ64" i="1"/>
  <c r="AK64" i="1"/>
  <c r="AM64" i="1"/>
  <c r="AP64" i="1"/>
  <c r="AQ64" i="1"/>
  <c r="AE65" i="1"/>
  <c r="AF65" i="1"/>
  <c r="AG65" i="1"/>
  <c r="AI65" i="1"/>
  <c r="AJ65" i="1"/>
  <c r="AK65" i="1"/>
  <c r="AM65" i="1"/>
  <c r="AP65" i="1"/>
  <c r="AQ65" i="1"/>
  <c r="AG17" i="1" l="1"/>
  <c r="AG18" i="1" s="1"/>
  <c r="AR17" i="1"/>
  <c r="AR18" i="1" s="1"/>
  <c r="AI17" i="1"/>
  <c r="AI18" i="1" s="1"/>
  <c r="AF17" i="1"/>
  <c r="AF18" i="1" s="1"/>
  <c r="AK17" i="1"/>
  <c r="AK18" i="1" s="1"/>
  <c r="AQ17" i="1"/>
  <c r="AQ18" i="1" s="1"/>
  <c r="AE17" i="1"/>
  <c r="AE18" i="1" s="1"/>
  <c r="AJ17" i="1"/>
  <c r="AJ18" i="1" s="1"/>
  <c r="AP17" i="1"/>
  <c r="AP18" i="1" s="1"/>
  <c r="AM17" i="1"/>
  <c r="AM18" i="1" s="1"/>
  <c r="AC65" i="1" l="1"/>
  <c r="AC64" i="1"/>
  <c r="AC63" i="1"/>
  <c r="AC62" i="1"/>
  <c r="AC61" i="1"/>
  <c r="AC60" i="1"/>
  <c r="AC59" i="1"/>
  <c r="AC58" i="1"/>
  <c r="AC57" i="1"/>
  <c r="AC56" i="1"/>
  <c r="AC55" i="1"/>
  <c r="U65" i="1"/>
  <c r="U64" i="1"/>
  <c r="U63" i="1"/>
  <c r="U62" i="1"/>
  <c r="U61" i="1"/>
  <c r="U60" i="1"/>
  <c r="U59" i="1"/>
  <c r="U58" i="1"/>
  <c r="U57" i="1"/>
  <c r="U56" i="1"/>
  <c r="U55" i="1"/>
  <c r="U53" i="1"/>
  <c r="U52" i="1"/>
  <c r="U51" i="1"/>
  <c r="U50" i="1"/>
  <c r="U49" i="1"/>
  <c r="U48" i="1"/>
  <c r="U47" i="1"/>
  <c r="U46" i="1"/>
  <c r="U45" i="1"/>
  <c r="U44" i="1"/>
  <c r="U43" i="1"/>
  <c r="AT65" i="1"/>
  <c r="AT64" i="1"/>
  <c r="AT63" i="1"/>
  <c r="AT62" i="1"/>
  <c r="AT61" i="1"/>
  <c r="AT60" i="1"/>
  <c r="AT59" i="1"/>
  <c r="AT58" i="1"/>
  <c r="AT57" i="1"/>
  <c r="AT56" i="1"/>
  <c r="AT55" i="1"/>
  <c r="CN15" i="1"/>
  <c r="CO15" i="1"/>
  <c r="CP15" i="1"/>
  <c r="AT17" i="1" l="1"/>
  <c r="AT18" i="1" s="1"/>
  <c r="C15" i="1" l="1"/>
  <c r="E15" i="1"/>
  <c r="C43" i="1"/>
  <c r="E43" i="1"/>
  <c r="M43" i="1"/>
  <c r="CN43" i="1"/>
  <c r="CO43" i="1"/>
  <c r="CP43" i="1"/>
  <c r="C44" i="1"/>
  <c r="E44" i="1"/>
  <c r="M44" i="1"/>
  <c r="CN44" i="1"/>
  <c r="CO44" i="1"/>
  <c r="CP44" i="1"/>
  <c r="C45" i="1"/>
  <c r="E45" i="1"/>
  <c r="M45" i="1"/>
  <c r="CN45" i="1"/>
  <c r="CO45" i="1"/>
  <c r="CP45" i="1"/>
  <c r="C46" i="1"/>
  <c r="E46" i="1"/>
  <c r="M46" i="1"/>
  <c r="CN46" i="1"/>
  <c r="CO46" i="1"/>
  <c r="CP46" i="1"/>
  <c r="C47" i="1"/>
  <c r="E47" i="1"/>
  <c r="M47" i="1"/>
  <c r="CN47" i="1"/>
  <c r="CO47" i="1"/>
  <c r="CP47" i="1"/>
  <c r="C48" i="1"/>
  <c r="E48" i="1"/>
  <c r="M48" i="1"/>
  <c r="CN48" i="1"/>
  <c r="CO48" i="1"/>
  <c r="CP48" i="1"/>
  <c r="C49" i="1"/>
  <c r="E49" i="1"/>
  <c r="M49" i="1"/>
  <c r="CN49" i="1"/>
  <c r="CO49" i="1"/>
  <c r="CP49" i="1"/>
  <c r="C50" i="1"/>
  <c r="E50" i="1"/>
  <c r="M50" i="1"/>
  <c r="CN50" i="1"/>
  <c r="CO50" i="1"/>
  <c r="CP50" i="1"/>
  <c r="C51" i="1"/>
  <c r="E51" i="1"/>
  <c r="M51" i="1"/>
  <c r="CN51" i="1"/>
  <c r="CO51" i="1"/>
  <c r="CP51" i="1"/>
  <c r="C52" i="1"/>
  <c r="E52" i="1"/>
  <c r="M52" i="1"/>
  <c r="CN52" i="1"/>
  <c r="CO52" i="1"/>
  <c r="CP52" i="1"/>
  <c r="C53" i="1"/>
  <c r="E53" i="1"/>
  <c r="M53" i="1"/>
  <c r="CN53" i="1"/>
  <c r="CO53" i="1"/>
  <c r="CP53" i="1"/>
  <c r="C55" i="1"/>
  <c r="E55" i="1"/>
  <c r="M55" i="1"/>
  <c r="CN55" i="1"/>
  <c r="CO55" i="1"/>
  <c r="CP55" i="1"/>
  <c r="C56" i="1"/>
  <c r="E56" i="1"/>
  <c r="M56" i="1"/>
  <c r="CN56" i="1"/>
  <c r="CO56" i="1"/>
  <c r="CP56" i="1"/>
  <c r="C57" i="1"/>
  <c r="E57" i="1"/>
  <c r="M57" i="1"/>
  <c r="CN57" i="1"/>
  <c r="CO57" i="1"/>
  <c r="CP57" i="1"/>
  <c r="C58" i="1"/>
  <c r="E58" i="1"/>
  <c r="M58" i="1"/>
  <c r="CN58" i="1"/>
  <c r="CO58" i="1"/>
  <c r="CP58" i="1"/>
  <c r="C59" i="1"/>
  <c r="E59" i="1"/>
  <c r="M59" i="1"/>
  <c r="CN59" i="1"/>
  <c r="CO59" i="1"/>
  <c r="CP59" i="1"/>
  <c r="C60" i="1"/>
  <c r="E60" i="1"/>
  <c r="M60" i="1"/>
  <c r="CN60" i="1"/>
  <c r="CO60" i="1"/>
  <c r="CP60" i="1"/>
  <c r="C61" i="1"/>
  <c r="E61" i="1"/>
  <c r="M61" i="1"/>
  <c r="CN61" i="1"/>
  <c r="CO61" i="1"/>
  <c r="CP61" i="1"/>
  <c r="C62" i="1"/>
  <c r="E62" i="1"/>
  <c r="M62" i="1"/>
  <c r="CN62" i="1"/>
  <c r="CO62" i="1"/>
  <c r="CP62" i="1"/>
  <c r="C63" i="1"/>
  <c r="E63" i="1"/>
  <c r="M63" i="1"/>
  <c r="CN63" i="1"/>
  <c r="CO63" i="1"/>
  <c r="CP63" i="1"/>
  <c r="C64" i="1"/>
  <c r="E64" i="1"/>
  <c r="M64" i="1"/>
  <c r="CN64" i="1"/>
  <c r="CO64" i="1"/>
  <c r="CP64" i="1"/>
  <c r="C65" i="1"/>
  <c r="E65" i="1"/>
  <c r="M65" i="1"/>
  <c r="CN65" i="1"/>
  <c r="CO65" i="1"/>
  <c r="CP65" i="1"/>
  <c r="CP17" i="1" l="1"/>
  <c r="CO17" i="1"/>
  <c r="CN17" i="1"/>
  <c r="E17" i="1"/>
  <c r="C17" i="1"/>
  <c r="L4" i="43" l="1"/>
  <c r="H3" i="26" l="1"/>
  <c r="G4" i="26"/>
  <c r="G5" i="26"/>
  <c r="G6" i="26"/>
  <c r="G7" i="26"/>
  <c r="G8" i="26"/>
  <c r="G9" i="26"/>
  <c r="G10" i="26"/>
  <c r="G11" i="26"/>
  <c r="G12" i="26"/>
  <c r="G13" i="26"/>
  <c r="G14" i="26"/>
  <c r="G3" i="26"/>
  <c r="F3" i="26"/>
  <c r="L14" i="43"/>
  <c r="M14" i="43"/>
  <c r="L15" i="43"/>
  <c r="M15" i="43"/>
  <c r="L7" i="43"/>
  <c r="M7" i="43"/>
  <c r="L8" i="43"/>
  <c r="M8" i="43"/>
  <c r="L9" i="43"/>
  <c r="M9" i="43"/>
  <c r="L10" i="43"/>
  <c r="M10" i="43"/>
  <c r="L11" i="43"/>
  <c r="M11" i="43"/>
  <c r="L12" i="43"/>
  <c r="M12" i="43"/>
  <c r="L13" i="43"/>
  <c r="M13" i="43"/>
  <c r="M6" i="43"/>
  <c r="M5" i="43"/>
  <c r="M4" i="43"/>
  <c r="L6" i="43"/>
  <c r="L5" i="43"/>
  <c r="H4" i="26"/>
  <c r="H5" i="26"/>
  <c r="H6" i="26"/>
  <c r="H7" i="26"/>
  <c r="H8" i="26"/>
  <c r="H9" i="26"/>
  <c r="H10" i="26"/>
  <c r="H11" i="26"/>
  <c r="H12" i="26"/>
  <c r="H13" i="26"/>
  <c r="H14" i="26"/>
  <c r="F4" i="26"/>
  <c r="F5" i="26"/>
  <c r="F6" i="26"/>
  <c r="F7" i="26"/>
  <c r="F8" i="26"/>
  <c r="F9" i="26"/>
  <c r="F10" i="26"/>
  <c r="F11" i="26"/>
  <c r="F12" i="26"/>
  <c r="F13" i="26"/>
  <c r="F14" i="26"/>
  <c r="B5" i="43"/>
  <c r="B6" i="43"/>
  <c r="B7" i="43"/>
  <c r="B8" i="43"/>
  <c r="B9" i="43"/>
  <c r="B4" i="43"/>
  <c r="B3" i="1" l="1"/>
  <c r="CH16" i="1" l="1"/>
  <c r="BZ16" i="1"/>
  <c r="BR16" i="1"/>
  <c r="BY16" i="1"/>
  <c r="BQ16" i="1"/>
  <c r="CG16" i="1"/>
  <c r="CF16" i="1"/>
  <c r="BX16" i="1"/>
  <c r="BO16" i="1"/>
  <c r="BW16" i="1"/>
  <c r="BN16" i="1"/>
  <c r="BS16" i="1"/>
  <c r="CE16" i="1"/>
  <c r="CD16" i="1"/>
  <c r="BV16" i="1"/>
  <c r="BM16" i="1"/>
  <c r="BU16" i="1"/>
  <c r="BT16" i="1"/>
  <c r="CC16" i="1"/>
  <c r="CB16" i="1"/>
  <c r="CA16" i="1"/>
  <c r="AS16" i="1"/>
  <c r="BB16" i="1"/>
  <c r="BJ16" i="1"/>
  <c r="BL16" i="1"/>
  <c r="BC16" i="1"/>
  <c r="BK16" i="1"/>
  <c r="BD16" i="1"/>
  <c r="CM16" i="1"/>
  <c r="BE16" i="1"/>
  <c r="BP16" i="1"/>
  <c r="AW16" i="1"/>
  <c r="AX16" i="1"/>
  <c r="BF16" i="1"/>
  <c r="AY16" i="1"/>
  <c r="BG16" i="1"/>
  <c r="AZ16" i="1"/>
  <c r="BH16" i="1"/>
  <c r="BA16" i="1"/>
  <c r="BI16" i="1"/>
  <c r="AN16" i="1"/>
  <c r="AP16" i="1"/>
  <c r="AL16" i="1"/>
  <c r="AM16" i="1"/>
  <c r="AK16" i="1"/>
  <c r="AF16" i="1"/>
  <c r="AH16" i="1"/>
  <c r="AU16" i="1"/>
  <c r="AJ16" i="1"/>
  <c r="AO16" i="1"/>
  <c r="AQ16" i="1"/>
  <c r="AI16" i="1"/>
  <c r="AR16" i="1"/>
  <c r="AG16" i="1"/>
  <c r="AT16" i="1"/>
  <c r="CN16" i="1"/>
  <c r="CN12" i="1" s="1"/>
  <c r="CO16" i="1"/>
  <c r="CO12" i="1" s="1"/>
  <c r="CP13" i="1"/>
  <c r="CP14" i="1" s="1"/>
  <c r="CP18" i="1" s="1"/>
  <c r="CP16" i="1"/>
  <c r="CP12" i="1" s="1"/>
  <c r="CN13" i="1"/>
  <c r="CN14" i="1" s="1"/>
  <c r="CN18" i="1" s="1"/>
  <c r="CO13" i="1"/>
  <c r="CO14" i="1" s="1"/>
  <c r="CO18" i="1" s="1"/>
  <c r="C16" i="1"/>
  <c r="C12" i="1" s="1"/>
  <c r="C13" i="1"/>
  <c r="C14" i="1" s="1"/>
  <c r="C18" i="1" s="1"/>
  <c r="E16" i="1"/>
  <c r="E12" i="1" s="1"/>
  <c r="E13" i="1"/>
  <c r="E14" i="1" s="1"/>
  <c r="E18" i="1" s="1"/>
  <c r="AI111" i="112" l="1"/>
  <c r="AH111" i="112" s="1"/>
  <c r="AI68" i="112"/>
  <c r="AH68" i="112" s="1"/>
  <c r="AI132" i="112"/>
  <c r="AH132" i="112" s="1"/>
  <c r="AI90" i="112"/>
  <c r="AH90" i="112" s="1"/>
  <c r="AI46" i="112" l="1"/>
  <c r="AH46" i="112" s="1"/>
  <c r="AI23" i="112"/>
  <c r="AH23" i="112" s="1"/>
  <c r="AC172" i="112"/>
  <c r="X175" i="112" l="1"/>
  <c r="X177" i="112"/>
  <c r="X173" i="112"/>
  <c r="X172" i="112"/>
  <c r="X176" i="112"/>
  <c r="X174" i="112"/>
  <c r="X178" i="112" l="1"/>
  <c r="I150" i="112" l="1"/>
  <c r="I151" i="112"/>
  <c r="I153" i="112"/>
  <c r="I154" i="112"/>
  <c r="I152" i="112"/>
  <c r="V152" i="112" l="1"/>
  <c r="K152" i="112"/>
  <c r="K154" i="112"/>
  <c r="V154" i="112"/>
  <c r="V153" i="112"/>
  <c r="K153" i="112"/>
  <c r="V151" i="112"/>
  <c r="K151" i="112"/>
  <c r="V150" i="112"/>
  <c r="K150" i="112"/>
  <c r="F54" i="112" l="1"/>
  <c r="H54" i="112"/>
  <c r="G54" i="112"/>
  <c r="N54" i="112"/>
  <c r="U54" i="112"/>
  <c r="X54" i="112"/>
  <c r="AA54" i="112"/>
  <c r="AB54" i="112"/>
  <c r="C98" i="112"/>
  <c r="D98" i="112"/>
  <c r="H98" i="112"/>
  <c r="J98" i="112"/>
  <c r="K98" i="112"/>
  <c r="Q98" i="112"/>
  <c r="R98" i="112"/>
  <c r="X98" i="112"/>
  <c r="Y98" i="112"/>
  <c r="AB98" i="112"/>
  <c r="AE98" i="112"/>
  <c r="AF98" i="112"/>
  <c r="H119" i="112"/>
  <c r="J119" i="112"/>
  <c r="K119" i="112"/>
  <c r="N119" i="112"/>
  <c r="O119" i="112"/>
  <c r="P119" i="112"/>
  <c r="Q119" i="112"/>
  <c r="R119" i="112"/>
  <c r="V119" i="112"/>
  <c r="AB119" i="112"/>
  <c r="AC119" i="112"/>
  <c r="K32" i="112"/>
  <c r="Y32" i="112"/>
  <c r="AD32" i="112"/>
  <c r="N32" i="112"/>
  <c r="O32" i="112"/>
  <c r="E32" i="112"/>
  <c r="I32" i="112"/>
  <c r="X32" i="112"/>
  <c r="L32" i="112"/>
  <c r="AE32" i="112"/>
  <c r="M32" i="112"/>
  <c r="Q32" i="112"/>
  <c r="C32" i="112"/>
  <c r="J32" i="112"/>
  <c r="P32" i="112"/>
  <c r="C76" i="112"/>
  <c r="D76" i="112"/>
  <c r="E76" i="112"/>
  <c r="H76" i="112"/>
  <c r="J76" i="112"/>
  <c r="K76" i="112"/>
  <c r="Q76" i="112"/>
  <c r="R76" i="112"/>
  <c r="X76" i="112"/>
  <c r="Y76" i="112"/>
  <c r="AA76" i="112"/>
  <c r="AD76" i="112"/>
  <c r="AH172" i="112"/>
  <c r="U172" i="112" l="1"/>
  <c r="U173" i="112" l="1"/>
  <c r="AC173" i="112" l="1"/>
  <c r="AH173" i="112" l="1"/>
  <c r="AC174" i="112" l="1"/>
  <c r="U174" i="112"/>
  <c r="AH174" i="112" l="1"/>
  <c r="U175" i="112" l="1"/>
  <c r="AC175" i="112" l="1"/>
  <c r="AH175" i="112" l="1"/>
  <c r="AC184" i="112" l="1"/>
  <c r="U176" i="112" l="1"/>
  <c r="AC176" i="112" l="1"/>
  <c r="AH176" i="112" l="1"/>
  <c r="U177" i="112" l="1"/>
  <c r="T178" i="112" s="1"/>
  <c r="AC177" i="112"/>
  <c r="AC178" i="112" s="1"/>
  <c r="AC186" i="112" s="1"/>
  <c r="AC185" i="112" l="1"/>
  <c r="AK189" i="112"/>
  <c r="AH189" i="112"/>
  <c r="X188" i="112"/>
  <c r="AI178" i="112"/>
  <c r="AH178" i="112" s="1"/>
  <c r="AJ189" i="112"/>
  <c r="AH188" i="112"/>
  <c r="AH177" i="112"/>
  <c r="AK93" i="112"/>
  <c r="AK71" i="112"/>
  <c r="AK27" i="112"/>
  <c r="AK135" i="112"/>
  <c r="AK114" i="112"/>
  <c r="AK49" i="112"/>
  <c r="AI111" i="103" l="1"/>
  <c r="AH111" i="103" s="1"/>
  <c r="AI68" i="103"/>
  <c r="AH68" i="103" s="1"/>
  <c r="AI132" i="103"/>
  <c r="AH132" i="103" s="1"/>
  <c r="AI90" i="103"/>
  <c r="AH90" i="103" s="1"/>
  <c r="AI46" i="103" l="1"/>
  <c r="AH46" i="103" s="1"/>
  <c r="AI23" i="103"/>
  <c r="AH23" i="103" s="1"/>
  <c r="AC172" i="103"/>
  <c r="X175" i="103" l="1"/>
  <c r="X177" i="103"/>
  <c r="X173" i="103"/>
  <c r="X172" i="103"/>
  <c r="X176" i="103"/>
  <c r="X174" i="103"/>
  <c r="X178" i="103" l="1"/>
  <c r="I151" i="103" l="1"/>
  <c r="I153" i="103"/>
  <c r="I154" i="103"/>
  <c r="I150" i="103"/>
  <c r="I152" i="103"/>
  <c r="V152" i="103" l="1"/>
  <c r="K152" i="103"/>
  <c r="V150" i="103"/>
  <c r="K150" i="103"/>
  <c r="K154" i="103"/>
  <c r="V154" i="103"/>
  <c r="K153" i="103"/>
  <c r="V153" i="103"/>
  <c r="V151" i="103"/>
  <c r="K151" i="103"/>
  <c r="C98" i="103" l="1"/>
  <c r="D98" i="103"/>
  <c r="E98" i="103"/>
  <c r="N98" i="103"/>
  <c r="C119" i="103"/>
  <c r="D119" i="103"/>
  <c r="T119" i="103"/>
  <c r="AE119" i="103"/>
  <c r="AF119" i="103"/>
  <c r="Q32" i="103"/>
  <c r="AF32" i="103"/>
  <c r="C54" i="103"/>
  <c r="T54" i="103"/>
  <c r="AE54" i="103"/>
  <c r="U76" i="103"/>
  <c r="V76" i="103"/>
  <c r="AB76" i="103"/>
  <c r="AD76" i="103"/>
  <c r="AH172" i="103"/>
  <c r="U172" i="103" l="1"/>
  <c r="U173" i="103" l="1"/>
  <c r="AC173" i="103" l="1"/>
  <c r="AH173" i="103" l="1"/>
  <c r="AC174" i="103" l="1"/>
  <c r="U174" i="103"/>
  <c r="AH174" i="103" l="1"/>
  <c r="U175" i="103" l="1"/>
  <c r="AC175" i="103" l="1"/>
  <c r="AH175" i="103" l="1"/>
  <c r="AC184" i="103" l="1"/>
  <c r="U176" i="103" l="1"/>
  <c r="AC176" i="103" l="1"/>
  <c r="AH176" i="103" l="1"/>
  <c r="U177" i="103" l="1"/>
  <c r="T178" i="103" s="1"/>
  <c r="AC177" i="103" l="1"/>
  <c r="AC178" i="103" s="1"/>
  <c r="AC186" i="103" s="1"/>
  <c r="AC185" i="103" l="1"/>
  <c r="AK189" i="103"/>
  <c r="AH189" i="103"/>
  <c r="X188" i="103"/>
  <c r="AI178" i="103"/>
  <c r="AH178" i="103" s="1"/>
  <c r="AJ189" i="103"/>
  <c r="AH188" i="103"/>
  <c r="AH177" i="103"/>
  <c r="AK93" i="103"/>
  <c r="AK71" i="103"/>
  <c r="AK27" i="103"/>
  <c r="AK135" i="103"/>
  <c r="AK114" i="103"/>
  <c r="AK49" i="103"/>
  <c r="AI111" i="115" l="1"/>
  <c r="AH111" i="115" s="1"/>
  <c r="AI68" i="115"/>
  <c r="AH68" i="115" s="1"/>
  <c r="AI132" i="115"/>
  <c r="AH132" i="115" s="1"/>
  <c r="AI90" i="115"/>
  <c r="AH90" i="115" s="1"/>
  <c r="AI46" i="115" l="1"/>
  <c r="AH46" i="115" s="1"/>
  <c r="AI23" i="115"/>
  <c r="AH23" i="115" s="1"/>
  <c r="AC172" i="115"/>
  <c r="X175" i="115" l="1"/>
  <c r="X177" i="115"/>
  <c r="X173" i="115"/>
  <c r="X172" i="115"/>
  <c r="X176" i="115"/>
  <c r="X174" i="115"/>
  <c r="X178" i="115" l="1"/>
  <c r="I151" i="115" l="1"/>
  <c r="I150" i="115"/>
  <c r="I152" i="115"/>
  <c r="I154" i="115"/>
  <c r="I153" i="115"/>
  <c r="V153" i="115" l="1"/>
  <c r="K153" i="115"/>
  <c r="V154" i="115"/>
  <c r="K154" i="115"/>
  <c r="K152" i="115"/>
  <c r="V152" i="115"/>
  <c r="V150" i="115"/>
  <c r="K150" i="115"/>
  <c r="V151" i="115"/>
  <c r="K151" i="115"/>
  <c r="E32" i="115" l="1"/>
  <c r="D32" i="115"/>
  <c r="C32" i="115"/>
  <c r="G32" i="115"/>
  <c r="E76" i="115"/>
  <c r="G76" i="115"/>
  <c r="H76" i="115"/>
  <c r="K76" i="115"/>
  <c r="E119" i="115"/>
  <c r="F119" i="115"/>
  <c r="C119" i="115"/>
  <c r="F54" i="115"/>
  <c r="AE54" i="115"/>
  <c r="J54" i="115"/>
  <c r="AF54" i="115"/>
  <c r="S54" i="115"/>
  <c r="Y54" i="115"/>
  <c r="AA54" i="115"/>
  <c r="R54" i="115"/>
  <c r="C54" i="115"/>
  <c r="D54" i="115"/>
  <c r="K54" i="115"/>
  <c r="G98" i="115"/>
  <c r="AA98" i="115"/>
  <c r="M98" i="115"/>
  <c r="AG98" i="115"/>
  <c r="W98" i="115"/>
  <c r="Z98" i="115"/>
  <c r="L98" i="115"/>
  <c r="AC98" i="115"/>
  <c r="AD98" i="115"/>
  <c r="S98" i="115"/>
  <c r="O98" i="115"/>
  <c r="E98" i="115"/>
  <c r="F98" i="115"/>
  <c r="T98" i="115"/>
  <c r="AH172" i="115"/>
  <c r="U172" i="115" l="1"/>
  <c r="U173" i="115" l="1"/>
  <c r="AC173" i="115" l="1"/>
  <c r="AH173" i="115" l="1"/>
  <c r="AC174" i="115" l="1"/>
  <c r="U174" i="115"/>
  <c r="AH174" i="115" l="1"/>
  <c r="U175" i="115" l="1"/>
  <c r="AC175" i="115" l="1"/>
  <c r="AH175" i="115" l="1"/>
  <c r="AC184" i="115" l="1"/>
  <c r="U176" i="115" l="1"/>
  <c r="AC176" i="115" l="1"/>
  <c r="AH176" i="115" l="1"/>
  <c r="U177" i="115" l="1"/>
  <c r="T178" i="115" s="1"/>
  <c r="AC177" i="115" l="1"/>
  <c r="AC178" i="115" s="1"/>
  <c r="AC186" i="115" s="1"/>
  <c r="AC185" i="115" l="1"/>
  <c r="AK189" i="115"/>
  <c r="AH188" i="115"/>
  <c r="AI178" i="115"/>
  <c r="AH178" i="115" s="1"/>
  <c r="AJ189" i="115"/>
  <c r="AH189" i="115"/>
  <c r="X188" i="115"/>
  <c r="AH177" i="115"/>
  <c r="AK93" i="115"/>
  <c r="AK71" i="115"/>
  <c r="AK27" i="115"/>
  <c r="AK135" i="115"/>
  <c r="AK114" i="115"/>
  <c r="AK49" i="115"/>
  <c r="AI111" i="125" l="1"/>
  <c r="AH111" i="125" s="1"/>
  <c r="AI68" i="125"/>
  <c r="AH68" i="125" s="1"/>
  <c r="AI132" i="125"/>
  <c r="AH132" i="125" s="1"/>
  <c r="AI90" i="125"/>
  <c r="AH90" i="125" s="1"/>
  <c r="AI46" i="125" l="1"/>
  <c r="AH46" i="125" s="1"/>
  <c r="AI23" i="125"/>
  <c r="AH23" i="125" s="1"/>
  <c r="AC172" i="125"/>
  <c r="X175" i="125" l="1"/>
  <c r="X177" i="125"/>
  <c r="X173" i="125"/>
  <c r="X172" i="125"/>
  <c r="X176" i="125"/>
  <c r="X174" i="125"/>
  <c r="X178" i="125" l="1"/>
  <c r="I151" i="125" l="1"/>
  <c r="I153" i="125"/>
  <c r="I152" i="125"/>
  <c r="I154" i="125"/>
  <c r="I150" i="125"/>
  <c r="K150" i="125" l="1"/>
  <c r="V150" i="125"/>
  <c r="K154" i="125"/>
  <c r="V154" i="125"/>
  <c r="K152" i="125"/>
  <c r="V152" i="125"/>
  <c r="V153" i="125"/>
  <c r="K153" i="125"/>
  <c r="V151" i="125"/>
  <c r="K151" i="125"/>
  <c r="D76" i="125" l="1"/>
  <c r="E76" i="125"/>
  <c r="G76" i="125"/>
  <c r="J76" i="125"/>
  <c r="K76" i="125"/>
  <c r="L76" i="125"/>
  <c r="O76" i="125"/>
  <c r="R76" i="125"/>
  <c r="S76" i="125"/>
  <c r="U76" i="125"/>
  <c r="V76" i="125"/>
  <c r="Y76" i="125"/>
  <c r="Z76" i="125"/>
  <c r="AB76" i="125"/>
  <c r="AF76" i="125"/>
  <c r="C98" i="125"/>
  <c r="D98" i="125"/>
  <c r="E98" i="125"/>
  <c r="I98" i="125"/>
  <c r="J98" i="125"/>
  <c r="L98" i="125"/>
  <c r="M98" i="125"/>
  <c r="P98" i="125"/>
  <c r="Q98" i="125"/>
  <c r="W98" i="125"/>
  <c r="X98" i="125"/>
  <c r="Z98" i="125"/>
  <c r="AD98" i="125"/>
  <c r="AE98" i="125"/>
  <c r="AG98" i="125"/>
  <c r="G119" i="125"/>
  <c r="I119" i="125"/>
  <c r="J119" i="125"/>
  <c r="N119" i="125"/>
  <c r="P119" i="125"/>
  <c r="Q119" i="125"/>
  <c r="U119" i="125"/>
  <c r="W119" i="125"/>
  <c r="AA119" i="125"/>
  <c r="AB119" i="125"/>
  <c r="AD119" i="125"/>
  <c r="AE119" i="125"/>
  <c r="D54" i="125"/>
  <c r="G54" i="125"/>
  <c r="H54" i="125"/>
  <c r="L54" i="125"/>
  <c r="O54" i="125"/>
  <c r="Q54" i="125"/>
  <c r="V54" i="125"/>
  <c r="X54" i="125"/>
  <c r="AC54" i="125"/>
  <c r="AE54" i="125"/>
  <c r="L32" i="125"/>
  <c r="X32" i="125"/>
  <c r="Z32" i="125"/>
  <c r="P32" i="125"/>
  <c r="Q32" i="125"/>
  <c r="C32" i="125"/>
  <c r="S32" i="125"/>
  <c r="W32" i="125"/>
  <c r="M32" i="125"/>
  <c r="AD32" i="125"/>
  <c r="AE32" i="125"/>
  <c r="E32" i="125"/>
  <c r="T32" i="125"/>
  <c r="R32" i="125"/>
  <c r="J32" i="125"/>
  <c r="I32" i="125"/>
  <c r="AH172" i="125"/>
  <c r="U172" i="125" l="1"/>
  <c r="U173" i="125" l="1"/>
  <c r="AC173" i="125" l="1"/>
  <c r="AH173" i="125" l="1"/>
  <c r="AC174" i="125" l="1"/>
  <c r="U174" i="125"/>
  <c r="AH174" i="125" l="1"/>
  <c r="U175" i="125" l="1"/>
  <c r="AC175" i="125" l="1"/>
  <c r="AH175" i="125" l="1"/>
  <c r="AC184" i="125" l="1"/>
  <c r="U176" i="125" l="1"/>
  <c r="AC176" i="125" l="1"/>
  <c r="AH176" i="125" l="1"/>
  <c r="U177" i="125" l="1"/>
  <c r="T178" i="125" s="1"/>
  <c r="AC177" i="125"/>
  <c r="AC178" i="125" s="1"/>
  <c r="AC186" i="125" s="1"/>
  <c r="AC185" i="125" l="1"/>
  <c r="AH188" i="125"/>
  <c r="AK189" i="125"/>
  <c r="AJ189" i="125"/>
  <c r="AH189" i="125"/>
  <c r="X188" i="125"/>
  <c r="AI178" i="125"/>
  <c r="AH178" i="125" s="1"/>
  <c r="AH177" i="125"/>
  <c r="AK93" i="125"/>
  <c r="AK71" i="125"/>
  <c r="AK27" i="125"/>
  <c r="AK135" i="125"/>
  <c r="AK114" i="125"/>
  <c r="AK49"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上原</author>
    <author>Gondo</author>
    <author>管理者</author>
    <author>創造社リカレントスクール福岡校01</author>
  </authors>
  <commentList>
    <comment ref="BL3" authorId="0" shapeId="0" xr:uid="{ACA21D3F-DB29-4BCB-886C-2507F447FB26}">
      <text>
        <r>
          <rPr>
            <sz val="9"/>
            <color indexed="81"/>
            <rFont val="MS P ゴシック"/>
            <family val="3"/>
            <charset val="128"/>
          </rPr>
          <t xml:space="preserve">教室注意
6C自習
6Aサーティファイ
6H教員Illustrator
7BWebクリエイター試験
</t>
        </r>
      </text>
    </comment>
    <comment ref="AS5" authorId="0" shapeId="0" xr:uid="{8E22F260-78C1-4650-8237-7E80166B3E9D}">
      <text>
        <r>
          <rPr>
            <b/>
            <sz val="9"/>
            <color indexed="81"/>
            <rFont val="MS P ゴシック"/>
            <family val="3"/>
            <charset val="128"/>
          </rPr>
          <t>広告デザイン科（7C）修了生枠　福崎先生で追加（11/8　上原）</t>
        </r>
      </text>
    </comment>
    <comment ref="AW5" authorId="0" shapeId="0" xr:uid="{287F80F3-A247-4544-B5A6-D9BC9B70751E}">
      <text>
        <r>
          <rPr>
            <b/>
            <sz val="9"/>
            <color indexed="81"/>
            <rFont val="MS P ゴシック"/>
            <family val="3"/>
            <charset val="128"/>
          </rPr>
          <t>元7C修了生
10時～
11時～
12時～</t>
        </r>
      </text>
    </comment>
    <comment ref="AX5" authorId="0" shapeId="0" xr:uid="{B417D058-B469-4778-8B09-52A26966DB49}">
      <text>
        <r>
          <rPr>
            <b/>
            <sz val="9"/>
            <color indexed="81"/>
            <rFont val="MS P ゴシック"/>
            <family val="3"/>
            <charset val="128"/>
          </rPr>
          <t>元7C修了生
10時～
11時～
12時～</t>
        </r>
      </text>
    </comment>
    <comment ref="AZ5" authorId="0" shapeId="0" xr:uid="{CADDD0F8-7D85-4DC4-9BBB-7E2F140DEDF2}">
      <text>
        <r>
          <rPr>
            <b/>
            <sz val="9"/>
            <color indexed="81"/>
            <rFont val="MS P ゴシック"/>
            <family val="3"/>
            <charset val="128"/>
          </rPr>
          <t>元7C修了生
10時～
11時～
12時～</t>
        </r>
      </text>
    </comment>
    <comment ref="BA5" authorId="1" shapeId="0" xr:uid="{577A306C-9A52-4916-A6A2-9A2005251062}">
      <text>
        <r>
          <rPr>
            <b/>
            <sz val="9"/>
            <color indexed="81"/>
            <rFont val="MS P ゴシック"/>
            <family val="3"/>
            <charset val="128"/>
          </rPr>
          <t>元7C修了生
10時～
11時～
12時～</t>
        </r>
      </text>
    </comment>
    <comment ref="BP5" authorId="1" shapeId="0" xr:uid="{52C7363F-301A-44A1-86C4-5540A96DDE3E}">
      <text>
        <r>
          <rPr>
            <b/>
            <sz val="9"/>
            <color indexed="81"/>
            <rFont val="MS P ゴシック"/>
            <family val="3"/>
            <charset val="128"/>
          </rPr>
          <t>4・25に変更</t>
        </r>
      </text>
    </comment>
    <comment ref="BC6" authorId="0" shapeId="0" xr:uid="{EA571899-3463-4834-AD61-DA686D096160}">
      <text>
        <r>
          <rPr>
            <b/>
            <sz val="9"/>
            <color indexed="81"/>
            <rFont val="MS P ゴシック"/>
            <family val="3"/>
            <charset val="128"/>
          </rPr>
          <t>6A</t>
        </r>
        <r>
          <rPr>
            <sz val="9"/>
            <color indexed="81"/>
            <rFont val="MS P ゴシック"/>
            <family val="3"/>
            <charset val="128"/>
          </rPr>
          <t xml:space="preserve">
</t>
        </r>
      </text>
    </comment>
    <comment ref="BC7" authorId="0" shapeId="0" xr:uid="{9A115617-4544-43D6-A11E-2A6515FEB28B}">
      <text>
        <r>
          <rPr>
            <b/>
            <sz val="9"/>
            <color indexed="81"/>
            <rFont val="MS P ゴシック"/>
            <family val="3"/>
            <charset val="128"/>
          </rPr>
          <t>7B</t>
        </r>
        <r>
          <rPr>
            <sz val="9"/>
            <color indexed="81"/>
            <rFont val="MS P ゴシック"/>
            <family val="3"/>
            <charset val="128"/>
          </rPr>
          <t xml:space="preserve">
</t>
        </r>
      </text>
    </comment>
    <comment ref="Y8" authorId="2" shapeId="0" xr:uid="{376B97FA-C8E4-4AC7-A09A-9BAD718C76AC}">
      <text>
        <r>
          <rPr>
            <sz val="9"/>
            <color indexed="81"/>
            <rFont val="MS P ゴシック"/>
            <family val="3"/>
            <charset val="128"/>
          </rPr>
          <t>6D：2CC
6G：1CC
→調整済/田中</t>
        </r>
      </text>
    </comment>
    <comment ref="BC8" authorId="0" shapeId="0" xr:uid="{2C69324C-65B9-47CC-9A0E-D7E2F12CF4ED}">
      <text>
        <r>
          <rPr>
            <sz val="9"/>
            <color indexed="81"/>
            <rFont val="MS P ゴシック"/>
            <family val="3"/>
            <charset val="128"/>
          </rPr>
          <t xml:space="preserve">6H
</t>
        </r>
      </text>
    </comment>
    <comment ref="O9" authorId="3" shapeId="0" xr:uid="{2FC9E2BB-52F9-437F-B894-A42F6521EB6E}">
      <text>
        <r>
          <rPr>
            <b/>
            <sz val="9"/>
            <color indexed="81"/>
            <rFont val="MS P ゴシック"/>
            <family val="3"/>
            <charset val="128"/>
          </rPr>
          <t>6A　2回目</t>
        </r>
        <r>
          <rPr>
            <sz val="9"/>
            <color indexed="81"/>
            <rFont val="MS P ゴシック"/>
            <family val="3"/>
            <charset val="128"/>
          </rPr>
          <t xml:space="preserve">
</t>
        </r>
      </text>
    </comment>
    <comment ref="BC9" authorId="0" shapeId="0" xr:uid="{41D86FFD-CDEF-4EFA-B4DB-7C69A6500CA0}">
      <text>
        <r>
          <rPr>
            <b/>
            <sz val="9"/>
            <color indexed="81"/>
            <rFont val="MS P ゴシック"/>
            <family val="3"/>
            <charset val="128"/>
          </rPr>
          <t>6H</t>
        </r>
        <r>
          <rPr>
            <sz val="9"/>
            <color indexed="81"/>
            <rFont val="MS P ゴシック"/>
            <family val="3"/>
            <charset val="128"/>
          </rPr>
          <t xml:space="preserve">
</t>
        </r>
      </text>
    </comment>
    <comment ref="J10" authorId="3" shapeId="0" xr:uid="{F24D4060-CB0A-4B5B-A298-DFAAC9E521AD}">
      <text>
        <r>
          <rPr>
            <b/>
            <sz val="9"/>
            <color indexed="81"/>
            <rFont val="MS P ゴシック"/>
            <family val="3"/>
            <charset val="128"/>
          </rPr>
          <t>6A　1回目</t>
        </r>
        <r>
          <rPr>
            <sz val="9"/>
            <color indexed="81"/>
            <rFont val="MS P ゴシック"/>
            <family val="3"/>
            <charset val="128"/>
          </rPr>
          <t xml:space="preserve">
</t>
        </r>
      </text>
    </comment>
    <comment ref="AR10" authorId="0" shapeId="0" xr:uid="{175DF65C-4B7E-4B32-A711-EC3A214AD886}">
      <text>
        <r>
          <rPr>
            <b/>
            <sz val="9"/>
            <color indexed="81"/>
            <rFont val="MS P ゴシック"/>
            <family val="3"/>
            <charset val="128"/>
          </rPr>
          <t>上原：県7C（2枠利用）</t>
        </r>
        <r>
          <rPr>
            <sz val="9"/>
            <color indexed="81"/>
            <rFont val="MS P ゴシック"/>
            <family val="3"/>
            <charset val="128"/>
          </rPr>
          <t xml:space="preserve">
</t>
        </r>
      </text>
    </comment>
    <comment ref="BC10" authorId="2" shapeId="0" xr:uid="{DCC48CA7-413A-419D-A692-909044F988D8}">
      <text>
        <r>
          <rPr>
            <b/>
            <sz val="9"/>
            <color indexed="81"/>
            <rFont val="MS P ゴシック"/>
            <family val="3"/>
            <charset val="128"/>
          </rPr>
          <t>7B</t>
        </r>
      </text>
    </comment>
    <comment ref="D12" authorId="1" shapeId="0" xr:uid="{1C6541FA-B945-4B8A-941B-B2318092C1B9}">
      <text>
        <r>
          <rPr>
            <b/>
            <sz val="9"/>
            <color indexed="81"/>
            <rFont val="MS P ゴシック"/>
            <family val="3"/>
            <charset val="128"/>
          </rPr>
          <t>9:30～17:30　2CC×2
9:30～16:30　1CC×2</t>
        </r>
      </text>
    </comment>
    <comment ref="H12" authorId="1" shapeId="0" xr:uid="{63EC7009-5AAA-4E3D-BC23-5AC2991B96FC}">
      <text>
        <r>
          <rPr>
            <b/>
            <sz val="9"/>
            <color indexed="81"/>
            <rFont val="MS P ゴシック"/>
            <family val="3"/>
            <charset val="128"/>
          </rPr>
          <t>9:30～17:30　2CC
9:30～16:30　1CC</t>
        </r>
      </text>
    </comment>
    <comment ref="K12" authorId="1" shapeId="0" xr:uid="{3FDA09D1-D5DF-4412-A0EF-E4884C47A16D}">
      <text>
        <r>
          <rPr>
            <b/>
            <sz val="9"/>
            <color indexed="81"/>
            <rFont val="MS P ゴシック"/>
            <family val="3"/>
            <charset val="128"/>
          </rPr>
          <t>9:30～17:30　2CC
9:30～16:30　1CC</t>
        </r>
      </text>
    </comment>
    <comment ref="M12" authorId="1" shapeId="0" xr:uid="{4CA97C5A-C4B9-4926-A22F-1092629A4EE0}">
      <text>
        <r>
          <rPr>
            <b/>
            <sz val="9"/>
            <color indexed="81"/>
            <rFont val="MS P ゴシック"/>
            <family val="3"/>
            <charset val="128"/>
          </rPr>
          <t>内野先生
～16:30希望</t>
        </r>
      </text>
    </comment>
    <comment ref="W12" authorId="1" shapeId="0" xr:uid="{7F22F6CB-D37D-44AC-B2C8-FE8E727C1377}">
      <text>
        <r>
          <rPr>
            <b/>
            <sz val="8"/>
            <color indexed="81"/>
            <rFont val="MS P ゴシック"/>
            <family val="3"/>
            <charset val="128"/>
          </rPr>
          <t>宮本先生が12:30～しか対応できなくなったとのことで、9:30～12:30：権藤バイトで対応</t>
        </r>
      </text>
    </comment>
    <comment ref="J13" authorId="0" shapeId="0" xr:uid="{7EE634C6-4CBC-4887-B7C6-A30979B6F15D}">
      <text>
        <r>
          <rPr>
            <sz val="9"/>
            <color indexed="81"/>
            <rFont val="MS P ゴシック"/>
            <family val="3"/>
            <charset val="128"/>
          </rPr>
          <t xml:space="preserve">6月23日修了の6H用にキャリコン8枠実施希望（上原）
</t>
        </r>
      </text>
    </comment>
    <comment ref="L13" authorId="2" shapeId="0" xr:uid="{8193EBEB-6D05-4AAC-B0E1-D44B15759708}">
      <text>
        <r>
          <rPr>
            <b/>
            <sz val="9"/>
            <color indexed="81"/>
            <rFont val="MS P ゴシック"/>
            <family val="3"/>
            <charset val="128"/>
          </rPr>
          <t>旧7B・旧7D</t>
        </r>
      </text>
    </comment>
    <comment ref="O13" authorId="0" shapeId="0" xr:uid="{7A16686C-CDCB-4EB8-9B70-DA690E396F57}">
      <text>
        <r>
          <rPr>
            <sz val="9"/>
            <color indexed="81"/>
            <rFont val="MS P ゴシック"/>
            <family val="3"/>
            <charset val="128"/>
          </rPr>
          <t xml:space="preserve">6月23日修了の6H用にキャリコン8枠実施希望（上原）
</t>
        </r>
      </text>
    </comment>
    <comment ref="P13" authorId="2" shapeId="0" xr:uid="{FD0C3B49-7608-4D46-B50B-9FCBD7CBB11D}">
      <text>
        <r>
          <rPr>
            <b/>
            <sz val="9"/>
            <color indexed="81"/>
            <rFont val="MS P ゴシック"/>
            <family val="3"/>
            <charset val="128"/>
          </rPr>
          <t>旧7B、旧7D:2枠
旧6E:1枠</t>
        </r>
      </text>
    </comment>
    <comment ref="Q13" authorId="0" shapeId="0" xr:uid="{E085DE82-BAA4-4BBC-ABF2-FE5B5AC68DE8}">
      <text>
        <r>
          <rPr>
            <b/>
            <sz val="9"/>
            <color indexed="81"/>
            <rFont val="MS P ゴシック"/>
            <family val="3"/>
            <charset val="128"/>
          </rPr>
          <t>元7C（E18）
未就職者7名枠
内野先生追加アサイン済（7月19日付）</t>
        </r>
        <r>
          <rPr>
            <sz val="9"/>
            <color indexed="81"/>
            <rFont val="MS P ゴシック"/>
            <family val="3"/>
            <charset val="128"/>
          </rPr>
          <t xml:space="preserve">
</t>
        </r>
      </text>
    </comment>
    <comment ref="R13" authorId="3" shapeId="0" xr:uid="{347A7B2B-22DD-4449-A3A8-A95B9163659E}">
      <text>
        <r>
          <rPr>
            <b/>
            <sz val="9"/>
            <color indexed="81"/>
            <rFont val="MS P ゴシック"/>
            <family val="3"/>
            <charset val="128"/>
          </rPr>
          <t>旧6E:2枠</t>
        </r>
        <r>
          <rPr>
            <sz val="9"/>
            <color indexed="81"/>
            <rFont val="MS P ゴシック"/>
            <family val="3"/>
            <charset val="128"/>
          </rPr>
          <t xml:space="preserve">
修了生枠3枠に増加
内野先生7A→修了
大隈先生6A→7A
谷川先生6E→6Aに変更済み　7/28田中</t>
        </r>
      </text>
    </comment>
    <comment ref="S13" authorId="0" shapeId="0" xr:uid="{ED3AF737-A07B-4F2C-97BE-C612792A6A12}">
      <text>
        <r>
          <rPr>
            <b/>
            <sz val="9"/>
            <color indexed="81"/>
            <rFont val="MS P ゴシック"/>
            <family val="3"/>
            <charset val="128"/>
          </rPr>
          <t>元7C（E18）
未就職者7名
内野先生追加アサイン済（7月19日付）</t>
        </r>
        <r>
          <rPr>
            <sz val="9"/>
            <color indexed="81"/>
            <rFont val="MS P ゴシック"/>
            <family val="3"/>
            <charset val="128"/>
          </rPr>
          <t xml:space="preserve">
</t>
        </r>
      </text>
    </comment>
    <comment ref="V13" authorId="3" shapeId="0" xr:uid="{6DC74296-5227-490B-9EB8-B3022995AC6B}">
      <text>
        <r>
          <rPr>
            <b/>
            <sz val="9"/>
            <color indexed="81"/>
            <rFont val="MS P ゴシック"/>
            <family val="3"/>
            <charset val="128"/>
          </rPr>
          <t>旧6E:2枠</t>
        </r>
        <r>
          <rPr>
            <sz val="9"/>
            <color indexed="81"/>
            <rFont val="MS P ゴシック"/>
            <family val="3"/>
            <charset val="128"/>
          </rPr>
          <t xml:space="preserve">
</t>
        </r>
      </text>
    </comment>
    <comment ref="X13" authorId="3" shapeId="0" xr:uid="{DCDB0578-6EE2-4A19-B2C6-64DFBB29A90B}">
      <text>
        <r>
          <rPr>
            <b/>
            <sz val="9"/>
            <color indexed="81"/>
            <rFont val="MS P ゴシック"/>
            <family val="3"/>
            <charset val="128"/>
          </rPr>
          <t>旧6E:1枠</t>
        </r>
        <r>
          <rPr>
            <sz val="9"/>
            <color indexed="81"/>
            <rFont val="MS P ゴシック"/>
            <family val="3"/>
            <charset val="128"/>
          </rPr>
          <t xml:space="preserve">
</t>
        </r>
      </text>
    </comment>
    <comment ref="AD13" authorId="2" shapeId="0" xr:uid="{2468DCF8-13CE-4EBF-ABF8-3CC98464CF2E}">
      <text>
        <r>
          <rPr>
            <b/>
            <sz val="9"/>
            <color indexed="81"/>
            <rFont val="MS P ゴシック"/>
            <family val="3"/>
            <charset val="128"/>
          </rPr>
          <t>旧7A：2枠利用
その他
6F：11,12,16
6B：14に空きあり</t>
        </r>
      </text>
    </comment>
    <comment ref="AE13" authorId="2" shapeId="0" xr:uid="{F333F5ED-D357-4DB1-9930-35BBD3B194D8}">
      <text>
        <r>
          <rPr>
            <sz val="9"/>
            <color indexed="81"/>
            <rFont val="MS P ゴシック"/>
            <family val="3"/>
            <charset val="128"/>
          </rPr>
          <t xml:space="preserve">元7A+元7D：1枠利用
</t>
        </r>
      </text>
    </comment>
    <comment ref="AK13" authorId="2" shapeId="0" xr:uid="{E5A379A7-76B6-4050-9710-BC5D8E14304E}">
      <text>
        <r>
          <rPr>
            <b/>
            <sz val="9"/>
            <color indexed="81"/>
            <rFont val="MS P ゴシック"/>
            <family val="3"/>
            <charset val="128"/>
          </rPr>
          <t>6Fで1枠使用</t>
        </r>
      </text>
    </comment>
    <comment ref="AO13" authorId="2" shapeId="0" xr:uid="{D61CFC80-D19C-47EC-B377-DA8EF4993249}">
      <text>
        <r>
          <rPr>
            <b/>
            <sz val="9"/>
            <color indexed="81"/>
            <rFont val="MS P ゴシック"/>
            <family val="3"/>
            <charset val="128"/>
          </rPr>
          <t xml:space="preserve">6Fで1枠、6Cで1枠利用
</t>
        </r>
      </text>
    </comment>
    <comment ref="AQ13" authorId="2" shapeId="0" xr:uid="{40CBF913-B679-4D66-A2D1-9D0903B31BFF}">
      <text>
        <r>
          <rPr>
            <b/>
            <sz val="9"/>
            <color indexed="81"/>
            <rFont val="MS P ゴシック"/>
            <family val="3"/>
            <charset val="128"/>
          </rPr>
          <t>6Cで1枠利用
6Bで1枠利用</t>
        </r>
      </text>
    </comment>
    <comment ref="AR13" authorId="2" shapeId="0" xr:uid="{55E295F9-1352-4B35-A28A-D79963FFCD17}">
      <text>
        <r>
          <rPr>
            <b/>
            <sz val="9"/>
            <color indexed="81"/>
            <rFont val="MS P ゴシック"/>
            <family val="3"/>
            <charset val="128"/>
          </rPr>
          <t xml:space="preserve">7Cで2枠利用
6Bで1枠利用
※11/8付け
内野先生出講可で確認済。修2→3に変更。
</t>
        </r>
      </text>
    </comment>
    <comment ref="BD13" authorId="2" shapeId="0" xr:uid="{6556350C-DB6B-40E0-8E93-FA6031F9B886}">
      <text>
        <r>
          <rPr>
            <b/>
            <sz val="9"/>
            <color indexed="81"/>
            <rFont val="MS P ゴシック"/>
            <family val="3"/>
            <charset val="128"/>
          </rPr>
          <t>7Bにて1枠の内の3コマ使用。
6Eで9枠設定OKです。</t>
        </r>
      </text>
    </comment>
    <comment ref="Y20" authorId="2" shapeId="0" xr:uid="{D81F2945-8E6F-4C8D-B4C8-9DAB1DDE6A77}">
      <text>
        <r>
          <rPr>
            <b/>
            <sz val="9"/>
            <color indexed="81"/>
            <rFont val="MS P ゴシック"/>
            <family val="3"/>
            <charset val="128"/>
          </rPr>
          <t>6Eが1枠のため6Dに変更　7/28田中</t>
        </r>
      </text>
    </comment>
    <comment ref="AP20" authorId="1" shapeId="0" xr:uid="{7283D4FD-DE4B-4C91-95F5-B103F2BA88AD}">
      <text>
        <r>
          <rPr>
            <b/>
            <sz val="9"/>
            <color indexed="81"/>
            <rFont val="MS P ゴシック"/>
            <family val="3"/>
            <charset val="128"/>
          </rPr>
          <t>9:30～12:30の3枠</t>
        </r>
      </text>
    </comment>
    <comment ref="M21" authorId="1" shapeId="0" xr:uid="{A5EDC264-2EBC-4252-ACDF-4798F6453B0E}">
      <text>
        <r>
          <rPr>
            <b/>
            <sz val="9"/>
            <color indexed="81"/>
            <rFont val="MS P ゴシック"/>
            <family val="3"/>
            <charset val="128"/>
          </rPr>
          <t>～16:30だったらOK</t>
        </r>
      </text>
    </comment>
    <comment ref="N21" authorId="1" shapeId="0" xr:uid="{A97E86F3-620A-445D-A3F3-2765026E8773}">
      <text>
        <r>
          <rPr>
            <b/>
            <sz val="9"/>
            <color indexed="81"/>
            <rFont val="MS P ゴシック"/>
            <family val="3"/>
            <charset val="128"/>
          </rPr>
          <t>14:00～だったらOK</t>
        </r>
      </text>
    </comment>
    <comment ref="Q21" authorId="0" shapeId="0" xr:uid="{09A554D2-B824-4488-8AD4-75DA903598BD}">
      <text>
        <r>
          <rPr>
            <b/>
            <sz val="8"/>
            <color indexed="81"/>
            <rFont val="MS P ゴシック"/>
            <family val="3"/>
            <charset val="128"/>
          </rPr>
          <t>元7C未就職者7名
設定時間注意
9時15分～一人目
10時15分～二人目
・・・7枠目は16時15分～で終了</t>
        </r>
      </text>
    </comment>
    <comment ref="S21" authorId="0" shapeId="0" xr:uid="{8BF7C836-56D2-4156-9B68-62A5E9A7A86C}">
      <text>
        <r>
          <rPr>
            <b/>
            <sz val="8"/>
            <color indexed="81"/>
            <rFont val="MS P ゴシック"/>
            <family val="3"/>
            <charset val="128"/>
          </rPr>
          <t>元7C未就職者7名
設定時間注意
9時15分～一人目
10時15分～二人目
・・・7枠目は16時15分～で終了</t>
        </r>
      </text>
    </comment>
    <comment ref="AR21" authorId="0" shapeId="0" xr:uid="{ED90A419-0113-437F-A12B-60FEBB807746}">
      <text>
        <r>
          <rPr>
            <b/>
            <sz val="9"/>
            <color indexed="81"/>
            <rFont val="MS P ゴシック"/>
            <family val="3"/>
            <charset val="128"/>
          </rPr>
          <t>上原:</t>
        </r>
        <r>
          <rPr>
            <sz val="9"/>
            <color indexed="81"/>
            <rFont val="MS P ゴシック"/>
            <family val="3"/>
            <charset val="128"/>
          </rPr>
          <t xml:space="preserve">
不可→出講可能OK（11/8上原確認）
県7C修了キャリコンに充当</t>
        </r>
      </text>
    </comment>
    <comment ref="BM21" authorId="3" shapeId="0" xr:uid="{790BE1A4-2D79-4319-AA33-1955D1B7B30E}">
      <text>
        <r>
          <rPr>
            <b/>
            <sz val="9"/>
            <color indexed="81"/>
            <rFont val="MS P ゴシック"/>
            <family val="3"/>
            <charset val="128"/>
          </rPr>
          <t>7A</t>
        </r>
      </text>
    </comment>
    <comment ref="BM22" authorId="3" shapeId="0" xr:uid="{5B958979-8825-4199-BE3C-A7B806175F2E}">
      <text>
        <r>
          <rPr>
            <b/>
            <sz val="9"/>
            <color indexed="81"/>
            <rFont val="MS P ゴシック"/>
            <family val="3"/>
            <charset val="128"/>
          </rPr>
          <t>6D</t>
        </r>
      </text>
    </comment>
    <comment ref="BC23" authorId="0" shapeId="0" xr:uid="{942BFCC2-F2C8-4C3F-A292-332EE1140462}">
      <text>
        <r>
          <rPr>
            <sz val="9"/>
            <color indexed="81"/>
            <rFont val="MS P ゴシック"/>
            <family val="3"/>
            <charset val="128"/>
          </rPr>
          <t xml:space="preserve">元6A
</t>
        </r>
      </text>
    </comment>
    <comment ref="BE23" authorId="0" shapeId="0" xr:uid="{88B46C1A-8DB6-40F6-861C-7975CCE9F776}">
      <text>
        <r>
          <rPr>
            <b/>
            <sz val="9"/>
            <color indexed="81"/>
            <rFont val="MS P ゴシック"/>
            <family val="3"/>
            <charset val="128"/>
          </rPr>
          <t>元6A</t>
        </r>
      </text>
    </comment>
    <comment ref="BI23" authorId="3" shapeId="0" xr:uid="{4FEDA36E-5837-41A8-80C5-BF9DCE204E81}">
      <text>
        <r>
          <rPr>
            <b/>
            <sz val="9"/>
            <color indexed="81"/>
            <rFont val="MS P ゴシック"/>
            <family val="3"/>
            <charset val="128"/>
          </rPr>
          <t>旧6G</t>
        </r>
      </text>
    </comment>
    <comment ref="BJ23" authorId="3" shapeId="0" xr:uid="{A73A803F-DD78-4E65-BEF4-0FE0CE1D42DC}">
      <text>
        <r>
          <rPr>
            <b/>
            <sz val="9"/>
            <color indexed="81"/>
            <rFont val="MS P ゴシック"/>
            <family val="3"/>
            <charset val="128"/>
          </rPr>
          <t>旧6D</t>
        </r>
      </text>
    </comment>
    <comment ref="BW23" authorId="1" shapeId="0" xr:uid="{9A2F0857-136A-41A6-B633-551E983308EE}">
      <text>
        <r>
          <rPr>
            <sz val="9"/>
            <color indexed="81"/>
            <rFont val="MS P ゴシック"/>
            <family val="3"/>
            <charset val="128"/>
          </rPr>
          <t>13日権藤担当の修了生を6日に変更お願いします。（3/18淡路屋さん共有済）</t>
        </r>
      </text>
    </comment>
    <comment ref="BM24" authorId="3" shapeId="0" xr:uid="{A5E28977-16DA-47A1-A710-35E688608CFE}">
      <text>
        <r>
          <rPr>
            <b/>
            <sz val="9"/>
            <color indexed="81"/>
            <rFont val="MS P ゴシック"/>
            <family val="3"/>
            <charset val="128"/>
          </rPr>
          <t>6D</t>
        </r>
      </text>
    </comment>
    <comment ref="AE26" authorId="2" shapeId="0" xr:uid="{28FE31F3-946E-4C36-8121-E18D94940857}">
      <text>
        <r>
          <rPr>
            <b/>
            <sz val="9"/>
            <color indexed="81"/>
            <rFont val="MS P ゴシック"/>
            <family val="3"/>
            <charset val="128"/>
          </rPr>
          <t>6Eの実施がないためCXL/田中</t>
        </r>
      </text>
    </comment>
    <comment ref="BC26" authorId="2" shapeId="0" xr:uid="{B82E8AA5-50E0-4672-B027-A93766D15455}">
      <text>
        <r>
          <rPr>
            <b/>
            <sz val="9"/>
            <color indexed="81"/>
            <rFont val="MS P ゴシック"/>
            <family val="3"/>
            <charset val="128"/>
          </rPr>
          <t>元7B</t>
        </r>
      </text>
    </comment>
    <comment ref="BI26" authorId="3" shapeId="0" xr:uid="{905CB29D-DD09-48E5-9B78-BDCEF8388079}">
      <text>
        <r>
          <rPr>
            <b/>
            <sz val="9"/>
            <color indexed="81"/>
            <rFont val="MS P ゴシック"/>
            <family val="3"/>
            <charset val="128"/>
          </rPr>
          <t>旧6D</t>
        </r>
        <r>
          <rPr>
            <sz val="9"/>
            <color indexed="81"/>
            <rFont val="MS P ゴシック"/>
            <family val="3"/>
            <charset val="128"/>
          </rPr>
          <t xml:space="preserve">
</t>
        </r>
      </text>
    </comment>
    <comment ref="AL30" authorId="2" shapeId="0" xr:uid="{94EC297E-1CBF-458C-9491-88862A177D24}">
      <text>
        <r>
          <rPr>
            <b/>
            <sz val="9"/>
            <color indexed="81"/>
            <rFont val="MS P ゴシック"/>
            <family val="3"/>
            <charset val="128"/>
          </rPr>
          <t>元7D+元6C依頼中/田中</t>
        </r>
      </text>
    </comment>
    <comment ref="AR30" authorId="0" shapeId="0" xr:uid="{A780C313-CF2B-4546-8753-B1C547769F0D}">
      <text>
        <r>
          <rPr>
            <b/>
            <sz val="9"/>
            <color indexed="81"/>
            <rFont val="MS P ゴシック"/>
            <family val="3"/>
            <charset val="128"/>
          </rPr>
          <t>上原:県7C</t>
        </r>
        <r>
          <rPr>
            <sz val="9"/>
            <color indexed="81"/>
            <rFont val="MS P ゴシック"/>
            <family val="3"/>
            <charset val="128"/>
          </rPr>
          <t xml:space="preserve">
</t>
        </r>
      </text>
    </comment>
    <comment ref="AS30" authorId="0" shapeId="0" xr:uid="{D834241E-FC22-47A8-A920-48DDC46C95F8}">
      <text>
        <r>
          <rPr>
            <b/>
            <sz val="9"/>
            <color indexed="81"/>
            <rFont val="MS P ゴシック"/>
            <family val="3"/>
            <charset val="128"/>
          </rPr>
          <t>上原:県7C</t>
        </r>
        <r>
          <rPr>
            <sz val="9"/>
            <color indexed="81"/>
            <rFont val="MS P ゴシック"/>
            <family val="3"/>
            <charset val="128"/>
          </rPr>
          <t xml:space="preserve">
</t>
        </r>
      </text>
    </comment>
    <comment ref="BC30" authorId="0" shapeId="0" xr:uid="{3784C7D4-9245-42E0-B2FA-E9E520EB38FF}">
      <text>
        <r>
          <rPr>
            <b/>
            <sz val="9"/>
            <color indexed="81"/>
            <rFont val="MS P ゴシック"/>
            <family val="3"/>
            <charset val="128"/>
          </rPr>
          <t>元6A＋6H</t>
        </r>
        <r>
          <rPr>
            <sz val="9"/>
            <color indexed="81"/>
            <rFont val="MS P ゴシック"/>
            <family val="3"/>
            <charset val="128"/>
          </rPr>
          <t xml:space="preserve">
</t>
        </r>
      </text>
    </comment>
    <comment ref="BC31" authorId="0" shapeId="0" xr:uid="{443218B6-C17D-4606-9BB3-65DBC435D4BA}">
      <text>
        <r>
          <rPr>
            <sz val="9"/>
            <color indexed="81"/>
            <rFont val="MS P ゴシック"/>
            <family val="3"/>
            <charset val="128"/>
          </rPr>
          <t xml:space="preserve">元6H＋元6A（1名）
</t>
        </r>
      </text>
    </comment>
    <comment ref="BJ31" authorId="3" shapeId="0" xr:uid="{86A446C7-FCE6-4921-BB2F-51F3E8E9BF68}">
      <text>
        <r>
          <rPr>
            <sz val="9"/>
            <color indexed="81"/>
            <rFont val="MS P ゴシック"/>
            <family val="3"/>
            <charset val="128"/>
          </rPr>
          <t>旧6G</t>
        </r>
      </text>
    </comment>
    <comment ref="BI33" authorId="3" shapeId="0" xr:uid="{F8C1403D-A24D-464E-91A0-352653C5D86B}">
      <text>
        <r>
          <rPr>
            <b/>
            <sz val="9"/>
            <color indexed="81"/>
            <rFont val="MS P ゴシック"/>
            <family val="3"/>
            <charset val="128"/>
          </rPr>
          <t>旧6E</t>
        </r>
        <r>
          <rPr>
            <sz val="9"/>
            <color indexed="81"/>
            <rFont val="MS P ゴシック"/>
            <family val="3"/>
            <charset val="128"/>
          </rPr>
          <t xml:space="preserve">
</t>
        </r>
      </text>
    </comment>
    <comment ref="BM34" authorId="3" shapeId="0" xr:uid="{60A4ABDE-B9D1-44DA-895B-E20AB388F79D}">
      <text>
        <r>
          <rPr>
            <sz val="9"/>
            <color indexed="81"/>
            <rFont val="MS P ゴシック"/>
            <family val="3"/>
            <charset val="128"/>
          </rPr>
          <t xml:space="preserve">3/30　家族の入院で出講不可
</t>
        </r>
      </text>
    </comment>
    <comment ref="Z35" authorId="2" shapeId="0" xr:uid="{91182428-FBDC-4B6A-AE0E-1B6D2C5C30EE}">
      <text>
        <r>
          <rPr>
            <b/>
            <sz val="9"/>
            <color indexed="81"/>
            <rFont val="MS P ゴシック"/>
            <family val="3"/>
            <charset val="128"/>
          </rPr>
          <t>6Eが1枠のため修了生に変更　7/28田中</t>
        </r>
      </text>
    </comment>
    <comment ref="BC38" authorId="2" shapeId="0" xr:uid="{0E54FD09-4171-4DCF-8D27-67525D7C2A9A}">
      <text>
        <r>
          <rPr>
            <b/>
            <sz val="9"/>
            <color indexed="81"/>
            <rFont val="MS P ゴシック"/>
            <family val="3"/>
            <charset val="128"/>
          </rPr>
          <t>元7B</t>
        </r>
      </text>
    </comment>
    <comment ref="BL38" authorId="2" shapeId="0" xr:uid="{616FABB9-86E3-49E8-8C21-DB78DA01B27B}">
      <text>
        <r>
          <rPr>
            <b/>
            <sz val="9"/>
            <color indexed="81"/>
            <rFont val="MS P ゴシック"/>
            <family val="3"/>
            <charset val="128"/>
          </rPr>
          <t>黒岩先生NGとなったため、7Aに入っていただけないか確認/田中→OK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創造社リカレントスクール福岡校01</author>
  </authors>
  <commentList>
    <comment ref="B10" authorId="0" shapeId="0" xr:uid="{1F5D68E9-7EF3-4871-AFAE-E77DCF4864E2}">
      <text>
        <r>
          <rPr>
            <b/>
            <sz val="9"/>
            <color indexed="81"/>
            <rFont val="MS P ゴシック"/>
            <family val="3"/>
            <charset val="128"/>
          </rPr>
          <t xml:space="preserve">7C
</t>
        </r>
      </text>
    </comment>
    <comment ref="B14" authorId="0" shapeId="0" xr:uid="{89E692A8-2CEE-4E84-A4D9-25A529836DA9}">
      <text>
        <r>
          <rPr>
            <b/>
            <sz val="9"/>
            <color indexed="81"/>
            <rFont val="MS P ゴシック"/>
            <family val="3"/>
            <charset val="128"/>
          </rPr>
          <t>7B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FCE935BF-857E-4E75-84AD-53A9D4198E5E}">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B1E82235-0984-476F-9914-055AB9DCB631}">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16816EB3-0117-45E2-97B1-78A86D051707}">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EF699C96-4A97-4EDA-87A2-C4F1F6E8C9AD}">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C5A71409-F3D1-4E7B-8941-29EF0D59C6F6}">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9514B8B1-A4A7-437A-945C-9785ACB552B0}">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F313AE42-8937-4C51-9ED4-C85FF3B6C2CE}">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DBED192A-2BF1-4F45-88BA-5F4D3B7738C7}">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8E71B86F-1EAE-4DF5-A37B-2B6E3556FE2D}">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B8778502-A23A-4739-A156-D7D302A1CEA2}">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CFF6C7B3-EBFE-45EE-925F-CF6080782E1E}">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8639E182-C739-43E9-A8D9-BDF5DE1BEE45}">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3716A72F-6C12-4095-A742-1A5661497BB2}">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4AFEAFA1-89AC-421C-8119-3EC551B3FE75}">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6EED1A62-3C4A-4947-A253-CE5813D2ED86}">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FF87F697-0046-45FB-B008-FC9D786E6806}">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D6406BDE-2658-437B-ABCE-6990AA67168B}">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B85026DD-F17B-4CE8-9416-30A6D44AC69C}">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99C5A8F9-FBFA-42E1-8AA0-CA61D9D6BD8A}">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7ABCE21C-5219-43F3-93B6-4A2EF2446393}">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6CD4EBC4-2CB8-4046-AD47-0238D09F5156}">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BA7D1FED-5925-4A6E-8968-1D6DA043198D}">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1858A415-22EB-4D76-BA84-90DF0DAA8111}">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7E36CA1A-47FE-4504-AD2D-82A4237A2F2C}">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D78A7EAF-F6CC-423F-BFC8-BBF921385A10}">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17D62357-1076-4AA8-A8AD-CB80678C8D4D}">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7B1EB276-0F07-4EDD-BB2D-A29ED009ADDC}">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9005F2A9-21B7-4A97-B866-E1279BBEB24A}">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23585AE2-68C1-4D01-A7D4-A3E3898B2B8B}">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6CD8DA57-0268-465C-860C-D2BE583DAFB7}">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E616B3FE-254B-4993-AC32-D3183F3327FA}">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68834442-82BD-4CB6-869C-00F0542FD492}">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8A6A07B5-0E66-4328-AB86-41895F83BD1F}">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CDF28084-048F-4153-8E9E-70900A2B02CA}">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0855C2F4-AA71-49DB-949A-C8A4F6516EDE}">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9853EB7F-AB67-4FC6-8B9E-EE65034255F7}">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BF93F4B4-1B1D-4F94-A440-C9B721FF8453}">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0093A458-6C2E-4D02-8069-02841F768A89}">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4A9E3BAF-F293-41A5-B118-FE350B17B6FB}">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CEFFC542-7C0B-489F-9955-87E013CF9D45}">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2CB59A13-EDDE-49DC-AFD5-78EE973236AD}">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DAB2A637-0AC9-440D-9132-652E23AF53CF}">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6B825B37-025A-4BF3-8DBD-F4EF7D9837CC}">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664538CD-BA92-4E5E-85A1-81ECA3E00FA3}">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361F87D2-D8F1-4372-9569-BB0CCF9DCCCB}">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高齢・障害・求職者雇用支援機構</author>
  </authors>
  <commentList>
    <comment ref="J3" authorId="0" shapeId="0" xr:uid="{0965725A-5C73-4E59-AE2D-0C36CE4ABCC1}">
      <text>
        <r>
          <rPr>
            <b/>
            <sz val="12"/>
            <color indexed="81"/>
            <rFont val="HG丸ｺﾞｼｯｸM-PRO"/>
            <family val="3"/>
            <charset val="128"/>
          </rPr>
          <t>様式6号作成する際は、</t>
        </r>
        <r>
          <rPr>
            <b/>
            <sz val="12"/>
            <color indexed="10"/>
            <rFont val="HG丸ｺﾞｼｯｸM-PRO"/>
            <family val="3"/>
            <charset val="128"/>
          </rPr>
          <t>最初にハローワーク来所日の
①②③</t>
        </r>
        <r>
          <rPr>
            <b/>
            <sz val="12"/>
            <color indexed="81"/>
            <rFont val="HG丸ｺﾞｼｯｸM-PRO"/>
            <family val="3"/>
            <charset val="128"/>
          </rPr>
          <t>を選んでください。</t>
        </r>
      </text>
    </comment>
    <comment ref="F154" authorId="0" shapeId="0" xr:uid="{696D6A70-57E0-4E84-8379-54BBC4D145E9}">
      <text>
        <r>
          <rPr>
            <b/>
            <sz val="12"/>
            <color indexed="10"/>
            <rFont val="MS P ゴシック"/>
            <family val="3"/>
            <charset val="128"/>
          </rPr>
          <t>【注意事項】
　訓練終了時間</t>
        </r>
        <r>
          <rPr>
            <b/>
            <sz val="12"/>
            <color indexed="81"/>
            <rFont val="MS P ゴシック"/>
            <family val="3"/>
            <charset val="128"/>
          </rPr>
          <t>(</t>
        </r>
        <r>
          <rPr>
            <b/>
            <sz val="12"/>
            <color indexed="39"/>
            <rFont val="MS P ゴシック"/>
            <family val="3"/>
            <charset val="128"/>
          </rPr>
          <t>質疑応答まで含む</t>
        </r>
        <r>
          <rPr>
            <b/>
            <sz val="12"/>
            <color indexed="81"/>
            <rFont val="MS P ゴシック"/>
            <family val="3"/>
            <charset val="128"/>
          </rPr>
          <t>)は、</t>
        </r>
        <r>
          <rPr>
            <b/>
            <sz val="12"/>
            <color indexed="10"/>
            <rFont val="MS P ゴシック"/>
            <family val="3"/>
            <charset val="128"/>
          </rPr>
          <t>22時</t>
        </r>
        <r>
          <rPr>
            <b/>
            <sz val="12"/>
            <color indexed="81"/>
            <rFont val="MS P ゴシック"/>
            <family val="3"/>
            <charset val="128"/>
          </rPr>
          <t>を</t>
        </r>
        <r>
          <rPr>
            <b/>
            <sz val="12"/>
            <color indexed="10"/>
            <rFont val="MS P ゴシック"/>
            <family val="3"/>
            <charset val="128"/>
          </rPr>
          <t>超えて</t>
        </r>
        <r>
          <rPr>
            <b/>
            <sz val="12"/>
            <color indexed="81"/>
            <rFont val="MS P ゴシック"/>
            <family val="3"/>
            <charset val="128"/>
          </rPr>
          <t>の</t>
        </r>
        <r>
          <rPr>
            <b/>
            <sz val="12"/>
            <color indexed="10"/>
            <rFont val="MS P ゴシック"/>
            <family val="3"/>
            <charset val="128"/>
          </rPr>
          <t>設定</t>
        </r>
        <r>
          <rPr>
            <b/>
            <sz val="12"/>
            <color indexed="81"/>
            <rFont val="MS P ゴシック"/>
            <family val="3"/>
            <charset val="128"/>
          </rPr>
          <t>は</t>
        </r>
        <r>
          <rPr>
            <b/>
            <sz val="12"/>
            <color indexed="10"/>
            <rFont val="MS P ゴシック"/>
            <family val="3"/>
            <charset val="128"/>
          </rPr>
          <t>できません。
　</t>
        </r>
        <r>
          <rPr>
            <b/>
            <sz val="12"/>
            <color indexed="81"/>
            <rFont val="MS P ゴシック"/>
            <family val="3"/>
            <charset val="128"/>
          </rPr>
          <t>授業時間及び質疑応答時間は、</t>
        </r>
        <r>
          <rPr>
            <b/>
            <sz val="12"/>
            <color indexed="10"/>
            <rFont val="MS P ゴシック"/>
            <family val="3"/>
            <charset val="128"/>
          </rPr>
          <t>９時から２２時までの間に設定</t>
        </r>
        <r>
          <rPr>
            <b/>
            <sz val="12"/>
            <color indexed="81"/>
            <rFont val="MS P ゴシック"/>
            <family val="3"/>
            <charset val="128"/>
          </rPr>
          <t>してください。</t>
        </r>
      </text>
    </comment>
    <comment ref="C155" authorId="0" shapeId="0" xr:uid="{DFC0B92F-3749-4377-A628-884C1AFFDEA5}">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C160" authorId="0" shapeId="0" xr:uid="{75359BC5-AC52-4242-B3BC-BE8CA24F8202}">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 ref="N160" authorId="0" shapeId="0" xr:uid="{136D5FF9-E87F-4DCC-82E7-C31BDC017596}">
      <text>
        <r>
          <rPr>
            <b/>
            <sz val="14"/>
            <color indexed="10"/>
            <rFont val="ＭＳ ゴシック"/>
            <family val="3"/>
            <charset val="128"/>
          </rPr>
          <t>【注意事項】</t>
        </r>
        <r>
          <rPr>
            <b/>
            <sz val="14"/>
            <color indexed="81"/>
            <rFont val="ＭＳ ゴシック"/>
            <family val="3"/>
            <charset val="128"/>
          </rPr>
          <t xml:space="preserve">
　気象現象やその他の特別な事項により休校が発生し、
　</t>
        </r>
        <r>
          <rPr>
            <b/>
            <sz val="14"/>
            <color indexed="10"/>
            <rFont val="ＭＳ ゴシック"/>
            <family val="3"/>
            <charset val="128"/>
          </rPr>
          <t>やむ負えず授業を振り替える場合にのみ、利用できます</t>
        </r>
        <r>
          <rPr>
            <b/>
            <sz val="14"/>
            <color indexed="81"/>
            <rFont val="ＭＳ ゴシック"/>
            <family val="3"/>
            <charset val="128"/>
          </rPr>
          <t>。
　それ以外は、入力しないでください。
　終了時間(質疑応答まで含む)は、</t>
        </r>
        <r>
          <rPr>
            <b/>
            <sz val="14"/>
            <color indexed="10"/>
            <rFont val="ＭＳ ゴシック"/>
            <family val="3"/>
            <charset val="128"/>
          </rPr>
          <t>22時を超えての設定はできません</t>
        </r>
        <r>
          <rPr>
            <b/>
            <sz val="14"/>
            <color indexed="81"/>
            <rFont val="ＭＳ ゴシック"/>
            <family val="3"/>
            <charset val="128"/>
          </rPr>
          <t>。
　</t>
        </r>
        <r>
          <rPr>
            <b/>
            <sz val="14"/>
            <color indexed="39"/>
            <rFont val="ＭＳ ゴシック"/>
            <family val="3"/>
            <charset val="128"/>
          </rPr>
          <t>授業時間及び質疑応答時間は、</t>
        </r>
        <r>
          <rPr>
            <b/>
            <sz val="14"/>
            <color indexed="10"/>
            <rFont val="ＭＳ ゴシック"/>
            <family val="3"/>
            <charset val="128"/>
          </rPr>
          <t>９時から２２時までの間に設定</t>
        </r>
        <r>
          <rPr>
            <b/>
            <sz val="14"/>
            <color indexed="39"/>
            <rFont val="ＭＳ ゴシック"/>
            <family val="3"/>
            <charset val="128"/>
          </rPr>
          <t>してください。</t>
        </r>
      </text>
    </comment>
  </commentList>
</comments>
</file>

<file path=xl/sharedStrings.xml><?xml version="1.0" encoding="utf-8"?>
<sst xmlns="http://schemas.openxmlformats.org/spreadsheetml/2006/main" count="6241" uniqueCount="463">
  <si>
    <t>7D</t>
  </si>
  <si>
    <t>7A</t>
  </si>
  <si>
    <t>CL</t>
  </si>
  <si>
    <t>7C</t>
  </si>
  <si>
    <t>6F</t>
  </si>
  <si>
    <t>6G</t>
  </si>
  <si>
    <t>6C</t>
  </si>
  <si>
    <t>6B</t>
  </si>
  <si>
    <t>7B</t>
  </si>
  <si>
    <t>6A</t>
  </si>
  <si>
    <t>6D</t>
  </si>
  <si>
    <t>6E</t>
  </si>
  <si>
    <t>6A</t>
    <phoneticPr fontId="4"/>
  </si>
  <si>
    <t>6B</t>
    <phoneticPr fontId="4"/>
  </si>
  <si>
    <t>6C</t>
    <phoneticPr fontId="4"/>
  </si>
  <si>
    <t>6D</t>
    <phoneticPr fontId="4"/>
  </si>
  <si>
    <t>6E</t>
    <phoneticPr fontId="4"/>
  </si>
  <si>
    <t>6F</t>
    <phoneticPr fontId="4"/>
  </si>
  <si>
    <t>6G</t>
    <phoneticPr fontId="4"/>
  </si>
  <si>
    <t>6H</t>
    <phoneticPr fontId="4"/>
  </si>
  <si>
    <t>7A</t>
    <phoneticPr fontId="4"/>
  </si>
  <si>
    <t>7B</t>
    <phoneticPr fontId="4"/>
  </si>
  <si>
    <t>7C</t>
    <phoneticPr fontId="4"/>
  </si>
  <si>
    <t>7D</t>
    <phoneticPr fontId="4"/>
  </si>
  <si>
    <t>不可</t>
    <rPh sb="0" eb="2">
      <t>フカ</t>
    </rPh>
    <phoneticPr fontId="4"/>
  </si>
  <si>
    <t>CL</t>
    <phoneticPr fontId="4"/>
  </si>
  <si>
    <r>
      <rPr>
        <sz val="9"/>
        <color rgb="FF000000"/>
        <rFont val="Arial"/>
        <family val="3"/>
        <charset val="128"/>
        <scheme val="minor"/>
      </rPr>
      <t>クラス名</t>
    </r>
    <rPh sb="3" eb="4">
      <t>メイ</t>
    </rPh>
    <phoneticPr fontId="4"/>
  </si>
  <si>
    <r>
      <t>6A</t>
    </r>
    <r>
      <rPr>
        <sz val="9"/>
        <color rgb="FF000000"/>
        <rFont val="Arial"/>
        <family val="3"/>
        <charset val="128"/>
        <scheme val="minor"/>
      </rPr>
      <t>修</t>
    </r>
    <rPh sb="2" eb="3">
      <t>シュウ</t>
    </rPh>
    <phoneticPr fontId="4"/>
  </si>
  <si>
    <r>
      <t>6B</t>
    </r>
    <r>
      <rPr>
        <sz val="9"/>
        <color rgb="FF000000"/>
        <rFont val="Arial"/>
        <family val="3"/>
        <charset val="128"/>
        <scheme val="minor"/>
      </rPr>
      <t>修</t>
    </r>
    <phoneticPr fontId="4"/>
  </si>
  <si>
    <r>
      <t>6C</t>
    </r>
    <r>
      <rPr>
        <sz val="9"/>
        <color rgb="FF000000"/>
        <rFont val="Arial"/>
        <family val="3"/>
        <charset val="128"/>
        <scheme val="minor"/>
      </rPr>
      <t>修</t>
    </r>
    <phoneticPr fontId="4"/>
  </si>
  <si>
    <r>
      <t>6D</t>
    </r>
    <r>
      <rPr>
        <sz val="9"/>
        <color rgb="FF000000"/>
        <rFont val="Arial"/>
        <family val="3"/>
        <charset val="128"/>
        <scheme val="minor"/>
      </rPr>
      <t>修</t>
    </r>
    <phoneticPr fontId="4"/>
  </si>
  <si>
    <r>
      <t>6E</t>
    </r>
    <r>
      <rPr>
        <sz val="9"/>
        <color rgb="FF000000"/>
        <rFont val="Arial"/>
        <family val="3"/>
        <charset val="128"/>
        <scheme val="minor"/>
      </rPr>
      <t>修</t>
    </r>
    <phoneticPr fontId="4"/>
  </si>
  <si>
    <r>
      <t>6F</t>
    </r>
    <r>
      <rPr>
        <sz val="9"/>
        <color rgb="FF000000"/>
        <rFont val="Arial"/>
        <family val="3"/>
        <charset val="128"/>
        <scheme val="minor"/>
      </rPr>
      <t>修</t>
    </r>
    <phoneticPr fontId="4"/>
  </si>
  <si>
    <r>
      <t>6G</t>
    </r>
    <r>
      <rPr>
        <sz val="9"/>
        <color rgb="FF000000"/>
        <rFont val="Arial"/>
        <family val="3"/>
        <charset val="128"/>
        <scheme val="minor"/>
      </rPr>
      <t>修</t>
    </r>
    <phoneticPr fontId="4"/>
  </si>
  <si>
    <r>
      <t>6H</t>
    </r>
    <r>
      <rPr>
        <sz val="9"/>
        <color rgb="FF000000"/>
        <rFont val="Arial"/>
        <family val="3"/>
        <charset val="128"/>
        <scheme val="minor"/>
      </rPr>
      <t>修</t>
    </r>
    <phoneticPr fontId="4"/>
  </si>
  <si>
    <r>
      <t>7A</t>
    </r>
    <r>
      <rPr>
        <sz val="9"/>
        <color rgb="FF000000"/>
        <rFont val="Arial"/>
        <family val="3"/>
        <charset val="128"/>
        <scheme val="minor"/>
      </rPr>
      <t>修</t>
    </r>
    <phoneticPr fontId="4"/>
  </si>
  <si>
    <r>
      <t>7B</t>
    </r>
    <r>
      <rPr>
        <sz val="9"/>
        <color rgb="FF000000"/>
        <rFont val="Arial"/>
        <family val="3"/>
        <charset val="128"/>
        <scheme val="minor"/>
      </rPr>
      <t>修</t>
    </r>
    <phoneticPr fontId="4"/>
  </si>
  <si>
    <r>
      <t>7C</t>
    </r>
    <r>
      <rPr>
        <sz val="9"/>
        <color rgb="FF000000"/>
        <rFont val="Arial"/>
        <family val="3"/>
        <charset val="128"/>
        <scheme val="minor"/>
      </rPr>
      <t>修</t>
    </r>
    <phoneticPr fontId="4"/>
  </si>
  <si>
    <r>
      <t>7D</t>
    </r>
    <r>
      <rPr>
        <sz val="9"/>
        <color rgb="FF000000"/>
        <rFont val="Arial"/>
        <family val="3"/>
        <charset val="128"/>
        <scheme val="minor"/>
      </rPr>
      <t>修</t>
    </r>
    <phoneticPr fontId="4"/>
  </si>
  <si>
    <r>
      <rPr>
        <sz val="9"/>
        <color rgb="FF000000"/>
        <rFont val="Arial"/>
        <family val="3"/>
        <charset val="128"/>
        <scheme val="minor"/>
      </rPr>
      <t>相談</t>
    </r>
    <rPh sb="0" eb="2">
      <t>ソウダン</t>
    </rPh>
    <phoneticPr fontId="4"/>
  </si>
  <si>
    <r>
      <rPr>
        <sz val="9"/>
        <color rgb="FF000000"/>
        <rFont val="Arial"/>
        <family val="3"/>
        <charset val="128"/>
        <scheme val="minor"/>
      </rPr>
      <t>不可</t>
    </r>
    <rPh sb="0" eb="2">
      <t>フカ</t>
    </rPh>
    <phoneticPr fontId="4"/>
  </si>
  <si>
    <t>修了</t>
    <rPh sb="0" eb="2">
      <t>シュウリョウ</t>
    </rPh>
    <phoneticPr fontId="4"/>
  </si>
  <si>
    <t>使用教室数</t>
    <rPh sb="0" eb="2">
      <t>シヨウ</t>
    </rPh>
    <rPh sb="2" eb="5">
      <t>キョウシツスウ</t>
    </rPh>
    <phoneticPr fontId="4"/>
  </si>
  <si>
    <t>Zoom利用数</t>
    <rPh sb="4" eb="6">
      <t>リヨウ</t>
    </rPh>
    <rPh sb="6" eb="7">
      <t>スウ</t>
    </rPh>
    <phoneticPr fontId="4"/>
  </si>
  <si>
    <t>講師稼働数</t>
    <rPh sb="0" eb="2">
      <t>コウシ</t>
    </rPh>
    <rPh sb="2" eb="4">
      <t>カドウ</t>
    </rPh>
    <rPh sb="4" eb="5">
      <t>スウ</t>
    </rPh>
    <phoneticPr fontId="4"/>
  </si>
  <si>
    <t>対応可能数</t>
    <rPh sb="0" eb="2">
      <t>タイオウ</t>
    </rPh>
    <rPh sb="2" eb="5">
      <t>カノウスウ</t>
    </rPh>
    <phoneticPr fontId="4"/>
  </si>
  <si>
    <t>認定様式第６号</t>
    <phoneticPr fontId="18"/>
  </si>
  <si>
    <t>日　別　計　画　表</t>
    <rPh sb="0" eb="1">
      <t>ニチ</t>
    </rPh>
    <rPh sb="2" eb="3">
      <t>ベツ</t>
    </rPh>
    <rPh sb="4" eb="5">
      <t>ケイ</t>
    </rPh>
    <rPh sb="6" eb="7">
      <t>ガ</t>
    </rPh>
    <rPh sb="8" eb="9">
      <t>ヒョウ</t>
    </rPh>
    <phoneticPr fontId="18"/>
  </si>
  <si>
    <t>訓練月数＝0　or　""："訓練期間が入力されていません！！"</t>
    <rPh sb="0" eb="2">
      <t>クンレン</t>
    </rPh>
    <rPh sb="2" eb="4">
      <t>ツキスウ</t>
    </rPh>
    <rPh sb="14" eb="16">
      <t>クンレン</t>
    </rPh>
    <rPh sb="16" eb="18">
      <t>キカン</t>
    </rPh>
    <rPh sb="19" eb="21">
      <t>ニュウリョク</t>
    </rPh>
    <phoneticPr fontId="18"/>
  </si>
  <si>
    <t>訓練月数＝1：訓練終了日が1回目のハローワーク来所日以前の時、来所パターン＝0or4はOK。</t>
    <rPh sb="0" eb="2">
      <t>クンレン</t>
    </rPh>
    <rPh sb="2" eb="4">
      <t>ツキスウ</t>
    </rPh>
    <rPh sb="7" eb="9">
      <t>クンレン</t>
    </rPh>
    <rPh sb="9" eb="12">
      <t>シュウリョウビ</t>
    </rPh>
    <rPh sb="14" eb="16">
      <t>カイメ</t>
    </rPh>
    <rPh sb="23" eb="24">
      <t>ライ</t>
    </rPh>
    <rPh sb="24" eb="25">
      <t>ショ</t>
    </rPh>
    <rPh sb="25" eb="26">
      <t>ビ</t>
    </rPh>
    <rPh sb="26" eb="28">
      <t>イゼン</t>
    </rPh>
    <rPh sb="29" eb="30">
      <t>トキ</t>
    </rPh>
    <rPh sb="31" eb="32">
      <t>ライ</t>
    </rPh>
    <rPh sb="32" eb="33">
      <t>ショ</t>
    </rPh>
    <phoneticPr fontId="18"/>
  </si>
  <si>
    <t>訓練月数＞1：来所パターンが1・2・3以外の時、"ハローワーク来所日を選択してください！！"</t>
    <rPh sb="0" eb="2">
      <t>クンレン</t>
    </rPh>
    <rPh sb="2" eb="4">
      <t>ツキスウ</t>
    </rPh>
    <rPh sb="7" eb="8">
      <t>ライ</t>
    </rPh>
    <rPh sb="8" eb="9">
      <t>ショ</t>
    </rPh>
    <rPh sb="19" eb="21">
      <t>イガイ</t>
    </rPh>
    <rPh sb="22" eb="23">
      <t>トキ</t>
    </rPh>
    <rPh sb="31" eb="32">
      <t>ライ</t>
    </rPh>
    <rPh sb="32" eb="33">
      <t>ショ</t>
    </rPh>
    <rPh sb="33" eb="34">
      <t>ビ</t>
    </rPh>
    <rPh sb="35" eb="37">
      <t>センタク</t>
    </rPh>
    <phoneticPr fontId="18"/>
  </si>
  <si>
    <t>月</t>
    <rPh sb="0" eb="1">
      <t>ツキ</t>
    </rPh>
    <phoneticPr fontId="18"/>
  </si>
  <si>
    <t>日</t>
    <rPh sb="0" eb="1">
      <t>ニチ</t>
    </rPh>
    <phoneticPr fontId="18"/>
  </si>
  <si>
    <t>曜</t>
    <rPh sb="0" eb="1">
      <t>ヒカリ</t>
    </rPh>
    <phoneticPr fontId="18"/>
  </si>
  <si>
    <t>１か月目</t>
    <rPh sb="2" eb="3">
      <t>ツキ</t>
    </rPh>
    <rPh sb="3" eb="4">
      <t>メ</t>
    </rPh>
    <phoneticPr fontId="18"/>
  </si>
  <si>
    <t>入校式・オリエンテーション（3H）</t>
  </si>
  <si>
    <t>キャリアコンサルティング①</t>
  </si>
  <si>
    <t>キャリアコンサルティング①</t>
    <phoneticPr fontId="18"/>
  </si>
  <si>
    <t>訓</t>
    <rPh sb="0" eb="1">
      <t>クン</t>
    </rPh>
    <phoneticPr fontId="18"/>
  </si>
  <si>
    <t>練</t>
    <rPh sb="0" eb="1">
      <t>レン</t>
    </rPh>
    <phoneticPr fontId="18"/>
  </si>
  <si>
    <t>内</t>
    <rPh sb="0" eb="1">
      <t>ナイ</t>
    </rPh>
    <phoneticPr fontId="18"/>
  </si>
  <si>
    <t>容</t>
    <rPh sb="0" eb="1">
      <t>ヨウ</t>
    </rPh>
    <phoneticPr fontId="18"/>
  </si>
  <si>
    <t>能開講習</t>
    <rPh sb="0" eb="2">
      <t>ノウカイ</t>
    </rPh>
    <rPh sb="2" eb="4">
      <t>コウシュウ</t>
    </rPh>
    <phoneticPr fontId="18"/>
  </si>
  <si>
    <t>成績
考査等</t>
    <rPh sb="0" eb="2">
      <t>セイセキ</t>
    </rPh>
    <rPh sb="3" eb="5">
      <t>コウサ</t>
    </rPh>
    <rPh sb="5" eb="6">
      <t>トウ</t>
    </rPh>
    <phoneticPr fontId="18"/>
  </si>
  <si>
    <t>○</t>
  </si>
  <si>
    <t>オンライン</t>
    <phoneticPr fontId="18"/>
  </si>
  <si>
    <t>時間</t>
    <rPh sb="0" eb="2">
      <t>ジカン</t>
    </rPh>
    <phoneticPr fontId="18"/>
  </si>
  <si>
    <t>キャリアコンサルティング②</t>
  </si>
  <si>
    <t>キャリアコンサルティング③</t>
  </si>
  <si>
    <t>◎</t>
  </si>
  <si>
    <t>キャリアコンサルティング実施予定表</t>
    <rPh sb="12" eb="14">
      <t>ジッシ</t>
    </rPh>
    <rPh sb="14" eb="16">
      <t>ヨテイ</t>
    </rPh>
    <rPh sb="16" eb="17">
      <t>ヒョウ</t>
    </rPh>
    <phoneticPr fontId="18"/>
  </si>
  <si>
    <t>入校式開始時間</t>
    <rPh sb="0" eb="3">
      <t>ニュウコウシキ</t>
    </rPh>
    <rPh sb="3" eb="5">
      <t>カイシ</t>
    </rPh>
    <rPh sb="5" eb="7">
      <t>ジカン</t>
    </rPh>
    <phoneticPr fontId="18"/>
  </si>
  <si>
    <t>～</t>
    <phoneticPr fontId="18"/>
  </si>
  <si>
    <t>実施期間</t>
    <rPh sb="0" eb="2">
      <t>ジッシ</t>
    </rPh>
    <rPh sb="2" eb="4">
      <t>キカン</t>
    </rPh>
    <phoneticPr fontId="18"/>
  </si>
  <si>
    <t>備　考</t>
    <rPh sb="0" eb="1">
      <t>ソナエ</t>
    </rPh>
    <rPh sb="2" eb="3">
      <t>コウ</t>
    </rPh>
    <phoneticPr fontId="18"/>
  </si>
  <si>
    <t>修了式開始時間</t>
    <rPh sb="0" eb="2">
      <t>シュウリョウ</t>
    </rPh>
    <rPh sb="2" eb="3">
      <t>シキ</t>
    </rPh>
    <rPh sb="3" eb="5">
      <t>カイシ</t>
    </rPh>
    <rPh sb="5" eb="7">
      <t>ジカン</t>
    </rPh>
    <phoneticPr fontId="18"/>
  </si>
  <si>
    <t>１回目</t>
    <rPh sb="1" eb="2">
      <t>カイ</t>
    </rPh>
    <rPh sb="2" eb="3">
      <t>メ</t>
    </rPh>
    <phoneticPr fontId="18"/>
  </si>
  <si>
    <t>２回目</t>
    <rPh sb="1" eb="2">
      <t>カイ</t>
    </rPh>
    <rPh sb="2" eb="3">
      <t>メ</t>
    </rPh>
    <phoneticPr fontId="18"/>
  </si>
  <si>
    <t>３回目</t>
    <rPh sb="1" eb="2">
      <t>カイ</t>
    </rPh>
    <rPh sb="2" eb="3">
      <t>メ</t>
    </rPh>
    <phoneticPr fontId="18"/>
  </si>
  <si>
    <t>４回目</t>
    <rPh sb="1" eb="2">
      <t>カイ</t>
    </rPh>
    <rPh sb="2" eb="3">
      <t>メ</t>
    </rPh>
    <phoneticPr fontId="18"/>
  </si>
  <si>
    <t>５回目</t>
    <rPh sb="1" eb="2">
      <t>カイ</t>
    </rPh>
    <rPh sb="2" eb="3">
      <t>メ</t>
    </rPh>
    <phoneticPr fontId="18"/>
  </si>
  <si>
    <t>６回目</t>
    <rPh sb="1" eb="2">
      <t>カイ</t>
    </rPh>
    <rPh sb="2" eb="3">
      <t>メ</t>
    </rPh>
    <phoneticPr fontId="18"/>
  </si>
  <si>
    <t>時間割表</t>
    <rPh sb="0" eb="3">
      <t>ジカンワリ</t>
    </rPh>
    <rPh sb="3" eb="4">
      <t>ヒョウ</t>
    </rPh>
    <phoneticPr fontId="18"/>
  </si>
  <si>
    <t>区分</t>
    <rPh sb="0" eb="2">
      <t>クブン</t>
    </rPh>
    <phoneticPr fontId="18"/>
  </si>
  <si>
    <t>受講時間</t>
    <rPh sb="0" eb="2">
      <t>ジュコウ</t>
    </rPh>
    <rPh sb="2" eb="4">
      <t>ジカン</t>
    </rPh>
    <phoneticPr fontId="18"/>
  </si>
  <si>
    <t>１限目</t>
    <rPh sb="1" eb="2">
      <t>ゲン</t>
    </rPh>
    <rPh sb="2" eb="3">
      <t>メ</t>
    </rPh>
    <phoneticPr fontId="18"/>
  </si>
  <si>
    <t>ハローワーク来所予定表</t>
    <phoneticPr fontId="18"/>
  </si>
  <si>
    <t>２限目</t>
    <rPh sb="1" eb="2">
      <t>ゲン</t>
    </rPh>
    <rPh sb="2" eb="3">
      <t>メ</t>
    </rPh>
    <phoneticPr fontId="18"/>
  </si>
  <si>
    <t>３限目</t>
    <rPh sb="1" eb="2">
      <t>ゲン</t>
    </rPh>
    <rPh sb="2" eb="3">
      <t>メ</t>
    </rPh>
    <phoneticPr fontId="18"/>
  </si>
  <si>
    <t>様式7の１作成へ</t>
  </si>
  <si>
    <t>４限目</t>
    <rPh sb="1" eb="2">
      <t>ゲン</t>
    </rPh>
    <rPh sb="2" eb="3">
      <t>メ</t>
    </rPh>
    <phoneticPr fontId="18"/>
  </si>
  <si>
    <t>５限目</t>
    <rPh sb="1" eb="2">
      <t>ゲン</t>
    </rPh>
    <rPh sb="2" eb="3">
      <t>メ</t>
    </rPh>
    <phoneticPr fontId="18"/>
  </si>
  <si>
    <t>一覧表へ戻る</t>
  </si>
  <si>
    <t>６限目</t>
    <rPh sb="1" eb="2">
      <t>ゲン</t>
    </rPh>
    <rPh sb="2" eb="3">
      <t>メ</t>
    </rPh>
    <phoneticPr fontId="18"/>
  </si>
  <si>
    <t>質疑応答</t>
    <rPh sb="0" eb="2">
      <t>シツギ</t>
    </rPh>
    <rPh sb="2" eb="4">
      <t>オウトウ</t>
    </rPh>
    <phoneticPr fontId="18"/>
  </si>
  <si>
    <t>7限目</t>
    <rPh sb="1" eb="3">
      <t>ゲンメ</t>
    </rPh>
    <phoneticPr fontId="18"/>
  </si>
  <si>
    <t>時間割表②</t>
    <rPh sb="0" eb="3">
      <t>ジカンワリ</t>
    </rPh>
    <rPh sb="3" eb="4">
      <t>ヒョウ</t>
    </rPh>
    <phoneticPr fontId="18"/>
  </si>
  <si>
    <t>時間割表③</t>
    <rPh sb="0" eb="3">
      <t>ジカンワリ</t>
    </rPh>
    <rPh sb="3" eb="4">
      <t>ヒョウ</t>
    </rPh>
    <phoneticPr fontId="18"/>
  </si>
  <si>
    <t>※機構処理欄</t>
    <rPh sb="1" eb="3">
      <t>キコウ</t>
    </rPh>
    <rPh sb="3" eb="5">
      <t>ショリ</t>
    </rPh>
    <rPh sb="5" eb="6">
      <t>ラン</t>
    </rPh>
    <phoneticPr fontId="18"/>
  </si>
  <si>
    <t>暦日数</t>
    <rPh sb="0" eb="1">
      <t>コヨミ</t>
    </rPh>
    <rPh sb="1" eb="3">
      <t>ニッスウ</t>
    </rPh>
    <phoneticPr fontId="18"/>
  </si>
  <si>
    <t>訓練日数</t>
    <rPh sb="0" eb="2">
      <t>クンレン</t>
    </rPh>
    <rPh sb="2" eb="4">
      <t>ニッスウ</t>
    </rPh>
    <phoneticPr fontId="18"/>
  </si>
  <si>
    <t>訓練時間</t>
    <rPh sb="0" eb="2">
      <t>クンレン</t>
    </rPh>
    <rPh sb="2" eb="4">
      <t>ジカン</t>
    </rPh>
    <phoneticPr fontId="18"/>
  </si>
  <si>
    <t>時間数チェック</t>
    <rPh sb="0" eb="3">
      <t>ジカンスウ</t>
    </rPh>
    <phoneticPr fontId="18"/>
  </si>
  <si>
    <t>か月目</t>
    <phoneticPr fontId="18"/>
  </si>
  <si>
    <t>～</t>
  </si>
  <si>
    <t>計</t>
    <rPh sb="0" eb="1">
      <t>ケイ</t>
    </rPh>
    <phoneticPr fontId="18"/>
  </si>
  <si>
    <t>※ 上記訓練日数等は訓練施設が行う訓練日数であり、職業訓練受講給付金に係る出席率算定日数とは異なる場合があります。</t>
    <phoneticPr fontId="18"/>
  </si>
  <si>
    <t>キャリアコンサルティング②</t>
    <phoneticPr fontId="18"/>
  </si>
  <si>
    <t>キャリアコンサルティング③</t>
    <phoneticPr fontId="18"/>
  </si>
  <si>
    <t>修了式（3H）</t>
  </si>
  <si>
    <t>職業人講話</t>
    <phoneticPr fontId="18"/>
  </si>
  <si>
    <t>〇</t>
    <phoneticPr fontId="4"/>
  </si>
  <si>
    <t>〇最終</t>
    <rPh sb="1" eb="3">
      <t>サイシュウ</t>
    </rPh>
    <phoneticPr fontId="4"/>
  </si>
  <si>
    <t>〇開始</t>
    <rPh sb="1" eb="3">
      <t>カイシ</t>
    </rPh>
    <phoneticPr fontId="4"/>
  </si>
  <si>
    <t>中止</t>
    <rPh sb="0" eb="2">
      <t>チュウシ</t>
    </rPh>
    <phoneticPr fontId="4"/>
  </si>
  <si>
    <t>教室Alert</t>
    <rPh sb="0" eb="2">
      <t>キョウシツ</t>
    </rPh>
    <phoneticPr fontId="4"/>
  </si>
  <si>
    <t>実施なし</t>
    <rPh sb="0" eb="2">
      <t>ジッシ</t>
    </rPh>
    <phoneticPr fontId="4"/>
  </si>
  <si>
    <t>平日</t>
    <rPh sb="0" eb="2">
      <t>ヘイジツ</t>
    </rPh>
    <phoneticPr fontId="4"/>
  </si>
  <si>
    <t>午後から分科会</t>
    <rPh sb="0" eb="2">
      <t>ゴゴ</t>
    </rPh>
    <rPh sb="4" eb="7">
      <t>ブンカカイ</t>
    </rPh>
    <phoneticPr fontId="4"/>
  </si>
  <si>
    <t>設定なし</t>
    <rPh sb="0" eb="2">
      <t>セッテイ</t>
    </rPh>
    <phoneticPr fontId="4"/>
  </si>
  <si>
    <t>登録講師数</t>
    <rPh sb="0" eb="2">
      <t>トウロク</t>
    </rPh>
    <rPh sb="2" eb="5">
      <t>コウシスウ</t>
    </rPh>
    <phoneticPr fontId="4"/>
  </si>
  <si>
    <t>対象</t>
  </si>
  <si>
    <t>日付</t>
  </si>
  <si>
    <t>キャリアコンサルティング</t>
  </si>
  <si>
    <t>キャリアコンサルティング　実施予定表</t>
    <rPh sb="13" eb="15">
      <t>ジッシ</t>
    </rPh>
    <rPh sb="15" eb="17">
      <t>ヨテイ</t>
    </rPh>
    <rPh sb="17" eb="18">
      <t>ヒョウ</t>
    </rPh>
    <phoneticPr fontId="57"/>
  </si>
  <si>
    <t>教室</t>
    <rPh sb="0" eb="2">
      <t>キョウシツ</t>
    </rPh>
    <phoneticPr fontId="57"/>
  </si>
  <si>
    <t>訓練科名</t>
    <rPh sb="0" eb="4">
      <t>クンレンカメイ</t>
    </rPh>
    <phoneticPr fontId="57"/>
  </si>
  <si>
    <t>1回目</t>
    <rPh sb="1" eb="3">
      <t>カイメ</t>
    </rPh>
    <phoneticPr fontId="57"/>
  </si>
  <si>
    <t>4回目</t>
    <rPh sb="1" eb="3">
      <t>カイメ</t>
    </rPh>
    <phoneticPr fontId="57"/>
  </si>
  <si>
    <t>講師</t>
    <rPh sb="0" eb="2">
      <t>コウシ</t>
    </rPh>
    <phoneticPr fontId="57"/>
  </si>
  <si>
    <t>出欠</t>
    <rPh sb="0" eb="2">
      <t>シュッケツ</t>
    </rPh>
    <phoneticPr fontId="57"/>
  </si>
  <si>
    <t>出席簿</t>
    <rPh sb="0" eb="3">
      <t>シュッセキボ</t>
    </rPh>
    <phoneticPr fontId="57"/>
  </si>
  <si>
    <t>講師</t>
    <phoneticPr fontId="57"/>
  </si>
  <si>
    <t>講師</t>
  </si>
  <si>
    <t>氏名</t>
    <rPh sb="0" eb="2">
      <t>シメイ</t>
    </rPh>
    <phoneticPr fontId="57"/>
  </si>
  <si>
    <t>10時～</t>
    <rPh sb="2" eb="3">
      <t>ジ</t>
    </rPh>
    <phoneticPr fontId="57"/>
  </si>
  <si>
    <t>11時～</t>
    <rPh sb="2" eb="3">
      <t>ジ</t>
    </rPh>
    <phoneticPr fontId="57"/>
  </si>
  <si>
    <t>12時～</t>
    <rPh sb="2" eb="3">
      <t>ジ</t>
    </rPh>
    <phoneticPr fontId="57"/>
  </si>
  <si>
    <t>14時～</t>
    <rPh sb="2" eb="3">
      <t>ジ</t>
    </rPh>
    <phoneticPr fontId="57"/>
  </si>
  <si>
    <t>15時～</t>
    <rPh sb="2" eb="3">
      <t>ジ</t>
    </rPh>
    <phoneticPr fontId="57"/>
  </si>
  <si>
    <t>16時～</t>
    <rPh sb="2" eb="3">
      <t>ジ</t>
    </rPh>
    <phoneticPr fontId="57"/>
  </si>
  <si>
    <t>実施日</t>
    <rPh sb="0" eb="2">
      <t>ジッシ</t>
    </rPh>
    <rPh sb="2" eb="3">
      <t>ヒ</t>
    </rPh>
    <phoneticPr fontId="57"/>
  </si>
  <si>
    <t>2回目</t>
    <rPh sb="1" eb="3">
      <t>カイメ</t>
    </rPh>
    <phoneticPr fontId="57"/>
  </si>
  <si>
    <t>2回目</t>
    <phoneticPr fontId="57"/>
  </si>
  <si>
    <t>5回目</t>
    <rPh sb="1" eb="3">
      <t>カイメ</t>
    </rPh>
    <phoneticPr fontId="57"/>
  </si>
  <si>
    <t>3回目</t>
    <rPh sb="1" eb="3">
      <t>カイメ</t>
    </rPh>
    <phoneticPr fontId="57"/>
  </si>
  <si>
    <t>3回目</t>
    <phoneticPr fontId="57"/>
  </si>
  <si>
    <t>6回目</t>
    <rPh sb="1" eb="3">
      <t>カイメ</t>
    </rPh>
    <phoneticPr fontId="57"/>
  </si>
  <si>
    <t>クラス使用状況</t>
    <rPh sb="3" eb="5">
      <t>シヨウ</t>
    </rPh>
    <rPh sb="5" eb="7">
      <t>ジョウキョウ</t>
    </rPh>
    <phoneticPr fontId="4"/>
  </si>
  <si>
    <t>生徒数</t>
    <rPh sb="0" eb="2">
      <t>セイト</t>
    </rPh>
    <rPh sb="2" eb="3">
      <t>スウ</t>
    </rPh>
    <phoneticPr fontId="4"/>
  </si>
  <si>
    <t>人数</t>
  </si>
  <si>
    <t>6E</t>
    <phoneticPr fontId="4"/>
  </si>
  <si>
    <t>7B</t>
    <phoneticPr fontId="4"/>
  </si>
  <si>
    <t>6F</t>
    <phoneticPr fontId="4"/>
  </si>
  <si>
    <t>7D</t>
    <phoneticPr fontId="4"/>
  </si>
  <si>
    <t>7A</t>
    <phoneticPr fontId="4"/>
  </si>
  <si>
    <t>6C</t>
    <phoneticPr fontId="4"/>
  </si>
  <si>
    <t>6A</t>
    <phoneticPr fontId="4"/>
  </si>
  <si>
    <t>6G</t>
    <phoneticPr fontId="4"/>
  </si>
  <si>
    <t>6B</t>
    <phoneticPr fontId="4"/>
  </si>
  <si>
    <t>6D</t>
    <phoneticPr fontId="4"/>
  </si>
  <si>
    <t>7C</t>
    <phoneticPr fontId="4"/>
  </si>
  <si>
    <t>生徒数</t>
    <rPh sb="0" eb="3">
      <t>セイトスウ</t>
    </rPh>
    <phoneticPr fontId="4"/>
  </si>
  <si>
    <t>日別表コピー範囲</t>
    <rPh sb="0" eb="1">
      <t>ニチ</t>
    </rPh>
    <rPh sb="1" eb="2">
      <t>ベツ</t>
    </rPh>
    <rPh sb="2" eb="3">
      <t>ヒョウ</t>
    </rPh>
    <rPh sb="6" eb="8">
      <t>ハンイ</t>
    </rPh>
    <phoneticPr fontId="4"/>
  </si>
  <si>
    <t>開始列</t>
    <rPh sb="0" eb="2">
      <t>カイシ</t>
    </rPh>
    <rPh sb="2" eb="3">
      <t>レツ</t>
    </rPh>
    <phoneticPr fontId="4"/>
  </si>
  <si>
    <t>C</t>
    <phoneticPr fontId="4"/>
  </si>
  <si>
    <t>終了列</t>
    <rPh sb="0" eb="2">
      <t>シュウリョウ</t>
    </rPh>
    <rPh sb="2" eb="3">
      <t>レツ</t>
    </rPh>
    <phoneticPr fontId="4"/>
  </si>
  <si>
    <t>AG</t>
    <phoneticPr fontId="4"/>
  </si>
  <si>
    <t>開始行数</t>
    <rPh sb="0" eb="2">
      <t>カイシ</t>
    </rPh>
    <rPh sb="2" eb="4">
      <t>ギョウスウ</t>
    </rPh>
    <phoneticPr fontId="4"/>
  </si>
  <si>
    <t>終了行数</t>
    <rPh sb="0" eb="2">
      <t>シュウリョウ</t>
    </rPh>
    <rPh sb="2" eb="4">
      <t>ギョウスウ</t>
    </rPh>
    <phoneticPr fontId="4"/>
  </si>
  <si>
    <t>:</t>
    <phoneticPr fontId="4"/>
  </si>
  <si>
    <t>※変更の際は背景黄色のセルを変更してください。全てのシートで同じ位置にある事を確認ください。</t>
    <rPh sb="1" eb="3">
      <t>ヘンコウ</t>
    </rPh>
    <rPh sb="4" eb="5">
      <t>サイ</t>
    </rPh>
    <rPh sb="6" eb="8">
      <t>ハイケイ</t>
    </rPh>
    <rPh sb="8" eb="10">
      <t>キイロ</t>
    </rPh>
    <rPh sb="14" eb="16">
      <t>ヘンコウ</t>
    </rPh>
    <rPh sb="23" eb="24">
      <t>スベ</t>
    </rPh>
    <rPh sb="30" eb="31">
      <t>オナ</t>
    </rPh>
    <rPh sb="32" eb="34">
      <t>イチ</t>
    </rPh>
    <rPh sb="37" eb="38">
      <t>コト</t>
    </rPh>
    <rPh sb="39" eb="41">
      <t>カクニン</t>
    </rPh>
    <phoneticPr fontId="4"/>
  </si>
  <si>
    <t>listcount</t>
    <phoneticPr fontId="4"/>
  </si>
  <si>
    <t>class</t>
    <phoneticPr fontId="4"/>
  </si>
  <si>
    <t>studentcount</t>
    <phoneticPr fontId="4"/>
  </si>
  <si>
    <t>studentsum</t>
    <phoneticPr fontId="4"/>
  </si>
  <si>
    <t>日付セル</t>
    <rPh sb="0" eb="2">
      <t>ヒヅケ</t>
    </rPh>
    <phoneticPr fontId="4"/>
  </si>
  <si>
    <t>C5</t>
    <phoneticPr fontId="4"/>
  </si>
  <si>
    <t>C16</t>
    <phoneticPr fontId="4"/>
  </si>
  <si>
    <t>C38</t>
  </si>
  <si>
    <t>C52</t>
  </si>
  <si>
    <t>C63</t>
  </si>
  <si>
    <t>O5</t>
  </si>
  <si>
    <t>O16</t>
  </si>
  <si>
    <t>O38</t>
    <phoneticPr fontId="4"/>
  </si>
  <si>
    <t>O52</t>
    <phoneticPr fontId="4"/>
  </si>
  <si>
    <t>O63</t>
    <phoneticPr fontId="4"/>
  </si>
  <si>
    <t>C27</t>
    <phoneticPr fontId="4"/>
  </si>
  <si>
    <t>O</t>
    <phoneticPr fontId="4"/>
  </si>
  <si>
    <t>O27</t>
    <phoneticPr fontId="4"/>
  </si>
  <si>
    <t>I</t>
    <phoneticPr fontId="4"/>
  </si>
  <si>
    <t>U</t>
    <phoneticPr fontId="4"/>
  </si>
  <si>
    <t>日程表範囲1</t>
    <rPh sb="0" eb="2">
      <t>ニッテイ</t>
    </rPh>
    <rPh sb="2" eb="3">
      <t>ヒョウ</t>
    </rPh>
    <rPh sb="3" eb="5">
      <t>ハンイ</t>
    </rPh>
    <phoneticPr fontId="4"/>
  </si>
  <si>
    <t>日程表範囲2</t>
    <rPh sb="0" eb="2">
      <t>ニッテイ</t>
    </rPh>
    <rPh sb="2" eb="3">
      <t>ヒョウ</t>
    </rPh>
    <rPh sb="3" eb="5">
      <t>ハンイ</t>
    </rPh>
    <phoneticPr fontId="4"/>
  </si>
  <si>
    <r>
      <rPr>
        <b/>
        <sz val="10"/>
        <color theme="0"/>
        <rFont val="ＭＳ ゴシック"/>
        <family val="3"/>
        <charset val="128"/>
      </rPr>
      <t>開始列</t>
    </r>
    <r>
      <rPr>
        <b/>
        <sz val="10"/>
        <color theme="0"/>
        <rFont val="Arial"/>
        <family val="2"/>
        <scheme val="minor"/>
      </rPr>
      <t>1</t>
    </r>
    <rPh sb="0" eb="2">
      <t>カイシ</t>
    </rPh>
    <rPh sb="2" eb="3">
      <t>レツ</t>
    </rPh>
    <phoneticPr fontId="4"/>
  </si>
  <si>
    <t>開始行数1</t>
    <rPh sb="0" eb="2">
      <t>カイシ</t>
    </rPh>
    <rPh sb="2" eb="4">
      <t>ギョウスウ</t>
    </rPh>
    <phoneticPr fontId="4"/>
  </si>
  <si>
    <t>終了列1</t>
    <rPh sb="0" eb="2">
      <t>シュウリョウ</t>
    </rPh>
    <rPh sb="2" eb="3">
      <t>レツ</t>
    </rPh>
    <phoneticPr fontId="4"/>
  </si>
  <si>
    <t>終了行数1</t>
    <rPh sb="0" eb="2">
      <t>シュウリョウ</t>
    </rPh>
    <rPh sb="2" eb="4">
      <t>ギョウスウ</t>
    </rPh>
    <phoneticPr fontId="4"/>
  </si>
  <si>
    <r>
      <rPr>
        <b/>
        <sz val="10"/>
        <color theme="0"/>
        <rFont val="ＭＳ ゴシック"/>
        <family val="3"/>
        <charset val="128"/>
      </rPr>
      <t>開始列</t>
    </r>
    <r>
      <rPr>
        <b/>
        <sz val="10"/>
        <color theme="0"/>
        <rFont val="Arial"/>
        <family val="2"/>
        <scheme val="minor"/>
      </rPr>
      <t>2</t>
    </r>
    <rPh sb="0" eb="2">
      <t>カイシ</t>
    </rPh>
    <rPh sb="2" eb="3">
      <t>レツ</t>
    </rPh>
    <phoneticPr fontId="4"/>
  </si>
  <si>
    <t>開始行数2</t>
    <rPh sb="0" eb="2">
      <t>カイシ</t>
    </rPh>
    <rPh sb="2" eb="4">
      <t>ギョウスウ</t>
    </rPh>
    <phoneticPr fontId="4"/>
  </si>
  <si>
    <t>終了列2</t>
    <rPh sb="0" eb="2">
      <t>シュウリョウ</t>
    </rPh>
    <rPh sb="2" eb="3">
      <t>レツ</t>
    </rPh>
    <phoneticPr fontId="4"/>
  </si>
  <si>
    <t>終了行数2</t>
    <rPh sb="0" eb="2">
      <t>シュウリョウ</t>
    </rPh>
    <rPh sb="2" eb="4">
      <t>ギョウスウ</t>
    </rPh>
    <phoneticPr fontId="4"/>
  </si>
  <si>
    <t>土</t>
    <rPh sb="0" eb="1">
      <t>ド</t>
    </rPh>
    <phoneticPr fontId="4"/>
  </si>
  <si>
    <t>就職支援</t>
    <phoneticPr fontId="18"/>
  </si>
  <si>
    <t>ポートフォリオ制作実習</t>
    <phoneticPr fontId="18"/>
  </si>
  <si>
    <t>修了式(3H)</t>
    <rPh sb="0" eb="3">
      <t>シュウリョウシキ</t>
    </rPh>
    <phoneticPr fontId="18"/>
  </si>
  <si>
    <t>様式５号　基礎か実践か判断済み（半角にする関数が使われている）→</t>
    <rPh sb="0" eb="2">
      <t>ヨウシキ</t>
    </rPh>
    <rPh sb="3" eb="4">
      <t>ゴウ</t>
    </rPh>
    <rPh sb="5" eb="7">
      <t>キソ</t>
    </rPh>
    <rPh sb="8" eb="10">
      <t>ジッセン</t>
    </rPh>
    <rPh sb="11" eb="13">
      <t>ハンダン</t>
    </rPh>
    <rPh sb="13" eb="14">
      <t>ズ</t>
    </rPh>
    <rPh sb="16" eb="18">
      <t>ハンカク</t>
    </rPh>
    <rPh sb="21" eb="23">
      <t>カンスウ</t>
    </rPh>
    <rPh sb="24" eb="25">
      <t>ツカ</t>
    </rPh>
    <phoneticPr fontId="18"/>
  </si>
  <si>
    <t>"=訓練総時間</t>
    <phoneticPr fontId="18"/>
  </si>
  <si>
    <t>"=IF(様式1!E20&lt;&gt;"",IF(OR(訓練時間総合計_基=0,AC180=訓練時間総合計_基),"","← 様式5号と訓練時間合計不一致"),"")</t>
    <phoneticPr fontId="18"/>
  </si>
  <si>
    <t>様式６号の合計　機構処理欄　→</t>
    <rPh sb="0" eb="2">
      <t>ヨウシキ</t>
    </rPh>
    <rPh sb="3" eb="4">
      <t>ゴウ</t>
    </rPh>
    <rPh sb="5" eb="7">
      <t>ゴウケイ</t>
    </rPh>
    <rPh sb="8" eb="10">
      <t>キコウ</t>
    </rPh>
    <rPh sb="10" eb="12">
      <t>ショリ</t>
    </rPh>
    <rPh sb="12" eb="13">
      <t>ラン</t>
    </rPh>
    <phoneticPr fontId="18"/>
  </si>
  <si>
    <t>"=訓練時間合計</t>
    <phoneticPr fontId="18"/>
  </si>
  <si>
    <t>"=IF(様式1!E21&lt;&gt;"",IF(OR(訓練時間総合計_実=0,AC180=訓練時間総合計_実),"","← 様式5号と訓練時間合計不一致"),"")</t>
    <phoneticPr fontId="18"/>
  </si>
  <si>
    <t>様式６号　訓練時間合計　→</t>
    <rPh sb="0" eb="2">
      <t>ヨウシキ</t>
    </rPh>
    <rPh sb="3" eb="4">
      <t>ゴウ</t>
    </rPh>
    <rPh sb="5" eb="7">
      <t>クンレン</t>
    </rPh>
    <rPh sb="7" eb="9">
      <t>ジカン</t>
    </rPh>
    <rPh sb="9" eb="11">
      <t>ゴウケイ</t>
    </rPh>
    <phoneticPr fontId="18"/>
  </si>
  <si>
    <t>"=様6_訓練時間合計</t>
    <phoneticPr fontId="18"/>
  </si>
  <si>
    <t>"=IF(様式1!E20&lt;&gt;"",IF(OR(訓練時間総合計_基=0,様6_訓練時間合計=訓練時間総合計_基),"","様式5号と訓練時間合計不一致"),IF(様式1!E21&lt;&gt;"",IF(OR(訓練時間総合計_実=0,様6_訓練時間合計=訓練時間総合計_実),"","様式5号と訓練時間合計不一致"),""))</t>
    <phoneticPr fontId="18"/>
  </si>
  <si>
    <t>就職支援</t>
  </si>
  <si>
    <t>デジタルコンテンツ制作実習</t>
  </si>
  <si>
    <t>※変更は木曜日15時まで</t>
    <rPh sb="1" eb="3">
      <t>ヘンコウ</t>
    </rPh>
    <rPh sb="4" eb="7">
      <t>モクヨウビ</t>
    </rPh>
    <rPh sb="9" eb="10">
      <t>ジ</t>
    </rPh>
    <phoneticPr fontId="57"/>
  </si>
  <si>
    <t>デジタルコンテンツ制作実習</t>
    <phoneticPr fontId="18"/>
  </si>
  <si>
    <t>ページレイアウト制作実習</t>
    <phoneticPr fontId="18"/>
  </si>
  <si>
    <t>Web動画加工実習</t>
    <phoneticPr fontId="18"/>
  </si>
  <si>
    <t>Web制作総合</t>
    <phoneticPr fontId="18"/>
  </si>
  <si>
    <t>コンピュータ基本操作
安全衛生</t>
  </si>
  <si>
    <t>実施クラス</t>
    <rPh sb="0" eb="2">
      <t>ジッシ</t>
    </rPh>
    <phoneticPr fontId="4"/>
  </si>
  <si>
    <t>職業人講話</t>
    <rPh sb="0" eb="5">
      <t>ショクギョウジンコウワ</t>
    </rPh>
    <phoneticPr fontId="18"/>
  </si>
  <si>
    <t>Web動画基礎概論</t>
    <phoneticPr fontId="18"/>
  </si>
  <si>
    <t>SNS動画加工実習</t>
    <phoneticPr fontId="18"/>
  </si>
  <si>
    <t>学科　ITリテラシー　</t>
  </si>
  <si>
    <t>実技　ITリテラシー実習　</t>
  </si>
  <si>
    <t>学科　ネットワーク概論</t>
  </si>
  <si>
    <t>実技　データベースプログラミング</t>
  </si>
  <si>
    <t>実技　アプリケーション制作実習</t>
  </si>
  <si>
    <t>学科　ソフトウェア開発概論</t>
  </si>
  <si>
    <t>実技　ソフトウェア開発</t>
  </si>
  <si>
    <t>県</t>
    <rPh sb="0" eb="1">
      <t>ケン</t>
    </rPh>
    <phoneticPr fontId="4"/>
  </si>
  <si>
    <t>6H</t>
  </si>
  <si>
    <t>土</t>
    <rPh sb="0" eb="1">
      <t>ド</t>
    </rPh>
    <phoneticPr fontId="4"/>
  </si>
  <si>
    <t>火/県</t>
    <rPh sb="0" eb="1">
      <t>カ</t>
    </rPh>
    <rPh sb="2" eb="3">
      <t>ケン</t>
    </rPh>
    <phoneticPr fontId="4"/>
  </si>
  <si>
    <t>6CC</t>
    <phoneticPr fontId="4"/>
  </si>
  <si>
    <t>E08</t>
    <phoneticPr fontId="4"/>
  </si>
  <si>
    <t>E18</t>
    <phoneticPr fontId="4"/>
  </si>
  <si>
    <t>月/県</t>
    <rPh sb="0" eb="1">
      <t>ゲツ</t>
    </rPh>
    <rPh sb="2" eb="3">
      <t>ケン</t>
    </rPh>
    <phoneticPr fontId="4"/>
  </si>
  <si>
    <t>E12</t>
    <phoneticPr fontId="4"/>
  </si>
  <si>
    <t>3CC</t>
    <phoneticPr fontId="4"/>
  </si>
  <si>
    <t>デザイン制作実習</t>
    <phoneticPr fontId="18"/>
  </si>
  <si>
    <t>フォトレタッチ実習</t>
    <phoneticPr fontId="18"/>
  </si>
  <si>
    <t>グラフィックデザイン制作実習</t>
    <phoneticPr fontId="18"/>
  </si>
  <si>
    <t>２か月目</t>
    <phoneticPr fontId="18"/>
  </si>
  <si>
    <t>ポートフォリオ制作実習</t>
    <rPh sb="7" eb="11">
      <t>セイサクジッシュウ</t>
    </rPh>
    <phoneticPr fontId="18"/>
  </si>
  <si>
    <t>A24</t>
    <phoneticPr fontId="4"/>
  </si>
  <si>
    <t>金/県</t>
    <rPh sb="0" eb="1">
      <t>キン</t>
    </rPh>
    <rPh sb="2" eb="3">
      <t>ケン</t>
    </rPh>
    <phoneticPr fontId="4"/>
  </si>
  <si>
    <t>水/県</t>
    <rPh sb="0" eb="1">
      <t>スイ</t>
    </rPh>
    <rPh sb="2" eb="3">
      <t>ケン</t>
    </rPh>
    <phoneticPr fontId="4"/>
  </si>
  <si>
    <t>土/県</t>
    <rPh sb="0" eb="1">
      <t>ド</t>
    </rPh>
    <rPh sb="2" eb="3">
      <t>ケン</t>
    </rPh>
    <phoneticPr fontId="4"/>
  </si>
  <si>
    <t>A13</t>
    <phoneticPr fontId="4"/>
  </si>
  <si>
    <t>備　考</t>
    <phoneticPr fontId="18"/>
  </si>
  <si>
    <t>指定日以外は質疑応答後に実施</t>
    <rPh sb="0" eb="3">
      <t>シテイビ</t>
    </rPh>
    <rPh sb="3" eb="5">
      <t>イガイ</t>
    </rPh>
    <rPh sb="6" eb="8">
      <t>シツギ</t>
    </rPh>
    <rPh sb="8" eb="10">
      <t>オウトウ</t>
    </rPh>
    <rPh sb="10" eb="11">
      <t>ゴ</t>
    </rPh>
    <rPh sb="12" eb="14">
      <t>ジッシ</t>
    </rPh>
    <phoneticPr fontId="18"/>
  </si>
  <si>
    <t>ダミー</t>
    <phoneticPr fontId="4"/>
  </si>
  <si>
    <t>A16</t>
    <phoneticPr fontId="4"/>
  </si>
  <si>
    <t>入校式・オリエンテーション(3H)</t>
  </si>
  <si>
    <t>コンピュータ基本操作・安全衛生</t>
  </si>
  <si>
    <t>カラー基礎知識</t>
  </si>
  <si>
    <t>ポートフォリオ制作実習</t>
    <rPh sb="7" eb="11">
      <t>セイサクジッシュウ</t>
    </rPh>
    <phoneticPr fontId="15"/>
  </si>
  <si>
    <t>修了式(3H)</t>
    <rPh sb="0" eb="3">
      <t>シュウリョウシキ</t>
    </rPh>
    <phoneticPr fontId="15"/>
  </si>
  <si>
    <t>6Hキッティング</t>
    <phoneticPr fontId="4"/>
  </si>
  <si>
    <t xml:space="preserve">A17 </t>
    <phoneticPr fontId="4"/>
  </si>
  <si>
    <t>A17</t>
    <phoneticPr fontId="4"/>
  </si>
  <si>
    <t>仮新6Aサーティファイ</t>
    <rPh sb="0" eb="1">
      <t>カリ</t>
    </rPh>
    <rPh sb="1" eb="2">
      <t>シン</t>
    </rPh>
    <phoneticPr fontId="4"/>
  </si>
  <si>
    <t>6BSF</t>
    <phoneticPr fontId="4"/>
  </si>
  <si>
    <t>修3</t>
    <rPh sb="0" eb="1">
      <t>シュウ</t>
    </rPh>
    <phoneticPr fontId="4"/>
  </si>
  <si>
    <t>修2</t>
    <rPh sb="0" eb="1">
      <t>シュウ</t>
    </rPh>
    <phoneticPr fontId="4"/>
  </si>
  <si>
    <t>修1</t>
    <rPh sb="0" eb="1">
      <t>シュウ</t>
    </rPh>
    <phoneticPr fontId="4"/>
  </si>
  <si>
    <t>7ASF</t>
    <phoneticPr fontId="4"/>
  </si>
  <si>
    <t>月</t>
    <rPh sb="0" eb="1">
      <t>ゲツ</t>
    </rPh>
    <phoneticPr fontId="4"/>
  </si>
  <si>
    <t>修1</t>
    <rPh sb="0" eb="1">
      <t>オサム</t>
    </rPh>
    <phoneticPr fontId="4"/>
  </si>
  <si>
    <t>元7C</t>
    <rPh sb="0" eb="1">
      <t>モト</t>
    </rPh>
    <phoneticPr fontId="4"/>
  </si>
  <si>
    <t>火</t>
    <rPh sb="0" eb="1">
      <t>カ</t>
    </rPh>
    <phoneticPr fontId="4"/>
  </si>
  <si>
    <t>7C自習</t>
    <rPh sb="2" eb="4">
      <t>ジシュウ</t>
    </rPh>
    <phoneticPr fontId="4"/>
  </si>
  <si>
    <t>訓練実施機関名：</t>
    <rPh sb="0" eb="2">
      <t>クンレン</t>
    </rPh>
    <rPh sb="2" eb="4">
      <t>ジッシ</t>
    </rPh>
    <rPh sb="4" eb="6">
      <t>キカン</t>
    </rPh>
    <rPh sb="6" eb="7">
      <t>メイ</t>
    </rPh>
    <phoneticPr fontId="18"/>
  </si>
  <si>
    <t>訓練科名：</t>
    <rPh sb="0" eb="2">
      <t>クンレン</t>
    </rPh>
    <rPh sb="2" eb="3">
      <t>カ</t>
    </rPh>
    <rPh sb="3" eb="4">
      <t>メイ</t>
    </rPh>
    <phoneticPr fontId="18"/>
  </si>
  <si>
    <t>職業人講話</t>
    <rPh sb="0" eb="5">
      <t>ショクギョウジンコウワ</t>
    </rPh>
    <phoneticPr fontId="68"/>
  </si>
  <si>
    <t>実技　アプリケーション企画実習</t>
    <rPh sb="11" eb="13">
      <t>キカク</t>
    </rPh>
    <phoneticPr fontId="15"/>
  </si>
  <si>
    <t>指定日以外は質疑応答後に実施</t>
  </si>
  <si>
    <t>Web総合基礎</t>
  </si>
  <si>
    <t>Web動画加工実習</t>
  </si>
  <si>
    <t>Web制作総合</t>
  </si>
  <si>
    <t>Web制作プロジェクト実習</t>
  </si>
  <si>
    <t>ポートフォリオ制作実習</t>
  </si>
  <si>
    <r>
      <t>※各月において、ハローワーク</t>
    </r>
    <r>
      <rPr>
        <sz val="10"/>
        <color rgb="FF000000"/>
        <rFont val="Arial"/>
        <family val="2"/>
        <scheme val="minor"/>
      </rPr>
      <t>来所日相当日として、1日、空白日を設けること（具体的な来所日は、認定時に機構が指定する）。</t>
    </r>
    <rPh sb="1" eb="3">
      <t>カクツキ</t>
    </rPh>
    <rPh sb="14" eb="16">
      <t>ライショ</t>
    </rPh>
    <rPh sb="16" eb="17">
      <t>ビ</t>
    </rPh>
    <rPh sb="17" eb="19">
      <t>ソウトウ</t>
    </rPh>
    <rPh sb="19" eb="20">
      <t>ビ</t>
    </rPh>
    <rPh sb="25" eb="26">
      <t>ニチ</t>
    </rPh>
    <rPh sb="27" eb="29">
      <t>クウハク</t>
    </rPh>
    <rPh sb="29" eb="30">
      <t>ビ</t>
    </rPh>
    <rPh sb="31" eb="32">
      <t>モウ</t>
    </rPh>
    <rPh sb="37" eb="40">
      <t>グタイテキ</t>
    </rPh>
    <rPh sb="41" eb="43">
      <t>ライショ</t>
    </rPh>
    <rPh sb="43" eb="44">
      <t>ビ</t>
    </rPh>
    <rPh sb="46" eb="48">
      <t>ニンテイ</t>
    </rPh>
    <rPh sb="48" eb="49">
      <t>ジ</t>
    </rPh>
    <rPh sb="50" eb="52">
      <t>キコウ</t>
    </rPh>
    <rPh sb="53" eb="55">
      <t>シテイ</t>
    </rPh>
    <phoneticPr fontId="18"/>
  </si>
  <si>
    <r>
      <t>※キャリアコンサルティングは、</t>
    </r>
    <r>
      <rPr>
        <b/>
        <sz val="11"/>
        <rFont val="ＭＳ Ｐゴシック"/>
        <family val="3"/>
        <charset val="128"/>
      </rPr>
      <t>訓練時間</t>
    </r>
    <r>
      <rPr>
        <sz val="10"/>
        <color rgb="FF000000"/>
        <rFont val="Arial"/>
        <family val="2"/>
        <scheme val="minor"/>
      </rPr>
      <t>に含まれません。</t>
    </r>
    <phoneticPr fontId="18"/>
  </si>
  <si>
    <r>
      <t>※ハローワーク来所日は、</t>
    </r>
    <r>
      <rPr>
        <b/>
        <sz val="11"/>
        <rFont val="ＭＳ Ｐゴシック"/>
        <family val="3"/>
        <charset val="128"/>
      </rPr>
      <t>訓練日数</t>
    </r>
    <r>
      <rPr>
        <sz val="10"/>
        <color rgb="FF000000"/>
        <rFont val="Arial"/>
        <family val="2"/>
        <scheme val="minor"/>
      </rPr>
      <t>及び</t>
    </r>
    <r>
      <rPr>
        <b/>
        <sz val="11"/>
        <rFont val="ＭＳ Ｐゴシック"/>
        <family val="3"/>
        <charset val="128"/>
      </rPr>
      <t>訓練時間</t>
    </r>
    <r>
      <rPr>
        <sz val="10"/>
        <color rgb="FF000000"/>
        <rFont val="Arial"/>
        <family val="2"/>
        <scheme val="minor"/>
      </rPr>
      <t>に含まれません。</t>
    </r>
    <phoneticPr fontId="18"/>
  </si>
  <si>
    <r>
      <rPr>
        <sz val="10"/>
        <color rgb="FF000000"/>
        <rFont val="Arial"/>
        <family val="2"/>
        <scheme val="minor"/>
      </rPr>
      <t>来所日</t>
    </r>
    <rPh sb="0" eb="2">
      <t>ライショ</t>
    </rPh>
    <rPh sb="2" eb="3">
      <t>ビ</t>
    </rPh>
    <phoneticPr fontId="18"/>
  </si>
  <si>
    <t>入校式・オリエンテーション(3H)</t>
    <rPh sb="0" eb="3">
      <t>ニュウコウシキ</t>
    </rPh>
    <phoneticPr fontId="68"/>
  </si>
  <si>
    <t>デザイナー総合研究</t>
    <rPh sb="5" eb="7">
      <t>ソウゴウ</t>
    </rPh>
    <rPh sb="7" eb="9">
      <t>ケンキュウ</t>
    </rPh>
    <phoneticPr fontId="15"/>
  </si>
  <si>
    <t>デザイン作法</t>
  </si>
  <si>
    <t>カラー基礎知識</t>
    <rPh sb="3" eb="5">
      <t>キソ</t>
    </rPh>
    <rPh sb="5" eb="7">
      <t>チシキ</t>
    </rPh>
    <phoneticPr fontId="15"/>
  </si>
  <si>
    <t>DTP・印刷ルール基本知識</t>
  </si>
  <si>
    <t>デザイン制作実習</t>
  </si>
  <si>
    <t/>
  </si>
  <si>
    <t>フォトレタッチ実習</t>
  </si>
  <si>
    <t>紙面レイアウトトレーニング</t>
  </si>
  <si>
    <t>グラフィックデザイン制作実習</t>
  </si>
  <si>
    <t>Weｂ基本知識</t>
  </si>
  <si>
    <t>Webページレイアウトトレーニング</t>
  </si>
  <si>
    <t>Webページレイアウト実習</t>
  </si>
  <si>
    <t>ホームページ制作実習</t>
  </si>
  <si>
    <t>ポートフォリオ制作実習</t>
    <rPh sb="7" eb="9">
      <t>セイサク</t>
    </rPh>
    <rPh sb="9" eb="11">
      <t>ジッシュウ</t>
    </rPh>
    <phoneticPr fontId="68"/>
  </si>
  <si>
    <t>講師全体会</t>
    <rPh sb="0" eb="2">
      <t>コウシ</t>
    </rPh>
    <rPh sb="2" eb="4">
      <t>ゼンタイ</t>
    </rPh>
    <rPh sb="4" eb="5">
      <t>カイ</t>
    </rPh>
    <phoneticPr fontId="4"/>
  </si>
  <si>
    <t>ポートフォリオ制作実習</t>
    <rPh sb="7" eb="9">
      <t>セイサク</t>
    </rPh>
    <rPh sb="9" eb="11">
      <t>ジッシュウ</t>
    </rPh>
    <phoneticPr fontId="18"/>
  </si>
  <si>
    <t>土</t>
  </si>
  <si>
    <t>プラス用2</t>
    <rPh sb="3" eb="4">
      <t>ヨウ</t>
    </rPh>
    <phoneticPr fontId="4"/>
  </si>
  <si>
    <t>プラス用1</t>
    <rPh sb="3" eb="4">
      <t>ヨウ</t>
    </rPh>
    <phoneticPr fontId="4"/>
  </si>
  <si>
    <t>6E(SF)</t>
    <phoneticPr fontId="4"/>
  </si>
  <si>
    <t>JS検定（出野＋辻野＋篠倉）</t>
    <rPh sb="2" eb="4">
      <t>ケンテイ</t>
    </rPh>
    <rPh sb="5" eb="7">
      <t>イデノ</t>
    </rPh>
    <rPh sb="8" eb="10">
      <t>ツジノ</t>
    </rPh>
    <rPh sb="11" eb="13">
      <t>シノクラ</t>
    </rPh>
    <phoneticPr fontId="4"/>
  </si>
  <si>
    <t>7D使用</t>
    <rPh sb="2" eb="4">
      <t>シヨウ</t>
    </rPh>
    <phoneticPr fontId="4"/>
  </si>
  <si>
    <t>安全衛生・コンピュータ基本操作</t>
    <rPh sb="0" eb="4">
      <t>アンゼンエイセイ</t>
    </rPh>
    <rPh sb="11" eb="13">
      <t>キホン</t>
    </rPh>
    <rPh sb="13" eb="15">
      <t>ソウサ</t>
    </rPh>
    <phoneticPr fontId="68"/>
  </si>
  <si>
    <t>ページレイアウト制作実習</t>
  </si>
  <si>
    <t>Web動画基礎概論</t>
  </si>
  <si>
    <t>就職支援</t>
    <rPh sb="0" eb="4">
      <t>シュウショクシエン</t>
    </rPh>
    <phoneticPr fontId="18"/>
  </si>
  <si>
    <t>SNS動画加工実習</t>
  </si>
  <si>
    <r>
      <t>※各月において、ハローワーク</t>
    </r>
    <r>
      <rPr>
        <sz val="10"/>
        <color rgb="FF000000"/>
        <rFont val="Arial"/>
        <family val="2"/>
        <scheme val="minor"/>
      </rPr>
      <t>来所日相当日として、1日、空白日を設けること（具体的な来所日は、認定時に機構が指定する）。</t>
    </r>
    <rPh sb="1" eb="3">
      <t>カクツキ</t>
    </rPh>
    <rPh sb="14" eb="16">
      <t>ライショ</t>
    </rPh>
    <rPh sb="16" eb="17">
      <t>ビ</t>
    </rPh>
    <rPh sb="17" eb="19">
      <t>ソウトウ</t>
    </rPh>
    <rPh sb="19" eb="20">
      <t>ビ</t>
    </rPh>
    <rPh sb="25" eb="26">
      <t>ニチ</t>
    </rPh>
    <rPh sb="27" eb="29">
      <t>クウハク</t>
    </rPh>
    <rPh sb="29" eb="30">
      <t>ビ</t>
    </rPh>
    <rPh sb="31" eb="32">
      <t>モウ</t>
    </rPh>
    <rPh sb="37" eb="40">
      <t>グタイテキ</t>
    </rPh>
    <rPh sb="41" eb="43">
      <t>ライショ</t>
    </rPh>
    <rPh sb="43" eb="44">
      <t>ビ</t>
    </rPh>
    <rPh sb="46" eb="48">
      <t>ニンテイ</t>
    </rPh>
    <rPh sb="48" eb="49">
      <t>ジ</t>
    </rPh>
    <rPh sb="50" eb="52">
      <t>キコウ</t>
    </rPh>
    <rPh sb="53" eb="55">
      <t>シテイ</t>
    </rPh>
    <phoneticPr fontId="18"/>
  </si>
  <si>
    <r>
      <t>※キャリアコンサルティングは、</t>
    </r>
    <r>
      <rPr>
        <b/>
        <sz val="11"/>
        <rFont val="ＭＳ Ｐゴシック"/>
        <family val="3"/>
        <charset val="128"/>
      </rPr>
      <t>訓練時間</t>
    </r>
    <r>
      <rPr>
        <sz val="10"/>
        <color rgb="FF000000"/>
        <rFont val="Arial"/>
        <family val="2"/>
        <scheme val="minor"/>
      </rPr>
      <t>に含まれません。</t>
    </r>
    <phoneticPr fontId="18"/>
  </si>
  <si>
    <r>
      <t>※ハローワーク来所日は、</t>
    </r>
    <r>
      <rPr>
        <b/>
        <sz val="11"/>
        <rFont val="ＭＳ Ｐゴシック"/>
        <family val="3"/>
        <charset val="128"/>
      </rPr>
      <t>訓練日数</t>
    </r>
    <r>
      <rPr>
        <sz val="10"/>
        <color rgb="FF000000"/>
        <rFont val="Arial"/>
        <family val="2"/>
        <scheme val="minor"/>
      </rPr>
      <t>及び</t>
    </r>
    <r>
      <rPr>
        <b/>
        <sz val="11"/>
        <rFont val="ＭＳ Ｐゴシック"/>
        <family val="3"/>
        <charset val="128"/>
      </rPr>
      <t>訓練時間</t>
    </r>
    <r>
      <rPr>
        <sz val="10"/>
        <color rgb="FF000000"/>
        <rFont val="Arial"/>
        <family val="2"/>
        <scheme val="minor"/>
      </rPr>
      <t>に含まれません。</t>
    </r>
    <phoneticPr fontId="18"/>
  </si>
  <si>
    <r>
      <rPr>
        <sz val="10"/>
        <color rgb="FF000000"/>
        <rFont val="Arial"/>
        <family val="2"/>
        <scheme val="minor"/>
      </rPr>
      <t>来所日</t>
    </r>
    <rPh sb="0" eb="2">
      <t>ライショ</t>
    </rPh>
    <rPh sb="2" eb="3">
      <t>ビ</t>
    </rPh>
    <phoneticPr fontId="18"/>
  </si>
  <si>
    <t>14;00</t>
  </si>
  <si>
    <t>指定日以外は質疑応答後に実施</t>
    <rPh sb="0" eb="3">
      <t>シテイビ</t>
    </rPh>
    <rPh sb="3" eb="5">
      <t>イガイ</t>
    </rPh>
    <rPh sb="6" eb="8">
      <t>シツギ</t>
    </rPh>
    <rPh sb="8" eb="10">
      <t>オウトウ</t>
    </rPh>
    <rPh sb="10" eb="11">
      <t>ゴ</t>
    </rPh>
    <rPh sb="12" eb="14">
      <t>ジッシ</t>
    </rPh>
    <phoneticPr fontId="68"/>
  </si>
  <si>
    <t>クリエイター総合概論</t>
    <rPh sb="6" eb="10">
      <t>ソウゴウガイロン</t>
    </rPh>
    <phoneticPr fontId="23"/>
  </si>
  <si>
    <t>広告デザイン基礎概論</t>
    <rPh sb="0" eb="2">
      <t>コウコク</t>
    </rPh>
    <rPh sb="6" eb="10">
      <t>キソガイロン</t>
    </rPh>
    <phoneticPr fontId="23"/>
  </si>
  <si>
    <t>広告物制作実習(基礎)</t>
    <rPh sb="0" eb="3">
      <t>コウコクブツ</t>
    </rPh>
    <rPh sb="3" eb="5">
      <t>セイサク</t>
    </rPh>
    <rPh sb="5" eb="7">
      <t>ジッシュウ</t>
    </rPh>
    <rPh sb="8" eb="10">
      <t>キソ</t>
    </rPh>
    <phoneticPr fontId="23"/>
  </si>
  <si>
    <t>広告物制作実習(応用)</t>
    <rPh sb="8" eb="10">
      <t>オウヨウ</t>
    </rPh>
    <phoneticPr fontId="23"/>
  </si>
  <si>
    <t>ポートフォリオ制作実習</t>
    <rPh sb="7" eb="11">
      <t>セイサクジッシュウ</t>
    </rPh>
    <phoneticPr fontId="23"/>
  </si>
  <si>
    <t>広告物制作演習(基礎)</t>
    <rPh sb="0" eb="2">
      <t>コウコク</t>
    </rPh>
    <rPh sb="2" eb="3">
      <t>ブツ</t>
    </rPh>
    <rPh sb="3" eb="5">
      <t>セイサク</t>
    </rPh>
    <rPh sb="5" eb="7">
      <t>エンシュウ</t>
    </rPh>
    <rPh sb="8" eb="10">
      <t>キソ</t>
    </rPh>
    <phoneticPr fontId="23"/>
  </si>
  <si>
    <t>広告物制作演習(基礎)</t>
    <phoneticPr fontId="18"/>
  </si>
  <si>
    <t>広告物制作演習(応用)</t>
    <rPh sb="5" eb="6">
      <t>エン</t>
    </rPh>
    <rPh sb="8" eb="10">
      <t>オウヨウ</t>
    </rPh>
    <phoneticPr fontId="23"/>
  </si>
  <si>
    <t>コーディング基礎演習</t>
    <rPh sb="6" eb="10">
      <t>キソエンシュウ</t>
    </rPh>
    <phoneticPr fontId="23"/>
  </si>
  <si>
    <t>就職支援</t>
    <rPh sb="0" eb="4">
      <t>シュウショクシエン</t>
    </rPh>
    <phoneticPr fontId="23"/>
  </si>
  <si>
    <t>職業人講話</t>
    <rPh sb="0" eb="5">
      <t>ショクギョウジンコウワ</t>
    </rPh>
    <phoneticPr fontId="23"/>
  </si>
  <si>
    <t>イベント企画立案演習</t>
    <rPh sb="4" eb="6">
      <t>キカク</t>
    </rPh>
    <rPh sb="6" eb="8">
      <t>リツアン</t>
    </rPh>
    <rPh sb="8" eb="10">
      <t>エンシュウ</t>
    </rPh>
    <phoneticPr fontId="23"/>
  </si>
  <si>
    <t>イベントサイト制作演習</t>
    <rPh sb="7" eb="11">
      <t>セイサクエンシュウ</t>
    </rPh>
    <phoneticPr fontId="23"/>
  </si>
  <si>
    <t>広告動画活用基本知識</t>
    <rPh sb="0" eb="2">
      <t>コウコク</t>
    </rPh>
    <rPh sb="2" eb="4">
      <t>ドウガ</t>
    </rPh>
    <rPh sb="4" eb="6">
      <t>カツヨウ</t>
    </rPh>
    <rPh sb="6" eb="8">
      <t>キホン</t>
    </rPh>
    <rPh sb="8" eb="10">
      <t>チシキ</t>
    </rPh>
    <phoneticPr fontId="23"/>
  </si>
  <si>
    <t>イベントSNS動画制作</t>
    <rPh sb="7" eb="11">
      <t>ドウガセイサク</t>
    </rPh>
    <phoneticPr fontId="23"/>
  </si>
  <si>
    <t>イベントSNS動画制作</t>
    <rPh sb="7" eb="9">
      <t>ドウガ</t>
    </rPh>
    <rPh sb="9" eb="11">
      <t>セイサク</t>
    </rPh>
    <phoneticPr fontId="23"/>
  </si>
  <si>
    <t>プレゼンテーション制作演習</t>
    <rPh sb="9" eb="10">
      <t>セイ</t>
    </rPh>
    <rPh sb="10" eb="11">
      <t>サク</t>
    </rPh>
    <rPh sb="11" eb="13">
      <t>エンシュウ</t>
    </rPh>
    <phoneticPr fontId="18"/>
  </si>
  <si>
    <t>プレゼンテーション制作演習</t>
    <rPh sb="9" eb="11">
      <t>セイサク</t>
    </rPh>
    <rPh sb="11" eb="13">
      <t>エンシュウ</t>
    </rPh>
    <phoneticPr fontId="18"/>
  </si>
  <si>
    <t>修了式（3H）</t>
    <rPh sb="0" eb="3">
      <t>シュウリョウシキ</t>
    </rPh>
    <phoneticPr fontId="18"/>
  </si>
  <si>
    <t>Webシステム概論
プログラミング基礎概論</t>
    <rPh sb="17" eb="21">
      <t>キソガイロン</t>
    </rPh>
    <phoneticPr fontId="18"/>
  </si>
  <si>
    <t>システム開発概論</t>
    <rPh sb="4" eb="8">
      <t>カイハツガイロン</t>
    </rPh>
    <phoneticPr fontId="18"/>
  </si>
  <si>
    <t>AI活用基礎知識</t>
    <rPh sb="2" eb="4">
      <t>カツヨウ</t>
    </rPh>
    <rPh sb="4" eb="6">
      <t>キソ</t>
    </rPh>
    <rPh sb="6" eb="8">
      <t>チシキ</t>
    </rPh>
    <phoneticPr fontId="18"/>
  </si>
  <si>
    <t>Webデザイン実習</t>
    <rPh sb="7" eb="9">
      <t>ジッシュウ</t>
    </rPh>
    <phoneticPr fontId="18"/>
  </si>
  <si>
    <t>Webサイト制作実習</t>
    <rPh sb="6" eb="8">
      <t>セイサク</t>
    </rPh>
    <rPh sb="8" eb="10">
      <t>ジッシュウ</t>
    </rPh>
    <phoneticPr fontId="18"/>
  </si>
  <si>
    <t>レスポンシブデザイン実習
(スマートフォン、タブレット対応)</t>
    <rPh sb="10" eb="12">
      <t>ジッシュウ</t>
    </rPh>
    <rPh sb="27" eb="29">
      <t>タイオウ</t>
    </rPh>
    <phoneticPr fontId="18"/>
  </si>
  <si>
    <t>データベース基礎概論</t>
    <rPh sb="6" eb="10">
      <t>キソガイロン</t>
    </rPh>
    <phoneticPr fontId="18"/>
  </si>
  <si>
    <t>サーバーサイドプログラミング</t>
  </si>
  <si>
    <t>フロントエンドプログラミング</t>
  </si>
  <si>
    <t>AI活用応用知識</t>
    <rPh sb="2" eb="6">
      <t>カツヨウオウヨウ</t>
    </rPh>
    <rPh sb="6" eb="8">
      <t>チシキ</t>
    </rPh>
    <phoneticPr fontId="18"/>
  </si>
  <si>
    <t>AI活用実習</t>
    <rPh sb="2" eb="6">
      <t>カツヨウジッシュウ</t>
    </rPh>
    <phoneticPr fontId="18"/>
  </si>
  <si>
    <t>チーム開発実習</t>
    <rPh sb="3" eb="7">
      <t>カイハツジッシュウ</t>
    </rPh>
    <phoneticPr fontId="18"/>
  </si>
  <si>
    <t>Web制作総合</t>
    <rPh sb="3" eb="5">
      <t>セイサク</t>
    </rPh>
    <rPh sb="5" eb="7">
      <t>ソウゴウ</t>
    </rPh>
    <phoneticPr fontId="18"/>
  </si>
  <si>
    <t>これから始める！Ｗｅｂ・ＳＮＳ動画編集＆ホームページデザイン科</t>
    <phoneticPr fontId="4"/>
  </si>
  <si>
    <t>※変更は月曜15時まで</t>
    <rPh sb="1" eb="3">
      <t>ヘンコウ</t>
    </rPh>
    <rPh sb="4" eb="6">
      <t>ゲツヨウ</t>
    </rPh>
    <rPh sb="8" eb="9">
      <t>ジ</t>
    </rPh>
    <phoneticPr fontId="57"/>
  </si>
  <si>
    <t>Python実習</t>
    <phoneticPr fontId="18"/>
  </si>
  <si>
    <t>Python実習</t>
  </si>
  <si>
    <t>実技　Webプログラミング（基礎）</t>
  </si>
  <si>
    <t>実技　Webプログラミング（応用）</t>
  </si>
  <si>
    <t>実技　Javaプログラミング（基礎）</t>
  </si>
  <si>
    <t>実技　Javaプログラミング（応用）</t>
  </si>
  <si>
    <r>
      <t>※各月において、ハローワーク</t>
    </r>
    <r>
      <rPr>
        <sz val="10"/>
        <color rgb="FF000000"/>
        <rFont val="Arial"/>
        <family val="2"/>
        <scheme val="minor"/>
      </rPr>
      <t>来所日相当日として、1日、空白日を設けること（具体的な来所日は、認定時に機構が指定する）。</t>
    </r>
    <rPh sb="1" eb="3">
      <t>カクツキ</t>
    </rPh>
    <rPh sb="14" eb="16">
      <t>ライショ</t>
    </rPh>
    <rPh sb="16" eb="17">
      <t>ビ</t>
    </rPh>
    <rPh sb="17" eb="19">
      <t>ソウトウ</t>
    </rPh>
    <rPh sb="19" eb="20">
      <t>ビ</t>
    </rPh>
    <rPh sb="25" eb="26">
      <t>ニチ</t>
    </rPh>
    <rPh sb="27" eb="29">
      <t>クウハク</t>
    </rPh>
    <rPh sb="29" eb="30">
      <t>ビ</t>
    </rPh>
    <rPh sb="31" eb="32">
      <t>モウ</t>
    </rPh>
    <rPh sb="37" eb="40">
      <t>グタイテキ</t>
    </rPh>
    <rPh sb="41" eb="43">
      <t>ライショ</t>
    </rPh>
    <rPh sb="43" eb="44">
      <t>ビ</t>
    </rPh>
    <rPh sb="46" eb="48">
      <t>ニンテイ</t>
    </rPh>
    <rPh sb="48" eb="49">
      <t>ジ</t>
    </rPh>
    <rPh sb="50" eb="52">
      <t>キコウ</t>
    </rPh>
    <rPh sb="53" eb="55">
      <t>シテイ</t>
    </rPh>
    <phoneticPr fontId="18"/>
  </si>
  <si>
    <r>
      <t>※キャリアコンサルティングは、</t>
    </r>
    <r>
      <rPr>
        <b/>
        <sz val="11"/>
        <rFont val="ＭＳ Ｐゴシック"/>
        <family val="3"/>
        <charset val="128"/>
      </rPr>
      <t>訓練時間</t>
    </r>
    <r>
      <rPr>
        <sz val="10"/>
        <color rgb="FF000000"/>
        <rFont val="Arial"/>
        <family val="2"/>
        <scheme val="minor"/>
      </rPr>
      <t>に含まれません。</t>
    </r>
    <phoneticPr fontId="18"/>
  </si>
  <si>
    <r>
      <t>※ハローワーク来所日は、</t>
    </r>
    <r>
      <rPr>
        <b/>
        <sz val="11"/>
        <rFont val="ＭＳ Ｐゴシック"/>
        <family val="3"/>
        <charset val="128"/>
      </rPr>
      <t>訓練日数</t>
    </r>
    <r>
      <rPr>
        <sz val="10"/>
        <color rgb="FF000000"/>
        <rFont val="Arial"/>
        <family val="2"/>
        <scheme val="minor"/>
      </rPr>
      <t>及び</t>
    </r>
    <r>
      <rPr>
        <b/>
        <sz val="11"/>
        <rFont val="ＭＳ Ｐゴシック"/>
        <family val="3"/>
        <charset val="128"/>
      </rPr>
      <t>訓練時間</t>
    </r>
    <r>
      <rPr>
        <sz val="10"/>
        <color rgb="FF000000"/>
        <rFont val="Arial"/>
        <family val="2"/>
        <scheme val="minor"/>
      </rPr>
      <t>に含まれません。</t>
    </r>
    <phoneticPr fontId="18"/>
  </si>
  <si>
    <r>
      <rPr>
        <sz val="10"/>
        <color rgb="FF000000"/>
        <rFont val="Arial"/>
        <family val="2"/>
        <scheme val="minor"/>
      </rPr>
      <t>来所日</t>
    </r>
    <rPh sb="0" eb="2">
      <t>ライショ</t>
    </rPh>
    <rPh sb="2" eb="3">
      <t>ビ</t>
    </rPh>
    <phoneticPr fontId="18"/>
  </si>
  <si>
    <t>様式５号　（基礎）か実践か判断済み（半角にする関数が使われている）→</t>
    <rPh sb="0" eb="2">
      <t>ヨウシキ</t>
    </rPh>
    <rPh sb="3" eb="4">
      <t>ゴウ</t>
    </rPh>
    <rPh sb="10" eb="12">
      <t>ジッセン</t>
    </rPh>
    <rPh sb="13" eb="15">
      <t>ハンダン</t>
    </rPh>
    <rPh sb="15" eb="16">
      <t>ズ</t>
    </rPh>
    <rPh sb="18" eb="20">
      <t>ハンカク</t>
    </rPh>
    <rPh sb="23" eb="25">
      <t>カンスウ</t>
    </rPh>
    <rPh sb="26" eb="27">
      <t>ツカ</t>
    </rPh>
    <phoneticPr fontId="18"/>
  </si>
  <si>
    <t>6C(SF)</t>
    <phoneticPr fontId="4"/>
  </si>
  <si>
    <t>金</t>
    <rPh sb="0" eb="1">
      <t>キン</t>
    </rPh>
    <phoneticPr fontId="4"/>
  </si>
  <si>
    <t>木</t>
    <rPh sb="0" eb="1">
      <t>モク</t>
    </rPh>
    <phoneticPr fontId="4"/>
  </si>
  <si>
    <t>CC+</t>
    <phoneticPr fontId="4"/>
  </si>
  <si>
    <t>CC+</t>
  </si>
  <si>
    <t>6C自習</t>
    <rPh sb="2" eb="4">
      <t>ジシュウ</t>
    </rPh>
    <phoneticPr fontId="4"/>
  </si>
  <si>
    <t>分科会</t>
    <rPh sb="0" eb="2">
      <t>ブンカ</t>
    </rPh>
    <rPh sb="2" eb="3">
      <t>カイ</t>
    </rPh>
    <phoneticPr fontId="4"/>
  </si>
  <si>
    <t>AI活用で学ぶWeb制作・デザイン＆アプリ開発科</t>
    <phoneticPr fontId="4"/>
  </si>
  <si>
    <t>6ASF</t>
    <phoneticPr fontId="4"/>
  </si>
  <si>
    <t>6A自習</t>
    <rPh sb="2" eb="4">
      <t>ジシュウ</t>
    </rPh>
    <phoneticPr fontId="4"/>
  </si>
  <si>
    <t>6ASF＋教職員イラレ試験</t>
    <rPh sb="5" eb="8">
      <t>キョウショクイン</t>
    </rPh>
    <rPh sb="11" eb="13">
      <t>シケン</t>
    </rPh>
    <phoneticPr fontId="4"/>
  </si>
  <si>
    <t>６E</t>
    <phoneticPr fontId="4"/>
  </si>
  <si>
    <t>基礎から学ぶJava+Pythonプログラマー養成科</t>
  </si>
  <si>
    <t>安全衛生・コンピュータ基本操作</t>
    <phoneticPr fontId="18"/>
  </si>
  <si>
    <t>Web総合基礎</t>
    <phoneticPr fontId="18"/>
  </si>
  <si>
    <t>Web制作プロジェクト実習</t>
    <phoneticPr fontId="18"/>
  </si>
  <si>
    <r>
      <t>※各月において、ハローワーク</t>
    </r>
    <r>
      <rPr>
        <sz val="10"/>
        <color rgb="FF000000"/>
        <rFont val="Arial"/>
        <family val="2"/>
        <scheme val="minor"/>
      </rPr>
      <t>来所日相当日として、1日、空白日を設けること（具体的な来所日は、認定時に機構が指定する）。</t>
    </r>
    <rPh sb="1" eb="3">
      <t>カクツキ</t>
    </rPh>
    <rPh sb="14" eb="16">
      <t>ライショ</t>
    </rPh>
    <rPh sb="16" eb="17">
      <t>ビ</t>
    </rPh>
    <rPh sb="17" eb="19">
      <t>ソウトウ</t>
    </rPh>
    <rPh sb="19" eb="20">
      <t>ビ</t>
    </rPh>
    <rPh sb="25" eb="26">
      <t>ニチ</t>
    </rPh>
    <rPh sb="27" eb="29">
      <t>クウハク</t>
    </rPh>
    <rPh sb="29" eb="30">
      <t>ビ</t>
    </rPh>
    <rPh sb="31" eb="32">
      <t>モウ</t>
    </rPh>
    <rPh sb="37" eb="40">
      <t>グタイテキ</t>
    </rPh>
    <rPh sb="41" eb="43">
      <t>ライショ</t>
    </rPh>
    <rPh sb="43" eb="44">
      <t>ビ</t>
    </rPh>
    <rPh sb="46" eb="48">
      <t>ニンテイ</t>
    </rPh>
    <rPh sb="48" eb="49">
      <t>ジ</t>
    </rPh>
    <rPh sb="50" eb="52">
      <t>キコウ</t>
    </rPh>
    <rPh sb="53" eb="55">
      <t>シテイ</t>
    </rPh>
    <phoneticPr fontId="18"/>
  </si>
  <si>
    <r>
      <t>※キャリアコンサルティングは、</t>
    </r>
    <r>
      <rPr>
        <b/>
        <sz val="11"/>
        <rFont val="ＭＳ Ｐゴシック"/>
        <family val="3"/>
        <charset val="128"/>
      </rPr>
      <t>訓練時間</t>
    </r>
    <r>
      <rPr>
        <sz val="10"/>
        <color rgb="FF000000"/>
        <rFont val="Arial"/>
        <family val="2"/>
        <scheme val="minor"/>
      </rPr>
      <t>に含まれません。</t>
    </r>
    <phoneticPr fontId="18"/>
  </si>
  <si>
    <r>
      <t>※ハローワーク来所日は、</t>
    </r>
    <r>
      <rPr>
        <b/>
        <sz val="11"/>
        <rFont val="ＭＳ Ｐゴシック"/>
        <family val="3"/>
        <charset val="128"/>
      </rPr>
      <t>訓練日数</t>
    </r>
    <r>
      <rPr>
        <sz val="10"/>
        <color rgb="FF000000"/>
        <rFont val="Arial"/>
        <family val="2"/>
        <scheme val="minor"/>
      </rPr>
      <t>及び</t>
    </r>
    <r>
      <rPr>
        <b/>
        <sz val="11"/>
        <rFont val="ＭＳ Ｐゴシック"/>
        <family val="3"/>
        <charset val="128"/>
      </rPr>
      <t>訓練時間</t>
    </r>
    <r>
      <rPr>
        <sz val="10"/>
        <color rgb="FF000000"/>
        <rFont val="Arial"/>
        <family val="2"/>
        <scheme val="minor"/>
      </rPr>
      <t>に含まれません。</t>
    </r>
    <phoneticPr fontId="18"/>
  </si>
  <si>
    <r>
      <rPr>
        <sz val="10"/>
        <color rgb="FF000000"/>
        <rFont val="Arial"/>
        <family val="2"/>
        <scheme val="minor"/>
      </rPr>
      <t>来所日</t>
    </r>
    <rPh sb="0" eb="2">
      <t>ライショ</t>
    </rPh>
    <rPh sb="2" eb="3">
      <t>ビ</t>
    </rPh>
    <phoneticPr fontId="18"/>
  </si>
  <si>
    <t>安全衛生・コンピュータ基本操作</t>
    <rPh sb="0" eb="2">
      <t>アンゼン</t>
    </rPh>
    <rPh sb="2" eb="4">
      <t>エイセイ</t>
    </rPh>
    <rPh sb="11" eb="12">
      <t>ホン</t>
    </rPh>
    <rPh sb="12" eb="14">
      <t>ソウサ</t>
    </rPh>
    <phoneticPr fontId="15"/>
  </si>
  <si>
    <t>Webシステム概論</t>
    <rPh sb="7" eb="9">
      <t>ガイロン</t>
    </rPh>
    <phoneticPr fontId="15"/>
  </si>
  <si>
    <t>就職支援</t>
    <rPh sb="0" eb="2">
      <t>シュウショク</t>
    </rPh>
    <rPh sb="2" eb="4">
      <t>シエン</t>
    </rPh>
    <phoneticPr fontId="15"/>
  </si>
  <si>
    <t>Web総合基礎</t>
    <rPh sb="3" eb="7">
      <t>ソウゴウキソ</t>
    </rPh>
    <phoneticPr fontId="57"/>
  </si>
  <si>
    <t>Webページレイアウト制作</t>
  </si>
  <si>
    <t>ポートフォリオ制作実習</t>
    <rPh sb="7" eb="11">
      <t>セイサクジッシュウ</t>
    </rPh>
    <phoneticPr fontId="57"/>
  </si>
  <si>
    <t>レスポンシブ対応実習
（スマートフォン、タブレット対応）</t>
    <rPh sb="6" eb="8">
      <t>タイオウ</t>
    </rPh>
    <rPh sb="8" eb="10">
      <t>ジッシュウ</t>
    </rPh>
    <rPh sb="25" eb="27">
      <t>タイオウ</t>
    </rPh>
    <phoneticPr fontId="57"/>
  </si>
  <si>
    <t>フロントエンドプログラミング基礎</t>
    <rPh sb="14" eb="16">
      <t>キソ</t>
    </rPh>
    <phoneticPr fontId="57"/>
  </si>
  <si>
    <t>就職支援</t>
    <rPh sb="0" eb="4">
      <t>シュウショクシエン</t>
    </rPh>
    <phoneticPr fontId="57"/>
  </si>
  <si>
    <t>ポートフォリオ制作実習</t>
    <rPh sb="7" eb="9">
      <t>セイサク</t>
    </rPh>
    <rPh sb="9" eb="11">
      <t>ジッシュウ</t>
    </rPh>
    <phoneticPr fontId="57"/>
  </si>
  <si>
    <t>プログラミング基礎概論</t>
    <phoneticPr fontId="18"/>
  </si>
  <si>
    <t>データベース基礎概論</t>
    <rPh sb="6" eb="8">
      <t>キソ</t>
    </rPh>
    <rPh sb="8" eb="10">
      <t>ガイロン</t>
    </rPh>
    <phoneticPr fontId="57"/>
  </si>
  <si>
    <t>フロントエンドプログラミング応用</t>
    <rPh sb="14" eb="16">
      <t>オウヨウ</t>
    </rPh>
    <phoneticPr fontId="57"/>
  </si>
  <si>
    <t>フロントエンドプログラミング応用</t>
    <phoneticPr fontId="18"/>
  </si>
  <si>
    <t>Webサイト総合実制作</t>
  </si>
  <si>
    <t>Webサイト総合実制作</t>
    <phoneticPr fontId="18"/>
  </si>
  <si>
    <t>Webサイト総合実制作</t>
    <phoneticPr fontId="57"/>
  </si>
  <si>
    <t>アプリケーション企画実習</t>
    <rPh sb="8" eb="10">
      <t>キカク</t>
    </rPh>
    <rPh sb="10" eb="12">
      <t>ジッシュウ</t>
    </rPh>
    <phoneticPr fontId="18"/>
  </si>
  <si>
    <t>アプリケーション企画実習</t>
    <phoneticPr fontId="18"/>
  </si>
  <si>
    <t>アプリケーション制作実習</t>
    <rPh sb="8" eb="12">
      <t>セイサクジッシュウ</t>
    </rPh>
    <phoneticPr fontId="18"/>
  </si>
  <si>
    <t>アプリケーション制作実習</t>
    <phoneticPr fontId="18"/>
  </si>
  <si>
    <t>修了式（3H）</t>
    <rPh sb="0" eb="3">
      <t>シュウリョウシキ</t>
    </rPh>
    <phoneticPr fontId="68"/>
  </si>
  <si>
    <t>教員Photoshop(6G)</t>
    <rPh sb="0" eb="2">
      <t>キョウイン</t>
    </rPh>
    <phoneticPr fontId="4"/>
  </si>
  <si>
    <t>入校式・オリエンテーション(3H)</t>
    <rPh sb="0" eb="3">
      <t>ニュウコウシキ</t>
    </rPh>
    <phoneticPr fontId="23"/>
  </si>
  <si>
    <t>デザイナー総合研究</t>
    <rPh sb="5" eb="7">
      <t>ソウゴウ</t>
    </rPh>
    <rPh sb="7" eb="9">
      <t>ケンキュウ</t>
    </rPh>
    <phoneticPr fontId="30"/>
  </si>
  <si>
    <t>カラー基礎知識</t>
    <phoneticPr fontId="18"/>
  </si>
  <si>
    <t>デザイン作法</t>
    <phoneticPr fontId="18"/>
  </si>
  <si>
    <t>DTP・印刷ルール基本知識</t>
    <phoneticPr fontId="18"/>
  </si>
  <si>
    <t>カラー基礎知識</t>
    <rPh sb="3" eb="5">
      <t>キソ</t>
    </rPh>
    <rPh sb="5" eb="7">
      <t>チシキ</t>
    </rPh>
    <phoneticPr fontId="30"/>
  </si>
  <si>
    <t>Webページレイアウトトレーニング</t>
    <phoneticPr fontId="18"/>
  </si>
  <si>
    <t>紙面レイアウトトレーニング</t>
    <phoneticPr fontId="18"/>
  </si>
  <si>
    <t>Web基本知識</t>
    <rPh sb="3" eb="5">
      <t>キホン</t>
    </rPh>
    <rPh sb="5" eb="7">
      <t>チシキ</t>
    </rPh>
    <phoneticPr fontId="18"/>
  </si>
  <si>
    <t>職業人講話</t>
  </si>
  <si>
    <t>Webページレイアウト実習</t>
    <phoneticPr fontId="18"/>
  </si>
  <si>
    <t>ホームページ制作実習</t>
    <phoneticPr fontId="18"/>
  </si>
  <si>
    <t>修了式(3H)</t>
    <rPh sb="0" eb="3">
      <t>シュウリョウシキ</t>
    </rPh>
    <phoneticPr fontId="30"/>
  </si>
  <si>
    <t>A</t>
    <phoneticPr fontId="4"/>
  </si>
  <si>
    <t>B</t>
    <phoneticPr fontId="4"/>
  </si>
  <si>
    <t>D</t>
    <phoneticPr fontId="4"/>
  </si>
  <si>
    <t>E</t>
    <phoneticPr fontId="4"/>
  </si>
  <si>
    <t>F</t>
    <phoneticPr fontId="4"/>
  </si>
  <si>
    <t>G</t>
    <phoneticPr fontId="4"/>
  </si>
  <si>
    <t>H</t>
    <phoneticPr fontId="4"/>
  </si>
  <si>
    <t>J</t>
    <phoneticPr fontId="4"/>
  </si>
  <si>
    <t>K</t>
    <phoneticPr fontId="4"/>
  </si>
  <si>
    <t>L</t>
    <phoneticPr fontId="4"/>
  </si>
  <si>
    <t>M</t>
    <phoneticPr fontId="4"/>
  </si>
  <si>
    <t>N</t>
    <phoneticPr fontId="4"/>
  </si>
  <si>
    <t>P</t>
    <phoneticPr fontId="4"/>
  </si>
  <si>
    <t>Q</t>
    <phoneticPr fontId="4"/>
  </si>
  <si>
    <t>R</t>
    <phoneticPr fontId="4"/>
  </si>
  <si>
    <t>S</t>
    <phoneticPr fontId="4"/>
  </si>
  <si>
    <t>T</t>
    <phoneticPr fontId="4"/>
  </si>
  <si>
    <t>梅崎　竜之介</t>
    <rPh sb="0" eb="2">
      <t>ウメサキ</t>
    </rPh>
    <rPh sb="3" eb="6">
      <t>リュウノスケ</t>
    </rPh>
    <phoneticPr fontId="1"/>
  </si>
  <si>
    <t>江原　実里</t>
    <rPh sb="0" eb="2">
      <t>エハラ</t>
    </rPh>
    <rPh sb="3" eb="5">
      <t>ミノリ</t>
    </rPh>
    <phoneticPr fontId="1"/>
  </si>
  <si>
    <t>大古場　佐和子</t>
    <rPh sb="0" eb="3">
      <t>オオコバ</t>
    </rPh>
    <rPh sb="4" eb="7">
      <t>サワコ</t>
    </rPh>
    <phoneticPr fontId="1"/>
  </si>
  <si>
    <t>小倉　啓太郎</t>
    <rPh sb="0" eb="2">
      <t>オグラ</t>
    </rPh>
    <rPh sb="3" eb="6">
      <t>ケイタロウ</t>
    </rPh>
    <phoneticPr fontId="1"/>
  </si>
  <si>
    <t>岸本　恵美子</t>
    <rPh sb="0" eb="2">
      <t>キシモト</t>
    </rPh>
    <rPh sb="3" eb="6">
      <t>エミコ</t>
    </rPh>
    <phoneticPr fontId="1"/>
  </si>
  <si>
    <t>小池　義明</t>
    <rPh sb="0" eb="2">
      <t>コイケ</t>
    </rPh>
    <rPh sb="3" eb="5">
      <t>ヨシアキ</t>
    </rPh>
    <phoneticPr fontId="1"/>
  </si>
  <si>
    <t>小松　喜徳</t>
    <rPh sb="0" eb="2">
      <t>コマツ</t>
    </rPh>
    <rPh sb="3" eb="4">
      <t>ヨロコ</t>
    </rPh>
    <rPh sb="4" eb="5">
      <t>トク</t>
    </rPh>
    <phoneticPr fontId="1"/>
  </si>
  <si>
    <t>環　怜汰郎</t>
    <rPh sb="0" eb="1">
      <t>タマキ</t>
    </rPh>
    <rPh sb="2" eb="3">
      <t>レイ</t>
    </rPh>
    <rPh sb="3" eb="4">
      <t>タ</t>
    </rPh>
    <rPh sb="4" eb="5">
      <t>ロウ</t>
    </rPh>
    <phoneticPr fontId="1"/>
  </si>
  <si>
    <t>友原　豪</t>
    <rPh sb="0" eb="2">
      <t>トモハラ</t>
    </rPh>
    <rPh sb="3" eb="4">
      <t>ゴウ</t>
    </rPh>
    <phoneticPr fontId="1"/>
  </si>
  <si>
    <t>永田　貴久</t>
    <rPh sb="0" eb="2">
      <t>ナガタ</t>
    </rPh>
    <rPh sb="3" eb="4">
      <t>タット</t>
    </rPh>
    <rPh sb="4" eb="5">
      <t>ヒサ</t>
    </rPh>
    <phoneticPr fontId="1"/>
  </si>
  <si>
    <t>濱田　真衣</t>
    <rPh sb="0" eb="2">
      <t>ハマダ</t>
    </rPh>
    <rPh sb="3" eb="4">
      <t>シン</t>
    </rPh>
    <rPh sb="4" eb="5">
      <t>コロモ</t>
    </rPh>
    <phoneticPr fontId="1"/>
  </si>
  <si>
    <t>原田　友紀</t>
    <rPh sb="0" eb="2">
      <t>ハラダ</t>
    </rPh>
    <rPh sb="3" eb="4">
      <t>トモ</t>
    </rPh>
    <rPh sb="4" eb="5">
      <t>キ</t>
    </rPh>
    <phoneticPr fontId="1"/>
  </si>
  <si>
    <t>兵藤　優翔</t>
    <rPh sb="0" eb="2">
      <t>ヒョウドウ</t>
    </rPh>
    <rPh sb="4" eb="5">
      <t>ショウ</t>
    </rPh>
    <phoneticPr fontId="1"/>
  </si>
  <si>
    <t>福永　茉柚</t>
    <rPh sb="0" eb="2">
      <t>フクナガ</t>
    </rPh>
    <rPh sb="4" eb="5">
      <t>ユズ</t>
    </rPh>
    <phoneticPr fontId="1"/>
  </si>
  <si>
    <t>松浦　美春</t>
    <rPh sb="0" eb="2">
      <t>マツウラ</t>
    </rPh>
    <rPh sb="3" eb="5">
      <t>ミハル</t>
    </rPh>
    <phoneticPr fontId="1"/>
  </si>
  <si>
    <t>松永　美津帆</t>
    <rPh sb="0" eb="2">
      <t>マツナガ</t>
    </rPh>
    <rPh sb="3" eb="4">
      <t>ウツク</t>
    </rPh>
    <rPh sb="4" eb="5">
      <t>ツ</t>
    </rPh>
    <rPh sb="5" eb="6">
      <t>ホ</t>
    </rPh>
    <phoneticPr fontId="1"/>
  </si>
  <si>
    <t>松原　浩一</t>
    <rPh sb="0" eb="2">
      <t>マツバラ</t>
    </rPh>
    <rPh sb="3" eb="5">
      <t>コウイチ</t>
    </rPh>
    <phoneticPr fontId="1"/>
  </si>
  <si>
    <t>村上　和美</t>
    <rPh sb="0" eb="2">
      <t>ムラカミ</t>
    </rPh>
    <rPh sb="3" eb="5">
      <t>カズミ</t>
    </rPh>
    <phoneticPr fontId="1"/>
  </si>
  <si>
    <t>村田(荒木）　曜信明</t>
    <rPh sb="0" eb="2">
      <t>ムラタ</t>
    </rPh>
    <rPh sb="3" eb="5">
      <t>アラキ</t>
    </rPh>
    <rPh sb="7" eb="8">
      <t>ヨウ</t>
    </rPh>
    <rPh sb="8" eb="10">
      <t>ノブアキ</t>
    </rPh>
    <phoneticPr fontId="57"/>
  </si>
  <si>
    <t>横田　絵里佳</t>
    <rPh sb="0" eb="2">
      <t>ヨコタ</t>
    </rPh>
    <rPh sb="3" eb="6">
      <t>エリカ</t>
    </rPh>
    <phoneticPr fontId="5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</si>
</sst>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m/d"/>
    <numFmt numFmtId="177" formatCode="m"/>
    <numFmt numFmtId="178" formatCode="d"/>
    <numFmt numFmtId="179" formatCode="aaa"/>
    <numFmt numFmtId="180" formatCode="0&quot;H&quot;"/>
    <numFmt numFmtId="181" formatCode="[$-411]ge\.m\.d;@"/>
    <numFmt numFmtId="182" formatCode="[$-411]ggge&quot;年&quot;m&quot;月&quot;d&quot;日&quot;;@"/>
    <numFmt numFmtId="183" formatCode="0_);[Red]\(0\)"/>
    <numFmt numFmtId="184" formatCode="yyyy/mm/dd"/>
    <numFmt numFmtId="185" formatCode="m&quot;月&quot;d&quot;日(&quot;aaa&quot;)&quot;"/>
    <numFmt numFmtId="186" formatCode="m&quot;月&quot;d&quot;日&quot;\(aaa\)"/>
    <numFmt numFmtId="187" formatCode="m/d;@"/>
  </numFmts>
  <fonts count="83">
    <font>
      <sz val="10"/>
      <color rgb="FF000000"/>
      <name val="Arial"/>
      <scheme val="minor"/>
    </font>
    <font>
      <sz val="11"/>
      <color theme="1"/>
      <name val="Arial"/>
      <family val="2"/>
      <charset val="128"/>
      <scheme val="minor"/>
    </font>
    <font>
      <sz val="11"/>
      <color theme="1"/>
      <name val="Arial"/>
      <family val="2"/>
      <charset val="128"/>
      <scheme val="minor"/>
    </font>
    <font>
      <sz val="9"/>
      <color rgb="FF000000"/>
      <name val="Arial"/>
      <family val="2"/>
      <scheme val="minor"/>
    </font>
    <font>
      <sz val="6"/>
      <name val="Arial"/>
      <family val="3"/>
      <charset val="128"/>
      <scheme val="minor"/>
    </font>
    <font>
      <sz val="9"/>
      <color indexed="81"/>
      <name val="MS P ゴシック"/>
      <family val="3"/>
      <charset val="128"/>
    </font>
    <font>
      <sz val="9"/>
      <color rgb="FF000000"/>
      <name val="Arial"/>
      <family val="3"/>
      <charset val="128"/>
      <scheme val="minor"/>
    </font>
    <font>
      <sz val="9"/>
      <color rgb="FF000000"/>
      <name val="ＭＳ ゴシック"/>
      <family val="3"/>
      <charset val="128"/>
    </font>
    <font>
      <b/>
      <sz val="9"/>
      <color indexed="81"/>
      <name val="MS P ゴシック"/>
      <family val="3"/>
      <charset val="128"/>
    </font>
    <font>
      <sz val="10"/>
      <color rgb="FF000000"/>
      <name val="Arial"/>
      <family val="2"/>
      <scheme val="minor"/>
    </font>
    <font>
      <sz val="8"/>
      <color rgb="FF000000"/>
      <name val="Arial"/>
      <family val="2"/>
      <scheme val="minor"/>
    </font>
    <font>
      <sz val="8"/>
      <color rgb="FF000000"/>
      <name val="游ゴシック"/>
      <family val="3"/>
      <charset val="128"/>
    </font>
    <font>
      <sz val="8"/>
      <color theme="1"/>
      <name val="游ゴシック"/>
      <family val="3"/>
      <charset val="128"/>
    </font>
    <font>
      <sz val="9"/>
      <color rgb="FF000000"/>
      <name val="游ゴシック"/>
      <family val="3"/>
      <charset val="128"/>
    </font>
    <font>
      <sz val="8"/>
      <name val="游ゴシック"/>
      <family val="3"/>
      <charset val="128"/>
    </font>
    <font>
      <sz val="11"/>
      <name val="ＭＳ Ｐゴシック"/>
      <family val="3"/>
      <charset val="128"/>
    </font>
    <font>
      <b/>
      <sz val="14"/>
      <color theme="0"/>
      <name val="ＭＳ Ｐゴシック"/>
      <family val="3"/>
      <charset val="128"/>
    </font>
    <font>
      <sz val="11"/>
      <name val="HG丸ｺﾞｼｯｸM-PRO"/>
      <family val="3"/>
      <charset val="128"/>
    </font>
    <font>
      <sz val="6"/>
      <name val="ＭＳ Ｐゴシック"/>
      <family val="3"/>
      <charset val="128"/>
    </font>
    <font>
      <sz val="12"/>
      <name val="ＭＳ Ｐゴシック"/>
      <family val="3"/>
      <charset val="128"/>
    </font>
    <font>
      <sz val="16"/>
      <name val="ＭＳ ゴシック"/>
      <family val="3"/>
      <charset val="128"/>
    </font>
    <font>
      <sz val="12"/>
      <name val="ＭＳ ゴシック"/>
      <family val="3"/>
      <charset val="128"/>
    </font>
    <font>
      <sz val="14"/>
      <name val="HG丸ｺﾞｼｯｸM-PRO"/>
      <family val="3"/>
      <charset val="128"/>
    </font>
    <font>
      <sz val="8"/>
      <name val="ＭＳ Ｐゴシック"/>
      <family val="3"/>
      <charset val="128"/>
    </font>
    <font>
      <sz val="11"/>
      <color rgb="FFFF0000"/>
      <name val="HG丸ｺﾞｼｯｸM-PRO"/>
      <family val="3"/>
      <charset val="128"/>
    </font>
    <font>
      <b/>
      <sz val="12"/>
      <color rgb="FFFF0000"/>
      <name val="ＭＳ Ｐゴシック"/>
      <family val="3"/>
      <charset val="128"/>
    </font>
    <font>
      <sz val="12"/>
      <color rgb="FFFF0000"/>
      <name val="ＭＳ Ｐゴシック"/>
      <family val="3"/>
      <charset val="128"/>
    </font>
    <font>
      <sz val="8"/>
      <color theme="1"/>
      <name val="ＭＳ Ｐゴシック"/>
      <family val="3"/>
      <charset val="128"/>
    </font>
    <font>
      <b/>
      <sz val="11"/>
      <color rgb="FFFF0000"/>
      <name val="ＭＳ Ｐゴシック"/>
      <family val="3"/>
      <charset val="128"/>
    </font>
    <font>
      <i/>
      <sz val="11"/>
      <name val="ＭＳ Ｐゴシック"/>
      <family val="3"/>
      <charset val="128"/>
    </font>
    <font>
      <b/>
      <sz val="11"/>
      <name val="ＭＳ Ｐゴシック"/>
      <family val="3"/>
      <charset val="128"/>
    </font>
    <font>
      <sz val="13"/>
      <name val="ＭＳ Ｐゴシック"/>
      <family val="3"/>
      <charset val="128"/>
    </font>
    <font>
      <u/>
      <sz val="11"/>
      <color theme="10"/>
      <name val="ＭＳ Ｐゴシック"/>
      <family val="3"/>
      <charset val="128"/>
    </font>
    <font>
      <b/>
      <u/>
      <sz val="11"/>
      <color rgb="FF0000FF"/>
      <name val="ＭＳ Ｐゴシック"/>
      <family val="3"/>
      <charset val="128"/>
    </font>
    <font>
      <b/>
      <u/>
      <sz val="11"/>
      <color theme="10"/>
      <name val="ＭＳ Ｐゴシック"/>
      <family val="3"/>
      <charset val="128"/>
    </font>
    <font>
      <sz val="11"/>
      <name val="Arial"/>
      <family val="3"/>
      <charset val="128"/>
      <scheme val="minor"/>
    </font>
    <font>
      <sz val="11"/>
      <color theme="1"/>
      <name val="ＭＳ Ｐゴシック"/>
      <family val="3"/>
      <charset val="128"/>
    </font>
    <font>
      <b/>
      <sz val="11"/>
      <color rgb="FF002060"/>
      <name val="ＭＳ Ｐゴシック"/>
      <family val="3"/>
      <charset val="128"/>
    </font>
    <font>
      <sz val="11"/>
      <color rgb="FF0070C0"/>
      <name val="ＭＳ Ｐゴシック"/>
      <family val="3"/>
      <charset val="128"/>
    </font>
    <font>
      <sz val="11"/>
      <color rgb="FF0000FF"/>
      <name val="ＭＳ Ｐゴシック"/>
      <family val="3"/>
      <charset val="128"/>
    </font>
    <font>
      <sz val="11"/>
      <color rgb="FF002060"/>
      <name val="ＭＳ Ｐゴシック"/>
      <family val="3"/>
      <charset val="128"/>
    </font>
    <font>
      <sz val="12"/>
      <name val="HG丸ｺﾞｼｯｸM-PRO"/>
      <family val="3"/>
      <charset val="128"/>
    </font>
    <font>
      <b/>
      <sz val="12"/>
      <color indexed="81"/>
      <name val="HG丸ｺﾞｼｯｸM-PRO"/>
      <family val="3"/>
      <charset val="128"/>
    </font>
    <font>
      <b/>
      <sz val="12"/>
      <color indexed="10"/>
      <name val="HG丸ｺﾞｼｯｸM-PRO"/>
      <family val="3"/>
      <charset val="128"/>
    </font>
    <font>
      <b/>
      <sz val="14"/>
      <color indexed="10"/>
      <name val="ＭＳ ゴシック"/>
      <family val="3"/>
      <charset val="128"/>
    </font>
    <font>
      <sz val="10"/>
      <color rgb="FF000000"/>
      <name val="ＭＳ Ｐゴシック"/>
      <family val="3"/>
      <charset val="128"/>
    </font>
    <font>
      <sz val="13"/>
      <color rgb="FF0000FF"/>
      <name val="HG丸ｺﾞｼｯｸM-PRO"/>
      <family val="3"/>
      <charset val="128"/>
    </font>
    <font>
      <b/>
      <sz val="16"/>
      <color rgb="FFFF0000"/>
      <name val="ＭＳ Ｐゴシック"/>
      <family val="3"/>
      <charset val="128"/>
    </font>
    <font>
      <b/>
      <sz val="12"/>
      <color theme="1"/>
      <name val="ＭＳ Ｐゴシック"/>
      <family val="3"/>
      <charset val="128"/>
    </font>
    <font>
      <b/>
      <sz val="16"/>
      <color rgb="FF002060"/>
      <name val="ＭＳ Ｐゴシック"/>
      <family val="3"/>
      <charset val="128"/>
    </font>
    <font>
      <b/>
      <sz val="12"/>
      <color rgb="FF002060"/>
      <name val="ＭＳ Ｐゴシック"/>
      <family val="3"/>
      <charset val="128"/>
    </font>
    <font>
      <sz val="9"/>
      <color rgb="FF000000"/>
      <name val="ＭＳ Ｐゴシック"/>
      <family val="2"/>
      <charset val="128"/>
    </font>
    <font>
      <b/>
      <sz val="8"/>
      <name val="游ゴシック"/>
      <family val="3"/>
      <charset val="128"/>
    </font>
    <font>
      <b/>
      <sz val="8"/>
      <color theme="0"/>
      <name val="游ゴシック"/>
      <family val="3"/>
      <charset val="128"/>
    </font>
    <font>
      <sz val="10"/>
      <color rgb="FF000000"/>
      <name val="HGPｺﾞｼｯｸM"/>
      <family val="3"/>
      <charset val="128"/>
    </font>
    <font>
      <sz val="8"/>
      <color theme="1"/>
      <name val="HGPｺﾞｼｯｸM"/>
      <family val="3"/>
      <charset val="128"/>
    </font>
    <font>
      <b/>
      <sz val="18"/>
      <color theme="1"/>
      <name val="Meiryo UI"/>
      <family val="3"/>
      <charset val="128"/>
    </font>
    <font>
      <sz val="6"/>
      <name val="Arial"/>
      <family val="2"/>
      <charset val="128"/>
      <scheme val="minor"/>
    </font>
    <font>
      <b/>
      <sz val="18"/>
      <color rgb="FFFF0000"/>
      <name val="Meiryo UI"/>
      <family val="3"/>
      <charset val="128"/>
    </font>
    <font>
      <sz val="11"/>
      <color theme="1"/>
      <name val="Meiryo UI"/>
      <family val="3"/>
      <charset val="128"/>
    </font>
    <font>
      <b/>
      <sz val="12"/>
      <color theme="1"/>
      <name val="Meiryo UI"/>
      <family val="3"/>
      <charset val="128"/>
    </font>
    <font>
      <sz val="12"/>
      <color theme="1"/>
      <name val="Meiryo UI"/>
      <family val="3"/>
      <charset val="128"/>
    </font>
    <font>
      <sz val="12"/>
      <color rgb="FFFF0000"/>
      <name val="Meiryo UI"/>
      <family val="3"/>
      <charset val="128"/>
    </font>
    <font>
      <b/>
      <sz val="10"/>
      <color theme="0"/>
      <name val="Arial"/>
      <family val="2"/>
      <scheme val="minor"/>
    </font>
    <font>
      <b/>
      <sz val="10"/>
      <color theme="0"/>
      <name val="ＭＳ Ｐゴシック"/>
      <family val="3"/>
      <charset val="128"/>
    </font>
    <font>
      <b/>
      <sz val="10"/>
      <color rgb="FFFF0000"/>
      <name val="MS UI Gothic"/>
      <family val="3"/>
      <charset val="128"/>
    </font>
    <font>
      <b/>
      <sz val="10"/>
      <color theme="0"/>
      <name val="Arial"/>
      <family val="3"/>
      <charset val="128"/>
      <scheme val="minor"/>
    </font>
    <font>
      <b/>
      <sz val="10"/>
      <color theme="0"/>
      <name val="ＭＳ ゴシック"/>
      <family val="3"/>
      <charset val="128"/>
    </font>
    <font>
      <sz val="11"/>
      <name val="ＭＳ ゴシック"/>
      <family val="3"/>
      <charset val="128"/>
    </font>
    <font>
      <sz val="10"/>
      <color rgb="FF000000"/>
      <name val="Arial"/>
      <family val="2"/>
    </font>
    <font>
      <b/>
      <i/>
      <sz val="8"/>
      <color rgb="FFFF0000"/>
      <name val="游ゴシック"/>
      <family val="3"/>
      <charset val="128"/>
    </font>
    <font>
      <sz val="11"/>
      <color theme="1"/>
      <name val="MS PGothic"/>
      <family val="3"/>
      <charset val="128"/>
    </font>
    <font>
      <b/>
      <sz val="8"/>
      <color theme="1"/>
      <name val="游ゴシック"/>
      <family val="3"/>
      <charset val="128"/>
    </font>
    <font>
      <b/>
      <sz val="8"/>
      <color rgb="FFFF0000"/>
      <name val="游ゴシック"/>
      <family val="3"/>
      <charset val="128"/>
    </font>
    <font>
      <b/>
      <sz val="8"/>
      <color rgb="FF000000"/>
      <name val="游ゴシック"/>
      <family val="3"/>
      <charset val="128"/>
    </font>
    <font>
      <b/>
      <sz val="8"/>
      <color indexed="81"/>
      <name val="MS P ゴシック"/>
      <family val="3"/>
      <charset val="128"/>
    </font>
    <font>
      <b/>
      <sz val="12"/>
      <color indexed="10"/>
      <name val="MS P ゴシック"/>
      <family val="3"/>
      <charset val="128"/>
    </font>
    <font>
      <b/>
      <sz val="12"/>
      <color indexed="81"/>
      <name val="MS P ゴシック"/>
      <family val="3"/>
      <charset val="128"/>
    </font>
    <font>
      <b/>
      <sz val="12"/>
      <color indexed="39"/>
      <name val="MS P ゴシック"/>
      <family val="3"/>
      <charset val="128"/>
    </font>
    <font>
      <b/>
      <sz val="14"/>
      <color indexed="81"/>
      <name val="ＭＳ ゴシック"/>
      <family val="3"/>
      <charset val="128"/>
    </font>
    <font>
      <b/>
      <sz val="14"/>
      <color indexed="39"/>
      <name val="ＭＳ ゴシック"/>
      <family val="3"/>
      <charset val="128"/>
    </font>
    <font>
      <sz val="8"/>
      <color rgb="FFFF0000"/>
      <name val="游ゴシック"/>
      <family val="3"/>
      <charset val="128"/>
    </font>
    <font>
      <sz val="6"/>
      <color theme="1"/>
      <name val="游ゴシック"/>
      <family val="3"/>
      <charset val="128"/>
    </font>
  </fonts>
  <fills count="26">
    <fill>
      <patternFill patternType="none"/>
    </fill>
    <fill>
      <patternFill patternType="gray125"/>
    </fill>
    <fill>
      <patternFill patternType="solid">
        <fgColor rgb="FFB7B7B7"/>
        <bgColor rgb="FFB7B7B7"/>
      </patternFill>
    </fill>
    <fill>
      <patternFill patternType="solid">
        <fgColor rgb="FF999999"/>
        <bgColor rgb="FF999999"/>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rgb="FFFF0000"/>
        <bgColor indexed="64"/>
      </patternFill>
    </fill>
    <fill>
      <patternFill patternType="solid">
        <fgColor theme="2"/>
        <bgColor indexed="64"/>
      </patternFill>
    </fill>
    <fill>
      <patternFill patternType="solid">
        <fgColor theme="0"/>
        <bgColor rgb="FFFF0000"/>
      </patternFill>
    </fill>
    <fill>
      <patternFill patternType="solid">
        <fgColor theme="7"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rgb="FFFFC000"/>
        <bgColor indexed="64"/>
      </patternFill>
    </fill>
    <fill>
      <patternFill patternType="solid">
        <fgColor rgb="FFFF9999"/>
        <bgColor indexed="64"/>
      </patternFill>
    </fill>
    <fill>
      <patternFill patternType="solid">
        <fgColor theme="4"/>
        <bgColor indexed="64"/>
      </patternFill>
    </fill>
    <fill>
      <patternFill patternType="solid">
        <fgColor theme="0" tint="-0.34998626667073579"/>
        <bgColor indexed="64"/>
      </patternFill>
    </fill>
    <fill>
      <patternFill patternType="solid">
        <fgColor rgb="FFFFFFCC"/>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FFCCFF"/>
        <bgColor indexed="64"/>
      </patternFill>
    </fill>
    <fill>
      <patternFill patternType="solid">
        <fgColor rgb="FFCCECFF"/>
        <bgColor indexed="64"/>
      </patternFill>
    </fill>
    <fill>
      <patternFill patternType="solid">
        <fgColor theme="9" tint="0.79998168889431442"/>
        <bgColor indexed="64"/>
      </patternFill>
    </fill>
  </fills>
  <borders count="7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top style="thin">
        <color auto="1"/>
      </top>
      <bottom style="thin">
        <color auto="1"/>
      </bottom>
      <diagonal/>
    </border>
    <border>
      <left/>
      <right style="hair">
        <color rgb="FF000000"/>
      </right>
      <top style="hair">
        <color rgb="FF000000"/>
      </top>
      <bottom style="hair">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ck">
        <color auto="1"/>
      </top>
      <bottom style="thin">
        <color rgb="FF000000"/>
      </bottom>
      <diagonal/>
    </border>
    <border>
      <left/>
      <right/>
      <top/>
      <bottom style="thin">
        <color indexed="64"/>
      </bottom>
      <diagonal/>
    </border>
    <border>
      <left style="thin">
        <color indexed="64"/>
      </left>
      <right/>
      <top style="thin">
        <color indexed="64"/>
      </top>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style="thin">
        <color indexed="64"/>
      </right>
      <top/>
      <bottom/>
      <diagonal/>
    </border>
    <border>
      <left style="dashed">
        <color indexed="64"/>
      </left>
      <right style="thin">
        <color indexed="64"/>
      </right>
      <top style="thin">
        <color indexed="64"/>
      </top>
      <bottom style="thin">
        <color indexed="64"/>
      </bottom>
      <diagonal/>
    </border>
    <border>
      <left style="thin">
        <color indexed="64"/>
      </left>
      <right style="dashed">
        <color indexed="64"/>
      </right>
      <top style="thin">
        <color indexed="64"/>
      </top>
      <bottom/>
      <diagonal/>
    </border>
    <border>
      <left style="dashed">
        <color indexed="64"/>
      </left>
      <right style="dashed">
        <color indexed="64"/>
      </right>
      <top style="thin">
        <color indexed="64"/>
      </top>
      <bottom/>
      <diagonal/>
    </border>
    <border>
      <left/>
      <right style="thin">
        <color indexed="64"/>
      </right>
      <top style="thin">
        <color indexed="64"/>
      </top>
      <bottom/>
      <diagonal/>
    </border>
    <border>
      <left style="thin">
        <color indexed="64"/>
      </left>
      <right style="dashed">
        <color indexed="64"/>
      </right>
      <top/>
      <bottom/>
      <diagonal/>
    </border>
    <border>
      <left style="dashed">
        <color indexed="64"/>
      </left>
      <right style="dashed">
        <color indexed="64"/>
      </right>
      <top/>
      <bottom/>
      <diagonal/>
    </border>
    <border>
      <left/>
      <right style="thin">
        <color indexed="64"/>
      </right>
      <top/>
      <bottom/>
      <diagonal/>
    </border>
    <border>
      <left style="dashed">
        <color indexed="64"/>
      </left>
      <right style="dashed">
        <color indexed="64"/>
      </right>
      <top/>
      <bottom style="thin">
        <color indexed="64"/>
      </bottom>
      <diagonal/>
    </border>
    <border>
      <left/>
      <right style="thin">
        <color indexed="64"/>
      </right>
      <top/>
      <bottom style="thin">
        <color indexed="64"/>
      </bottom>
      <diagonal/>
    </border>
    <border>
      <left style="dashed">
        <color indexed="64"/>
      </left>
      <right style="thin">
        <color indexed="64"/>
      </right>
      <top/>
      <bottom style="thin">
        <color indexed="64"/>
      </bottom>
      <diagonal/>
    </border>
    <border>
      <left/>
      <right/>
      <top style="thin">
        <color indexed="64"/>
      </top>
      <bottom/>
      <diagonal/>
    </border>
    <border>
      <left style="dotted">
        <color indexed="64"/>
      </left>
      <right/>
      <top style="thin">
        <color indexed="64"/>
      </top>
      <bottom/>
      <diagonal/>
    </border>
    <border>
      <left style="dotted">
        <color indexed="64"/>
      </left>
      <right/>
      <top/>
      <bottom/>
      <diagonal/>
    </border>
    <border>
      <left style="thin">
        <color indexed="64"/>
      </left>
      <right style="thin">
        <color indexed="64"/>
      </right>
      <top/>
      <bottom style="thin">
        <color indexed="64"/>
      </bottom>
      <diagonal/>
    </border>
    <border>
      <left style="dotted">
        <color indexed="64"/>
      </left>
      <right/>
      <top/>
      <bottom style="thin">
        <color indexed="64"/>
      </bottom>
      <diagonal/>
    </border>
    <border>
      <left/>
      <right style="dashed">
        <color indexed="64"/>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thin">
        <color indexed="64"/>
      </right>
      <top style="thin">
        <color indexed="64"/>
      </top>
      <bottom/>
      <diagonal/>
    </border>
    <border>
      <left style="thin">
        <color indexed="64"/>
      </left>
      <right/>
      <top/>
      <bottom/>
      <diagonal/>
    </border>
    <border>
      <left style="dashed">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dashed">
        <color indexed="64"/>
      </left>
      <right/>
      <top style="thin">
        <color indexed="64"/>
      </top>
      <bottom style="thin">
        <color indexed="64"/>
      </bottom>
      <diagonal/>
    </border>
    <border>
      <left style="thin">
        <color rgb="FFFF0000"/>
      </left>
      <right/>
      <top style="thin">
        <color rgb="FFFF0000"/>
      </top>
      <bottom style="thick">
        <color rgb="FFFF0000"/>
      </bottom>
      <diagonal/>
    </border>
    <border>
      <left/>
      <right style="thick">
        <color rgb="FFFF0000"/>
      </right>
      <top style="thin">
        <color rgb="FFFF0000"/>
      </top>
      <bottom style="thick">
        <color rgb="FFFF0000"/>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mediumDashDotDot">
        <color auto="1"/>
      </left>
      <right/>
      <top/>
      <bottom/>
      <diagonal/>
    </border>
    <border>
      <left style="double">
        <color auto="1"/>
      </left>
      <right style="double">
        <color auto="1"/>
      </right>
      <top style="double">
        <color auto="1"/>
      </top>
      <bottom/>
      <diagonal/>
    </border>
    <border>
      <left style="thin">
        <color auto="1"/>
      </left>
      <right style="thin">
        <color auto="1"/>
      </right>
      <top style="double">
        <color auto="1"/>
      </top>
      <bottom style="thin">
        <color auto="1"/>
      </bottom>
      <diagonal/>
    </border>
    <border diagonalUp="1">
      <left style="thin">
        <color auto="1"/>
      </left>
      <right style="thin">
        <color auto="1"/>
      </right>
      <top style="thin">
        <color auto="1"/>
      </top>
      <bottom style="thin">
        <color auto="1"/>
      </bottom>
      <diagonal style="thin">
        <color auto="1"/>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double">
        <color auto="1"/>
      </left>
      <right style="thin">
        <color auto="1"/>
      </right>
      <top style="thin">
        <color auto="1"/>
      </top>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right style="mediumDashDot">
        <color indexed="64"/>
      </right>
      <top/>
      <bottom/>
      <diagonal/>
    </border>
    <border>
      <left/>
      <right/>
      <top style="hair">
        <color auto="1"/>
      </top>
      <bottom/>
      <diagonal/>
    </border>
    <border>
      <left style="thin">
        <color rgb="FF000000"/>
      </left>
      <right style="thin">
        <color rgb="FF000000"/>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000000"/>
      </left>
      <right/>
      <top/>
      <bottom style="double">
        <color rgb="FF000000"/>
      </bottom>
      <diagonal/>
    </border>
    <border>
      <left style="thin">
        <color rgb="FF000000"/>
      </left>
      <right style="thin">
        <color rgb="FF000000"/>
      </right>
      <top style="thin">
        <color rgb="FF000000"/>
      </top>
      <bottom style="double">
        <color rgb="FF000000"/>
      </bottom>
      <diagonal/>
    </border>
    <border>
      <left style="thin">
        <color indexed="64"/>
      </left>
      <right style="dashed">
        <color indexed="64"/>
      </right>
      <top/>
      <bottom style="thin">
        <color indexed="64"/>
      </bottom>
      <diagonal/>
    </border>
    <border>
      <left/>
      <right style="mediumDashDotDot">
        <color indexed="64"/>
      </right>
      <top/>
      <bottom/>
      <diagonal/>
    </border>
    <border>
      <left/>
      <right style="dashed">
        <color indexed="64"/>
      </right>
      <top style="thin">
        <color indexed="64"/>
      </top>
      <bottom/>
      <diagonal/>
    </border>
    <border>
      <left/>
      <right style="dashed">
        <color auto="1"/>
      </right>
      <top/>
      <bottom/>
      <diagonal/>
    </border>
    <border>
      <left/>
      <right style="dashed">
        <color indexed="64"/>
      </right>
      <top/>
      <bottom style="thin">
        <color indexed="64"/>
      </bottom>
      <diagonal/>
    </border>
    <border>
      <left style="thin">
        <color rgb="FF000000"/>
      </left>
      <right style="thin">
        <color rgb="FF000000"/>
      </right>
      <top style="double">
        <color rgb="FF000000"/>
      </top>
      <bottom style="thin">
        <color rgb="FF000000"/>
      </bottom>
      <diagonal/>
    </border>
    <border>
      <left style="thin">
        <color rgb="FF000000"/>
      </left>
      <right style="thin">
        <color rgb="FF000000"/>
      </right>
      <top style="thick">
        <color rgb="FF000000"/>
      </top>
      <bottom style="thin">
        <color rgb="FF000000"/>
      </bottom>
      <diagonal/>
    </border>
  </borders>
  <cellStyleXfs count="7">
    <xf numFmtId="0" fontId="0" fillId="0" borderId="0"/>
    <xf numFmtId="0" fontId="15" fillId="0" borderId="0"/>
    <xf numFmtId="0" fontId="15" fillId="0" borderId="0"/>
    <xf numFmtId="0" fontId="32" fillId="0" borderId="0" applyNumberFormat="0" applyFill="0" applyBorder="0" applyAlignment="0" applyProtection="0">
      <alignment vertical="top"/>
      <protection locked="0"/>
    </xf>
    <xf numFmtId="0" fontId="2" fillId="0" borderId="0">
      <alignment vertical="center"/>
    </xf>
    <xf numFmtId="0" fontId="9" fillId="0" borderId="0"/>
    <xf numFmtId="0" fontId="1" fillId="0" borderId="0">
      <alignment vertical="center"/>
    </xf>
  </cellStyleXfs>
  <cellXfs count="467">
    <xf numFmtId="0" fontId="0" fillId="0" borderId="0" xfId="0"/>
    <xf numFmtId="0" fontId="3" fillId="0" borderId="0" xfId="0" applyFont="1" applyAlignment="1">
      <alignment horizontal="center"/>
    </xf>
    <xf numFmtId="0" fontId="7"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176" fontId="12" fillId="0" borderId="1" xfId="0" applyNumberFormat="1" applyFont="1" applyBorder="1" applyAlignment="1">
      <alignment horizontal="center"/>
    </xf>
    <xf numFmtId="176" fontId="12" fillId="0" borderId="1" xfId="0" applyNumberFormat="1" applyFont="1" applyBorder="1" applyAlignment="1">
      <alignment horizontal="center" vertical="center"/>
    </xf>
    <xf numFmtId="0" fontId="12" fillId="0" borderId="1" xfId="0" applyFont="1" applyBorder="1" applyAlignment="1">
      <alignment horizontal="center"/>
    </xf>
    <xf numFmtId="0" fontId="12" fillId="0" borderId="4" xfId="0" applyFont="1" applyBorder="1" applyAlignment="1">
      <alignment horizontal="center"/>
    </xf>
    <xf numFmtId="0" fontId="12" fillId="0" borderId="9" xfId="0" applyFont="1" applyBorder="1" applyAlignment="1">
      <alignment horizontal="center"/>
    </xf>
    <xf numFmtId="0" fontId="12" fillId="2" borderId="1" xfId="0" applyFont="1" applyFill="1" applyBorder="1" applyAlignment="1">
      <alignment horizontal="center"/>
    </xf>
    <xf numFmtId="0" fontId="12" fillId="3" borderId="1" xfId="0" applyFont="1" applyFill="1" applyBorder="1" applyAlignment="1">
      <alignment horizontal="center"/>
    </xf>
    <xf numFmtId="0" fontId="11" fillId="0" borderId="0" xfId="0" applyFont="1"/>
    <xf numFmtId="0" fontId="15" fillId="0" borderId="0" xfId="1"/>
    <xf numFmtId="0" fontId="15" fillId="0" borderId="0" xfId="1" applyAlignment="1">
      <alignment horizontal="center"/>
    </xf>
    <xf numFmtId="0" fontId="16" fillId="0" borderId="0" xfId="1" applyFont="1" applyAlignment="1">
      <alignment vertical="center"/>
    </xf>
    <xf numFmtId="0" fontId="15" fillId="0" borderId="0" xfId="1" applyAlignment="1">
      <alignment horizontal="center" vertical="top"/>
    </xf>
    <xf numFmtId="0" fontId="15" fillId="0" borderId="0" xfId="1" applyAlignment="1">
      <alignment horizontal="right" vertical="top"/>
    </xf>
    <xf numFmtId="0" fontId="19" fillId="6" borderId="0" xfId="1" applyFont="1" applyFill="1" applyAlignment="1">
      <alignment horizontal="center"/>
    </xf>
    <xf numFmtId="0" fontId="15" fillId="6" borderId="0" xfId="1" applyFill="1"/>
    <xf numFmtId="0" fontId="20" fillId="0" borderId="0" xfId="1" applyFont="1" applyAlignment="1">
      <alignment horizontal="center" vertical="center"/>
    </xf>
    <xf numFmtId="0" fontId="15" fillId="0" borderId="0" xfId="1" applyAlignment="1">
      <alignment horizontal="center" vertical="center"/>
    </xf>
    <xf numFmtId="0" fontId="21" fillId="6" borderId="0" xfId="1" applyFont="1" applyFill="1" applyAlignment="1">
      <alignment horizontal="center" vertical="center"/>
    </xf>
    <xf numFmtId="0" fontId="22" fillId="0" borderId="0" xfId="1" applyFont="1" applyAlignment="1">
      <alignment vertical="center"/>
    </xf>
    <xf numFmtId="0" fontId="19" fillId="6" borderId="0" xfId="1" applyFont="1" applyFill="1" applyAlignment="1">
      <alignment horizontal="center" vertical="center"/>
    </xf>
    <xf numFmtId="0" fontId="15" fillId="6" borderId="0" xfId="1" applyFill="1" applyAlignment="1">
      <alignment vertical="center"/>
    </xf>
    <xf numFmtId="0" fontId="15" fillId="0" borderId="0" xfId="1" applyAlignment="1">
      <alignment vertical="center"/>
    </xf>
    <xf numFmtId="0" fontId="23" fillId="0" borderId="0" xfId="1" applyFont="1" applyAlignment="1">
      <alignment horizontal="center" shrinkToFit="1"/>
    </xf>
    <xf numFmtId="0" fontId="24" fillId="0" borderId="10" xfId="1" applyFont="1" applyBorder="1" applyAlignment="1">
      <alignment vertical="center" shrinkToFit="1"/>
    </xf>
    <xf numFmtId="0" fontId="15" fillId="0" borderId="11" xfId="1" applyBorder="1" applyAlignment="1">
      <alignment horizontal="center"/>
    </xf>
    <xf numFmtId="0" fontId="15" fillId="0" borderId="7" xfId="1" applyBorder="1" applyAlignment="1">
      <alignment horizontal="center"/>
    </xf>
    <xf numFmtId="177" fontId="15" fillId="0" borderId="12" xfId="1" applyNumberFormat="1" applyBorder="1" applyAlignment="1">
      <alignment horizontal="center"/>
    </xf>
    <xf numFmtId="177" fontId="15" fillId="0" borderId="13" xfId="1" applyNumberFormat="1" applyBorder="1" applyAlignment="1">
      <alignment horizontal="center"/>
    </xf>
    <xf numFmtId="0" fontId="15" fillId="6" borderId="0" xfId="1" quotePrefix="1" applyFill="1"/>
    <xf numFmtId="0" fontId="15" fillId="0" borderId="14" xfId="1" applyBorder="1" applyAlignment="1">
      <alignment vertical="center" textRotation="255"/>
    </xf>
    <xf numFmtId="178" fontId="15" fillId="0" borderId="12" xfId="1" applyNumberFormat="1" applyBorder="1" applyAlignment="1">
      <alignment horizontal="center" shrinkToFit="1"/>
    </xf>
    <xf numFmtId="178" fontId="15" fillId="0" borderId="13" xfId="1" applyNumberFormat="1" applyBorder="1" applyAlignment="1">
      <alignment horizontal="center" shrinkToFit="1"/>
    </xf>
    <xf numFmtId="178" fontId="15" fillId="0" borderId="15" xfId="1" applyNumberFormat="1" applyBorder="1" applyAlignment="1">
      <alignment horizontal="center" shrinkToFit="1"/>
    </xf>
    <xf numFmtId="179" fontId="15" fillId="0" borderId="13" xfId="1" applyNumberFormat="1" applyBorder="1" applyAlignment="1">
      <alignment horizontal="center" shrinkToFit="1"/>
    </xf>
    <xf numFmtId="179" fontId="15" fillId="0" borderId="15" xfId="1" applyNumberFormat="1" applyBorder="1" applyAlignment="1">
      <alignment horizontal="center" shrinkToFit="1"/>
    </xf>
    <xf numFmtId="0" fontId="15" fillId="0" borderId="14" xfId="1" applyBorder="1" applyAlignment="1">
      <alignment horizontal="center"/>
    </xf>
    <xf numFmtId="0" fontId="27" fillId="0" borderId="7" xfId="1" applyFont="1" applyBorder="1" applyAlignment="1">
      <alignment horizontal="center" wrapText="1"/>
    </xf>
    <xf numFmtId="0" fontId="15" fillId="0" borderId="12" xfId="1" applyBorder="1" applyAlignment="1" applyProtection="1">
      <alignment horizontal="center" vertical="center" textRotation="255" shrinkToFit="1"/>
      <protection locked="0"/>
    </xf>
    <xf numFmtId="0" fontId="15" fillId="0" borderId="13" xfId="1" applyBorder="1" applyAlignment="1" applyProtection="1">
      <alignment horizontal="center" vertical="center" textRotation="255" shrinkToFit="1"/>
      <protection locked="0"/>
    </xf>
    <xf numFmtId="0" fontId="15" fillId="0" borderId="22" xfId="1" applyBorder="1" applyAlignment="1" applyProtection="1">
      <alignment horizontal="center" vertical="center" textRotation="255" shrinkToFit="1"/>
      <protection locked="0"/>
    </xf>
    <xf numFmtId="0" fontId="15" fillId="0" borderId="23" xfId="1" applyBorder="1" applyAlignment="1" applyProtection="1">
      <alignment horizontal="center" vertical="center" textRotation="255" shrinkToFit="1"/>
      <protection locked="0"/>
    </xf>
    <xf numFmtId="0" fontId="19" fillId="6" borderId="0" xfId="1" applyFont="1" applyFill="1" applyAlignment="1">
      <alignment horizontal="left"/>
    </xf>
    <xf numFmtId="0" fontId="18" fillId="0" borderId="7" xfId="1" applyFont="1" applyBorder="1" applyAlignment="1">
      <alignment horizontal="center" vertical="center" wrapText="1"/>
    </xf>
    <xf numFmtId="0" fontId="15" fillId="0" borderId="13" xfId="1" applyBorder="1" applyAlignment="1" applyProtection="1">
      <alignment horizontal="center" vertical="center" shrinkToFit="1"/>
      <protection locked="0"/>
    </xf>
    <xf numFmtId="0" fontId="15" fillId="0" borderId="24" xfId="1" applyBorder="1" applyAlignment="1" applyProtection="1">
      <alignment horizontal="center" vertical="center" textRotation="255" shrinkToFit="1"/>
      <protection locked="0"/>
    </xf>
    <xf numFmtId="0" fontId="18" fillId="0" borderId="8" xfId="1" applyFont="1" applyBorder="1" applyAlignment="1">
      <alignment horizontal="center" vertical="center" wrapText="1"/>
    </xf>
    <xf numFmtId="0" fontId="15" fillId="0" borderId="25" xfId="1" applyBorder="1" applyAlignment="1" applyProtection="1">
      <alignment horizontal="center" vertical="center" textRotation="255" shrinkToFit="1"/>
      <protection locked="0"/>
    </xf>
    <xf numFmtId="0" fontId="15" fillId="0" borderId="17" xfId="1" applyBorder="1" applyAlignment="1" applyProtection="1">
      <alignment horizontal="center" vertical="center" textRotation="255" shrinkToFit="1"/>
      <protection locked="0"/>
    </xf>
    <xf numFmtId="0" fontId="15" fillId="0" borderId="17" xfId="1" applyBorder="1" applyAlignment="1" applyProtection="1">
      <alignment horizontal="center" vertical="center" shrinkToFit="1"/>
      <protection locked="0"/>
    </xf>
    <xf numFmtId="0" fontId="15" fillId="0" borderId="21" xfId="1" applyBorder="1" applyAlignment="1" applyProtection="1">
      <alignment horizontal="center" vertical="center" textRotation="255" shrinkToFit="1"/>
      <protection locked="0"/>
    </xf>
    <xf numFmtId="180" fontId="15" fillId="0" borderId="26" xfId="1" applyNumberFormat="1" applyBorder="1" applyAlignment="1" applyProtection="1">
      <alignment horizontal="center" vertical="center" shrinkToFit="1"/>
      <protection locked="0"/>
    </xf>
    <xf numFmtId="180" fontId="15" fillId="0" borderId="17" xfId="1" applyNumberFormat="1" applyBorder="1" applyAlignment="1" applyProtection="1">
      <alignment horizontal="center" vertical="center" shrinkToFit="1"/>
      <protection locked="0"/>
    </xf>
    <xf numFmtId="180" fontId="15" fillId="0" borderId="18" xfId="1" applyNumberFormat="1" applyBorder="1" applyAlignment="1" applyProtection="1">
      <alignment horizontal="center" vertical="center" shrinkToFit="1"/>
      <protection locked="0"/>
    </xf>
    <xf numFmtId="180" fontId="15" fillId="6" borderId="0" xfId="1" applyNumberFormat="1" applyFill="1"/>
    <xf numFmtId="180" fontId="15" fillId="0" borderId="27" xfId="1" applyNumberFormat="1" applyBorder="1" applyAlignment="1" applyProtection="1">
      <alignment horizontal="center" vertical="center" shrinkToFit="1"/>
      <protection locked="0"/>
    </xf>
    <xf numFmtId="180" fontId="15" fillId="0" borderId="20" xfId="1" applyNumberFormat="1" applyBorder="1" applyAlignment="1" applyProtection="1">
      <alignment horizontal="center" vertical="center" shrinkToFit="1"/>
      <protection locked="0"/>
    </xf>
    <xf numFmtId="180" fontId="15" fillId="0" borderId="21" xfId="1" applyNumberFormat="1" applyBorder="1" applyAlignment="1" applyProtection="1">
      <alignment horizontal="center" vertical="center" shrinkToFit="1"/>
      <protection locked="0"/>
    </xf>
    <xf numFmtId="0" fontId="15" fillId="0" borderId="28" xfId="1" applyBorder="1" applyAlignment="1">
      <alignment vertical="center" textRotation="255"/>
    </xf>
    <xf numFmtId="0" fontId="15" fillId="6" borderId="0" xfId="1" applyFill="1" applyAlignment="1">
      <alignment horizontal="left" vertical="center"/>
    </xf>
    <xf numFmtId="177" fontId="15" fillId="0" borderId="15" xfId="1" applyNumberFormat="1" applyBorder="1" applyAlignment="1">
      <alignment horizontal="center"/>
    </xf>
    <xf numFmtId="181" fontId="15" fillId="6" borderId="0" xfId="1" applyNumberFormat="1" applyFill="1"/>
    <xf numFmtId="178" fontId="15" fillId="0" borderId="30" xfId="1" applyNumberFormat="1" applyBorder="1" applyAlignment="1">
      <alignment horizontal="center" shrinkToFit="1"/>
    </xf>
    <xf numFmtId="178" fontId="15" fillId="0" borderId="31" xfId="1" applyNumberFormat="1" applyBorder="1" applyAlignment="1">
      <alignment horizontal="center" shrinkToFit="1"/>
    </xf>
    <xf numFmtId="0" fontId="15" fillId="7" borderId="0" xfId="1" applyFill="1" applyAlignment="1">
      <alignment vertical="center"/>
    </xf>
    <xf numFmtId="0" fontId="28" fillId="6" borderId="0" xfId="1" applyFont="1" applyFill="1" applyAlignment="1">
      <alignment vertical="center"/>
    </xf>
    <xf numFmtId="0" fontId="15" fillId="0" borderId="34" xfId="1" applyBorder="1" applyAlignment="1" applyProtection="1">
      <alignment horizontal="center" vertical="center" textRotation="255" shrinkToFit="1"/>
      <protection locked="0"/>
    </xf>
    <xf numFmtId="0" fontId="28" fillId="6" borderId="0" xfId="1" applyFont="1" applyFill="1"/>
    <xf numFmtId="180" fontId="15" fillId="0" borderId="32" xfId="1" applyNumberFormat="1" applyBorder="1" applyAlignment="1" applyProtection="1">
      <alignment horizontal="center" vertical="center" shrinkToFit="1"/>
      <protection locked="0"/>
    </xf>
    <xf numFmtId="180" fontId="15" fillId="0" borderId="34" xfId="1" applyNumberFormat="1" applyBorder="1" applyAlignment="1" applyProtection="1">
      <alignment horizontal="center" vertical="center" shrinkToFit="1"/>
      <protection locked="0"/>
    </xf>
    <xf numFmtId="0" fontId="15" fillId="0" borderId="0" xfId="1" applyAlignment="1">
      <alignment horizontal="left" vertical="center"/>
    </xf>
    <xf numFmtId="0" fontId="15" fillId="0" borderId="25" xfId="1" applyBorder="1" applyAlignment="1">
      <alignment vertical="center" textRotation="255"/>
    </xf>
    <xf numFmtId="0" fontId="15" fillId="0" borderId="8" xfId="1" applyBorder="1" applyAlignment="1">
      <alignment horizontal="center"/>
    </xf>
    <xf numFmtId="0" fontId="15" fillId="0" borderId="36" xfId="1" applyBorder="1" applyAlignment="1">
      <alignment horizontal="center"/>
    </xf>
    <xf numFmtId="178" fontId="15" fillId="0" borderId="5" xfId="1" applyNumberFormat="1" applyBorder="1" applyAlignment="1">
      <alignment horizontal="center" shrinkToFit="1"/>
    </xf>
    <xf numFmtId="179" fontId="15" fillId="0" borderId="37" xfId="1" applyNumberFormat="1" applyBorder="1" applyAlignment="1">
      <alignment horizontal="center" shrinkToFit="1"/>
    </xf>
    <xf numFmtId="179" fontId="15" fillId="0" borderId="12" xfId="1" applyNumberFormat="1" applyBorder="1" applyAlignment="1">
      <alignment horizontal="center" shrinkToFit="1"/>
    </xf>
    <xf numFmtId="0" fontId="28" fillId="6" borderId="0" xfId="1" applyFont="1" applyFill="1" applyAlignment="1">
      <alignment horizontal="left" vertical="center"/>
    </xf>
    <xf numFmtId="177" fontId="15" fillId="6" borderId="0" xfId="1" applyNumberFormat="1" applyFill="1" applyAlignment="1">
      <alignment horizontal="center"/>
    </xf>
    <xf numFmtId="178" fontId="15" fillId="6" borderId="0" xfId="1" applyNumberFormat="1" applyFill="1" applyAlignment="1">
      <alignment horizontal="center"/>
    </xf>
    <xf numFmtId="0" fontId="15" fillId="0" borderId="0" xfId="1" applyAlignment="1">
      <alignment vertical="center" textRotation="255"/>
    </xf>
    <xf numFmtId="0" fontId="15" fillId="6" borderId="0" xfId="1" applyFill="1" applyAlignment="1">
      <alignment horizontal="center" vertical="top" textRotation="255"/>
    </xf>
    <xf numFmtId="0" fontId="15" fillId="6" borderId="0" xfId="1" applyFill="1" applyAlignment="1">
      <alignment vertical="top" textRotation="255"/>
    </xf>
    <xf numFmtId="0" fontId="15" fillId="6" borderId="0" xfId="1" applyFill="1" applyAlignment="1">
      <alignment horizontal="center"/>
    </xf>
    <xf numFmtId="0" fontId="18" fillId="0" borderId="0" xfId="1" applyFont="1" applyAlignment="1">
      <alignment horizontal="center" vertical="center"/>
    </xf>
    <xf numFmtId="0" fontId="29" fillId="6" borderId="0" xfId="1" applyFont="1" applyFill="1" applyAlignment="1">
      <alignment horizontal="center"/>
    </xf>
    <xf numFmtId="0" fontId="15" fillId="6" borderId="0" xfId="1" applyFill="1" applyAlignment="1">
      <alignment horizontal="left"/>
    </xf>
    <xf numFmtId="0" fontId="15" fillId="0" borderId="10" xfId="1" applyBorder="1" applyAlignment="1">
      <alignment horizontal="left"/>
    </xf>
    <xf numFmtId="0" fontId="15" fillId="0" borderId="36" xfId="1" applyBorder="1" applyAlignment="1">
      <alignment horizontal="center" vertical="center"/>
    </xf>
    <xf numFmtId="0" fontId="15" fillId="0" borderId="5" xfId="1" applyBorder="1" applyAlignment="1">
      <alignment horizontal="center" vertical="center"/>
    </xf>
    <xf numFmtId="0" fontId="15" fillId="0" borderId="31" xfId="1" applyBorder="1" applyAlignment="1">
      <alignment horizontal="center" vertical="center"/>
    </xf>
    <xf numFmtId="0" fontId="15" fillId="0" borderId="5" xfId="1" applyBorder="1" applyAlignment="1" applyProtection="1">
      <alignment horizontal="center" vertical="center"/>
      <protection locked="0"/>
    </xf>
    <xf numFmtId="0" fontId="15" fillId="0" borderId="25" xfId="1" applyBorder="1" applyAlignment="1">
      <alignment horizontal="center"/>
    </xf>
    <xf numFmtId="20" fontId="15" fillId="0" borderId="25" xfId="1" applyNumberFormat="1" applyBorder="1" applyAlignment="1" applyProtection="1">
      <alignment horizontal="center"/>
      <protection locked="0"/>
    </xf>
    <xf numFmtId="0" fontId="15" fillId="0" borderId="25" xfId="1" applyBorder="1" applyAlignment="1" applyProtection="1">
      <alignment horizontal="center"/>
      <protection locked="0"/>
    </xf>
    <xf numFmtId="0" fontId="15" fillId="0" borderId="0" xfId="1" applyAlignment="1">
      <alignment horizontal="left"/>
    </xf>
    <xf numFmtId="182" fontId="15" fillId="0" borderId="31" xfId="1" applyNumberFormat="1" applyBorder="1" applyAlignment="1">
      <alignment horizontal="center" vertical="center"/>
    </xf>
    <xf numFmtId="0" fontId="15" fillId="0" borderId="25" xfId="1" applyBorder="1" applyAlignment="1">
      <alignment horizontal="center" vertical="center"/>
    </xf>
    <xf numFmtId="182" fontId="15" fillId="0" borderId="0" xfId="1" applyNumberFormat="1" applyAlignment="1">
      <alignment horizontal="center" vertical="center"/>
    </xf>
    <xf numFmtId="0" fontId="31" fillId="0" borderId="0" xfId="1" applyFont="1" applyAlignment="1">
      <alignment horizontal="center" vertical="center" shrinkToFit="1"/>
    </xf>
    <xf numFmtId="20" fontId="15" fillId="0" borderId="0" xfId="1" applyNumberFormat="1" applyAlignment="1" applyProtection="1">
      <alignment horizontal="center" vertical="center"/>
      <protection locked="0"/>
    </xf>
    <xf numFmtId="182" fontId="15" fillId="0" borderId="0" xfId="1" applyNumberFormat="1"/>
    <xf numFmtId="0" fontId="36" fillId="0" borderId="31" xfId="1" applyFont="1" applyBorder="1"/>
    <xf numFmtId="0" fontId="15" fillId="0" borderId="36" xfId="1" applyBorder="1" applyAlignment="1">
      <alignment vertical="center"/>
    </xf>
    <xf numFmtId="0" fontId="15" fillId="0" borderId="5" xfId="1" applyBorder="1" applyAlignment="1">
      <alignment vertical="center"/>
    </xf>
    <xf numFmtId="0" fontId="15" fillId="0" borderId="31" xfId="1" applyBorder="1" applyAlignment="1">
      <alignment vertical="center"/>
    </xf>
    <xf numFmtId="183" fontId="15" fillId="0" borderId="5" xfId="1" applyNumberFormat="1" applyBorder="1" applyAlignment="1">
      <alignment vertical="center"/>
    </xf>
    <xf numFmtId="182" fontId="15" fillId="0" borderId="5" xfId="1" applyNumberFormat="1" applyBorder="1" applyAlignment="1">
      <alignment vertical="center"/>
    </xf>
    <xf numFmtId="182" fontId="15" fillId="0" borderId="36" xfId="1" applyNumberFormat="1" applyBorder="1" applyAlignment="1">
      <alignment vertical="center"/>
    </xf>
    <xf numFmtId="0" fontId="36" fillId="0" borderId="5" xfId="1" applyFont="1" applyBorder="1" applyAlignment="1">
      <alignment horizontal="left" vertical="center"/>
    </xf>
    <xf numFmtId="183" fontId="15" fillId="0" borderId="31" xfId="1" applyNumberFormat="1" applyBorder="1" applyAlignment="1">
      <alignment horizontal="right" vertical="center"/>
    </xf>
    <xf numFmtId="0" fontId="39" fillId="6" borderId="0" xfId="1" applyFont="1" applyFill="1" applyAlignment="1">
      <alignment vertical="center"/>
    </xf>
    <xf numFmtId="0" fontId="30" fillId="0" borderId="0" xfId="1" applyFont="1" applyAlignment="1">
      <alignment horizontal="left" vertical="center"/>
    </xf>
    <xf numFmtId="183" fontId="15" fillId="0" borderId="0" xfId="1" applyNumberFormat="1" applyAlignment="1">
      <alignment horizontal="right" vertical="center"/>
    </xf>
    <xf numFmtId="183" fontId="15" fillId="0" borderId="0" xfId="1" applyNumberFormat="1" applyAlignment="1">
      <alignment vertical="center"/>
    </xf>
    <xf numFmtId="0" fontId="15" fillId="0" borderId="0" xfId="1" applyAlignment="1">
      <alignment horizontal="right" vertical="center"/>
    </xf>
    <xf numFmtId="0" fontId="15" fillId="0" borderId="0" xfId="1" quotePrefix="1"/>
    <xf numFmtId="0" fontId="41" fillId="0" borderId="0" xfId="1" quotePrefix="1" applyFont="1"/>
    <xf numFmtId="0" fontId="22" fillId="0" borderId="0" xfId="1" quotePrefix="1" applyFont="1"/>
    <xf numFmtId="0" fontId="22" fillId="0" borderId="0" xfId="1" applyFont="1" applyAlignment="1">
      <alignment horizontal="center" vertical="center"/>
    </xf>
    <xf numFmtId="0" fontId="22" fillId="0" borderId="0" xfId="1" applyFont="1"/>
    <xf numFmtId="0" fontId="41" fillId="0" borderId="0" xfId="1" applyFont="1"/>
    <xf numFmtId="0" fontId="41" fillId="0" borderId="0" xfId="1" applyFont="1" applyAlignment="1">
      <alignment horizontal="center"/>
    </xf>
    <xf numFmtId="0" fontId="22" fillId="0" borderId="0" xfId="1" applyFont="1" applyAlignment="1">
      <alignment horizontal="center"/>
    </xf>
    <xf numFmtId="0" fontId="24" fillId="0" borderId="0" xfId="1" quotePrefix="1" applyFont="1"/>
    <xf numFmtId="0" fontId="41" fillId="7" borderId="0" xfId="1" applyFont="1" applyFill="1" applyAlignment="1">
      <alignment vertical="center"/>
    </xf>
    <xf numFmtId="0" fontId="46" fillId="7" borderId="0" xfId="1" applyFont="1" applyFill="1" applyAlignment="1">
      <alignment horizontal="left" vertical="center"/>
    </xf>
    <xf numFmtId="0" fontId="47" fillId="7" borderId="0" xfId="1" applyFont="1" applyFill="1" applyAlignment="1">
      <alignment horizontal="left"/>
    </xf>
    <xf numFmtId="0" fontId="33" fillId="7" borderId="38" xfId="3" applyFont="1" applyFill="1" applyBorder="1" applyAlignment="1" applyProtection="1">
      <alignment vertical="center"/>
    </xf>
    <xf numFmtId="0" fontId="34" fillId="7" borderId="39" xfId="3" applyFont="1" applyFill="1" applyBorder="1" applyAlignment="1" applyProtection="1">
      <alignment vertical="center"/>
    </xf>
    <xf numFmtId="0" fontId="37" fillId="6" borderId="0" xfId="1" applyFont="1" applyFill="1" applyAlignment="1" applyProtection="1">
      <alignment horizontal="left"/>
      <protection hidden="1"/>
    </xf>
    <xf numFmtId="0" fontId="40" fillId="6" borderId="0" xfId="1" applyFont="1" applyFill="1"/>
    <xf numFmtId="0" fontId="38" fillId="6" borderId="0" xfId="1" applyFont="1" applyFill="1"/>
    <xf numFmtId="0" fontId="15" fillId="6" borderId="0" xfId="1" applyFill="1" applyAlignment="1" applyProtection="1">
      <alignment horizontal="left"/>
      <protection hidden="1"/>
    </xf>
    <xf numFmtId="0" fontId="51" fillId="0" borderId="0" xfId="0" applyFont="1" applyAlignment="1">
      <alignment horizontal="center"/>
    </xf>
    <xf numFmtId="0" fontId="12" fillId="0" borderId="2" xfId="0" applyFont="1" applyBorder="1" applyAlignment="1">
      <alignment horizontal="center"/>
    </xf>
    <xf numFmtId="0" fontId="52" fillId="5" borderId="1" xfId="0" applyFont="1" applyFill="1" applyBorder="1" applyAlignment="1">
      <alignment horizontal="center"/>
    </xf>
    <xf numFmtId="0" fontId="52" fillId="5" borderId="4" xfId="0" applyFont="1" applyFill="1" applyBorder="1" applyAlignment="1">
      <alignment horizontal="center" vertical="center"/>
    </xf>
    <xf numFmtId="0" fontId="52" fillId="5" borderId="3" xfId="0" applyFont="1" applyFill="1" applyBorder="1" applyAlignment="1">
      <alignment horizontal="center"/>
    </xf>
    <xf numFmtId="0" fontId="12" fillId="10" borderId="4" xfId="0" applyFont="1" applyFill="1" applyBorder="1" applyAlignment="1">
      <alignment horizontal="center"/>
    </xf>
    <xf numFmtId="0" fontId="13" fillId="0" borderId="6" xfId="0" applyFont="1" applyBorder="1" applyAlignment="1">
      <alignment horizontal="center"/>
    </xf>
    <xf numFmtId="176" fontId="55" fillId="0" borderId="1" xfId="0" applyNumberFormat="1" applyFont="1" applyBorder="1" applyAlignment="1">
      <alignment horizontal="center"/>
    </xf>
    <xf numFmtId="176" fontId="55" fillId="0" borderId="1" xfId="0" applyNumberFormat="1" applyFont="1" applyBorder="1" applyAlignment="1">
      <alignment horizontal="center" vertical="center"/>
    </xf>
    <xf numFmtId="0" fontId="54" fillId="0" borderId="0" xfId="0" applyFont="1" applyAlignment="1">
      <alignment horizontal="center"/>
    </xf>
    <xf numFmtId="0" fontId="54" fillId="0" borderId="0" xfId="0" applyFont="1" applyAlignment="1">
      <alignment horizontal="left"/>
    </xf>
    <xf numFmtId="0" fontId="14" fillId="0" borderId="1" xfId="0" applyFont="1" applyBorder="1" applyAlignment="1">
      <alignment horizontal="center"/>
    </xf>
    <xf numFmtId="184" fontId="0" fillId="0" borderId="0" xfId="0" applyNumberFormat="1"/>
    <xf numFmtId="0" fontId="56" fillId="0" borderId="0" xfId="4" applyFont="1">
      <alignment vertical="center"/>
    </xf>
    <xf numFmtId="0" fontId="58" fillId="0" borderId="0" xfId="4" applyFont="1">
      <alignment vertical="center"/>
    </xf>
    <xf numFmtId="0" fontId="59" fillId="0" borderId="0" xfId="4" applyFont="1">
      <alignment vertical="center"/>
    </xf>
    <xf numFmtId="0" fontId="59" fillId="11" borderId="40" xfId="4" applyFont="1" applyFill="1" applyBorder="1" applyAlignment="1">
      <alignment horizontal="center" vertical="center"/>
    </xf>
    <xf numFmtId="0" fontId="61" fillId="9" borderId="42" xfId="4" applyFont="1" applyFill="1" applyBorder="1" applyAlignment="1">
      <alignment horizontal="center" vertical="center"/>
    </xf>
    <xf numFmtId="0" fontId="61" fillId="7" borderId="43" xfId="4" applyFont="1" applyFill="1" applyBorder="1" applyAlignment="1">
      <alignment horizontal="center" vertical="center"/>
    </xf>
    <xf numFmtId="0" fontId="59" fillId="0" borderId="0" xfId="4" applyFont="1" applyAlignment="1">
      <alignment horizontal="center" vertical="center"/>
    </xf>
    <xf numFmtId="0" fontId="59" fillId="0" borderId="44" xfId="4" applyFont="1" applyBorder="1" applyAlignment="1">
      <alignment horizontal="center" vertical="center"/>
    </xf>
    <xf numFmtId="0" fontId="59" fillId="4" borderId="45" xfId="4" applyFont="1" applyFill="1" applyBorder="1" applyAlignment="1">
      <alignment horizontal="center" vertical="center"/>
    </xf>
    <xf numFmtId="0" fontId="59" fillId="7" borderId="28" xfId="4" applyFont="1" applyFill="1" applyBorder="1" applyAlignment="1">
      <alignment horizontal="center" vertical="center"/>
    </xf>
    <xf numFmtId="0" fontId="60" fillId="0" borderId="7" xfId="4" applyFont="1" applyBorder="1">
      <alignment vertical="center"/>
    </xf>
    <xf numFmtId="0" fontId="61" fillId="9" borderId="7" xfId="4" applyFont="1" applyFill="1" applyBorder="1" applyAlignment="1">
      <alignment horizontal="center" vertical="center"/>
    </xf>
    <xf numFmtId="0" fontId="59" fillId="0" borderId="46" xfId="4" applyFont="1" applyBorder="1" applyAlignment="1">
      <alignment horizontal="center" vertical="center"/>
    </xf>
    <xf numFmtId="0" fontId="60" fillId="0" borderId="31" xfId="4" applyFont="1" applyBorder="1" applyAlignment="1">
      <alignment horizontal="center" vertical="center"/>
    </xf>
    <xf numFmtId="0" fontId="59" fillId="0" borderId="47" xfId="4" applyFont="1" applyBorder="1" applyAlignment="1">
      <alignment horizontal="center" vertical="center"/>
    </xf>
    <xf numFmtId="0" fontId="59" fillId="0" borderId="35" xfId="4" applyFont="1" applyBorder="1" applyAlignment="1">
      <alignment horizontal="center" vertical="center"/>
    </xf>
    <xf numFmtId="0" fontId="59" fillId="0" borderId="48" xfId="4" applyFont="1" applyBorder="1" applyAlignment="1">
      <alignment horizontal="center" vertical="center"/>
    </xf>
    <xf numFmtId="0" fontId="59" fillId="0" borderId="49" xfId="4" applyFont="1" applyBorder="1" applyAlignment="1">
      <alignment horizontal="center" vertical="center"/>
    </xf>
    <xf numFmtId="0" fontId="59" fillId="0" borderId="28" xfId="4" applyFont="1" applyBorder="1" applyAlignment="1">
      <alignment horizontal="center" vertical="center"/>
    </xf>
    <xf numFmtId="0" fontId="59" fillId="0" borderId="7" xfId="4" applyFont="1" applyBorder="1">
      <alignment vertical="center"/>
    </xf>
    <xf numFmtId="0" fontId="59" fillId="0" borderId="50" xfId="4" applyFont="1" applyBorder="1">
      <alignment vertical="center"/>
    </xf>
    <xf numFmtId="0" fontId="59" fillId="0" borderId="51" xfId="4" applyFont="1" applyBorder="1">
      <alignment vertical="center"/>
    </xf>
    <xf numFmtId="0" fontId="59" fillId="0" borderId="44" xfId="4" applyFont="1" applyBorder="1">
      <alignment vertical="center"/>
    </xf>
    <xf numFmtId="0" fontId="59" fillId="0" borderId="52" xfId="4" applyFont="1" applyBorder="1">
      <alignment vertical="center"/>
    </xf>
    <xf numFmtId="0" fontId="59" fillId="0" borderId="53" xfId="4" applyFont="1" applyBorder="1">
      <alignment vertical="center"/>
    </xf>
    <xf numFmtId="0" fontId="60" fillId="0" borderId="0" xfId="4" applyFont="1">
      <alignment vertical="center"/>
    </xf>
    <xf numFmtId="0" fontId="60" fillId="0" borderId="0" xfId="4" applyFont="1" applyAlignment="1">
      <alignment horizontal="center" vertical="center"/>
    </xf>
    <xf numFmtId="0" fontId="59" fillId="11" borderId="45" xfId="4" applyFont="1" applyFill="1" applyBorder="1" applyAlignment="1">
      <alignment horizontal="center" vertical="center"/>
    </xf>
    <xf numFmtId="0" fontId="60" fillId="0" borderId="31" xfId="4" applyFont="1" applyBorder="1">
      <alignment vertical="center"/>
    </xf>
    <xf numFmtId="0" fontId="61" fillId="9" borderId="8" xfId="4" applyFont="1" applyFill="1" applyBorder="1" applyAlignment="1">
      <alignment horizontal="center" vertical="center"/>
    </xf>
    <xf numFmtId="0" fontId="59" fillId="0" borderId="55" xfId="4" applyFont="1" applyBorder="1" applyAlignment="1">
      <alignment horizontal="center" vertical="center"/>
    </xf>
    <xf numFmtId="0" fontId="59" fillId="0" borderId="56" xfId="4" applyFont="1" applyBorder="1" applyAlignment="1">
      <alignment horizontal="center" vertical="center"/>
    </xf>
    <xf numFmtId="56" fontId="60" fillId="0" borderId="0" xfId="4" applyNumberFormat="1" applyFont="1">
      <alignment vertical="center"/>
    </xf>
    <xf numFmtId="0" fontId="59" fillId="12" borderId="45" xfId="4" applyFont="1" applyFill="1" applyBorder="1" applyAlignment="1">
      <alignment horizontal="center" vertical="center"/>
    </xf>
    <xf numFmtId="0" fontId="59" fillId="13" borderId="45" xfId="4" applyFont="1" applyFill="1" applyBorder="1" applyAlignment="1">
      <alignment horizontal="center" vertical="center"/>
    </xf>
    <xf numFmtId="56" fontId="60" fillId="0" borderId="31" xfId="4" applyNumberFormat="1" applyFont="1" applyBorder="1">
      <alignment vertical="center"/>
    </xf>
    <xf numFmtId="0" fontId="56" fillId="0" borderId="57" xfId="4" applyFont="1" applyBorder="1">
      <alignment vertical="center"/>
    </xf>
    <xf numFmtId="0" fontId="59" fillId="0" borderId="57" xfId="4" applyFont="1" applyBorder="1">
      <alignment vertical="center"/>
    </xf>
    <xf numFmtId="0" fontId="59" fillId="14" borderId="45" xfId="4" applyFont="1" applyFill="1" applyBorder="1" applyAlignment="1">
      <alignment horizontal="center" vertical="center"/>
    </xf>
    <xf numFmtId="0" fontId="59" fillId="15" borderId="45" xfId="4" applyFont="1" applyFill="1" applyBorder="1" applyAlignment="1">
      <alignment horizontal="center" vertical="center"/>
    </xf>
    <xf numFmtId="0" fontId="59" fillId="15" borderId="46" xfId="4" applyFont="1" applyFill="1" applyBorder="1" applyAlignment="1">
      <alignment horizontal="center" vertical="center"/>
    </xf>
    <xf numFmtId="0" fontId="59" fillId="0" borderId="33" xfId="4" applyFont="1" applyBorder="1" applyAlignment="1">
      <alignment horizontal="center" vertical="center"/>
    </xf>
    <xf numFmtId="0" fontId="59" fillId="0" borderId="36" xfId="4" applyFont="1" applyBorder="1">
      <alignment vertical="center"/>
    </xf>
    <xf numFmtId="0" fontId="59" fillId="0" borderId="25" xfId="4" applyFont="1" applyBorder="1">
      <alignment vertical="center"/>
    </xf>
    <xf numFmtId="0" fontId="59" fillId="0" borderId="58" xfId="4" applyFont="1" applyBorder="1">
      <alignment vertical="center"/>
    </xf>
    <xf numFmtId="185" fontId="60" fillId="0" borderId="41" xfId="4" applyNumberFormat="1" applyFont="1" applyBorder="1">
      <alignment vertical="center"/>
    </xf>
    <xf numFmtId="0" fontId="9" fillId="0" borderId="60" xfId="0" applyFont="1" applyBorder="1" applyAlignment="1">
      <alignment horizontal="center"/>
    </xf>
    <xf numFmtId="0" fontId="63" fillId="16" borderId="60" xfId="0" applyFont="1" applyFill="1" applyBorder="1" applyAlignment="1">
      <alignment horizontal="center"/>
    </xf>
    <xf numFmtId="0" fontId="64" fillId="16" borderId="60" xfId="0" applyFont="1" applyFill="1" applyBorder="1" applyAlignment="1">
      <alignment horizontal="center"/>
    </xf>
    <xf numFmtId="0" fontId="0" fillId="17" borderId="60" xfId="0" applyFill="1" applyBorder="1"/>
    <xf numFmtId="0" fontId="0" fillId="0" borderId="60" xfId="0" applyBorder="1" applyAlignment="1">
      <alignment horizontal="center"/>
    </xf>
    <xf numFmtId="0" fontId="9" fillId="5" borderId="60" xfId="0" applyFont="1" applyFill="1" applyBorder="1" applyAlignment="1">
      <alignment horizontal="center"/>
    </xf>
    <xf numFmtId="0" fontId="0" fillId="5" borderId="60" xfId="0" applyFill="1" applyBorder="1" applyAlignment="1">
      <alignment horizontal="center"/>
    </xf>
    <xf numFmtId="0" fontId="45" fillId="5" borderId="60" xfId="0" applyFont="1" applyFill="1" applyBorder="1" applyAlignment="1">
      <alignment horizontal="center"/>
    </xf>
    <xf numFmtId="0" fontId="65" fillId="0" borderId="0" xfId="0" applyFont="1"/>
    <xf numFmtId="0" fontId="67" fillId="16" borderId="60" xfId="0" applyFont="1" applyFill="1" applyBorder="1" applyAlignment="1">
      <alignment horizontal="center"/>
    </xf>
    <xf numFmtId="0" fontId="9" fillId="5" borderId="60" xfId="0" applyFont="1" applyFill="1" applyBorder="1"/>
    <xf numFmtId="0" fontId="66" fillId="16" borderId="60" xfId="0" applyFont="1" applyFill="1" applyBorder="1" applyAlignment="1">
      <alignment horizontal="center"/>
    </xf>
    <xf numFmtId="0" fontId="52" fillId="0" borderId="61" xfId="0" applyFont="1" applyBorder="1" applyAlignment="1">
      <alignment horizontal="center"/>
    </xf>
    <xf numFmtId="0" fontId="19" fillId="18" borderId="0" xfId="1" applyFont="1" applyFill="1" applyAlignment="1">
      <alignment horizontal="center"/>
    </xf>
    <xf numFmtId="0" fontId="25" fillId="18" borderId="0" xfId="1" applyFont="1" applyFill="1" applyAlignment="1">
      <alignment horizontal="center"/>
    </xf>
    <xf numFmtId="0" fontId="26" fillId="18" borderId="0" xfId="1" applyFont="1" applyFill="1" applyAlignment="1">
      <alignment horizontal="center"/>
    </xf>
    <xf numFmtId="0" fontId="15" fillId="0" borderId="5" xfId="1" applyBorder="1" applyAlignment="1" applyProtection="1">
      <alignment horizontal="center" vertical="center"/>
      <protection hidden="1"/>
    </xf>
    <xf numFmtId="183" fontId="15" fillId="0" borderId="5" xfId="1" applyNumberFormat="1" applyBorder="1" applyAlignment="1" applyProtection="1">
      <alignment vertical="center"/>
      <protection hidden="1"/>
    </xf>
    <xf numFmtId="0" fontId="49" fillId="7" borderId="33" xfId="1" applyFont="1" applyFill="1" applyBorder="1" applyAlignment="1" applyProtection="1">
      <alignment horizontal="left"/>
      <protection hidden="1"/>
    </xf>
    <xf numFmtId="0" fontId="15" fillId="0" borderId="0" xfId="1" applyAlignment="1">
      <alignment horizontal="right"/>
    </xf>
    <xf numFmtId="0" fontId="15" fillId="19" borderId="0" xfId="1" applyFill="1"/>
    <xf numFmtId="0" fontId="15" fillId="19" borderId="0" xfId="1" applyFill="1" applyAlignment="1">
      <alignment horizontal="left"/>
    </xf>
    <xf numFmtId="0" fontId="15" fillId="12" borderId="0" xfId="1" applyFill="1" applyAlignment="1">
      <alignment horizontal="left"/>
    </xf>
    <xf numFmtId="0" fontId="15" fillId="20" borderId="0" xfId="1" applyFill="1" applyAlignment="1">
      <alignment horizontal="left"/>
    </xf>
    <xf numFmtId="0" fontId="15" fillId="21" borderId="0" xfId="1" applyFill="1" applyAlignment="1">
      <alignment horizontal="left"/>
    </xf>
    <xf numFmtId="0" fontId="62" fillId="0" borderId="0" xfId="4" applyFont="1">
      <alignment vertical="center"/>
    </xf>
    <xf numFmtId="0" fontId="12" fillId="22" borderId="1" xfId="0" applyFont="1" applyFill="1" applyBorder="1" applyAlignment="1">
      <alignment horizontal="center"/>
    </xf>
    <xf numFmtId="0" fontId="12" fillId="22" borderId="9" xfId="0" applyFont="1" applyFill="1" applyBorder="1" applyAlignment="1">
      <alignment horizontal="center"/>
    </xf>
    <xf numFmtId="0" fontId="12" fillId="0" borderId="59" xfId="0" applyFont="1" applyBorder="1" applyAlignment="1">
      <alignment horizontal="center"/>
    </xf>
    <xf numFmtId="0" fontId="53" fillId="8" borderId="2" xfId="0" applyFont="1" applyFill="1" applyBorder="1" applyAlignment="1">
      <alignment horizontal="center"/>
    </xf>
    <xf numFmtId="0" fontId="12" fillId="0" borderId="62" xfId="0" applyFont="1" applyBorder="1" applyAlignment="1">
      <alignment horizontal="center"/>
    </xf>
    <xf numFmtId="0" fontId="12" fillId="22" borderId="4" xfId="0" applyFont="1" applyFill="1" applyBorder="1" applyAlignment="1">
      <alignment horizontal="center"/>
    </xf>
    <xf numFmtId="0" fontId="12" fillId="22" borderId="62" xfId="0" applyFont="1" applyFill="1" applyBorder="1" applyAlignment="1">
      <alignment horizontal="center"/>
    </xf>
    <xf numFmtId="0" fontId="14" fillId="22" borderId="1" xfId="0" applyFont="1" applyFill="1" applyBorder="1" applyAlignment="1">
      <alignment horizontal="center"/>
    </xf>
    <xf numFmtId="186" fontId="60" fillId="0" borderId="54" xfId="4" applyNumberFormat="1" applyFont="1" applyBorder="1">
      <alignment vertical="center"/>
    </xf>
    <xf numFmtId="186" fontId="60" fillId="0" borderId="41" xfId="4" applyNumberFormat="1" applyFont="1" applyBorder="1">
      <alignment vertical="center"/>
    </xf>
    <xf numFmtId="0" fontId="70" fillId="22" borderId="1" xfId="0" applyFont="1" applyFill="1" applyBorder="1" applyAlignment="1">
      <alignment horizontal="center"/>
    </xf>
    <xf numFmtId="0" fontId="12" fillId="22" borderId="59" xfId="0" applyFont="1" applyFill="1" applyBorder="1" applyAlignment="1">
      <alignment horizontal="center"/>
    </xf>
    <xf numFmtId="0" fontId="12" fillId="7" borderId="1" xfId="0" applyFont="1" applyFill="1" applyBorder="1" applyAlignment="1">
      <alignment horizontal="center"/>
    </xf>
    <xf numFmtId="176" fontId="12" fillId="19" borderId="1" xfId="0" applyNumberFormat="1" applyFont="1" applyFill="1" applyBorder="1" applyAlignment="1">
      <alignment horizontal="center" vertical="center"/>
    </xf>
    <xf numFmtId="0" fontId="72" fillId="19" borderId="62" xfId="0" applyFont="1" applyFill="1" applyBorder="1" applyAlignment="1">
      <alignment horizontal="center"/>
    </xf>
    <xf numFmtId="0" fontId="52" fillId="19" borderId="62" xfId="0" applyFont="1" applyFill="1" applyBorder="1" applyAlignment="1">
      <alignment horizontal="center"/>
    </xf>
    <xf numFmtId="0" fontId="72" fillId="0" borderId="62" xfId="0" applyFont="1" applyBorder="1" applyAlignment="1">
      <alignment horizontal="center"/>
    </xf>
    <xf numFmtId="0" fontId="12" fillId="19" borderId="62" xfId="0" applyFont="1" applyFill="1" applyBorder="1" applyAlignment="1">
      <alignment horizontal="center"/>
    </xf>
    <xf numFmtId="176" fontId="12" fillId="19" borderId="1" xfId="0" applyNumberFormat="1" applyFont="1" applyFill="1" applyBorder="1" applyAlignment="1">
      <alignment horizontal="center" vertical="center" shrinkToFit="1"/>
    </xf>
    <xf numFmtId="0" fontId="71" fillId="0" borderId="7" xfId="0" applyFont="1" applyBorder="1" applyAlignment="1">
      <alignment horizontal="left" vertical="center" shrinkToFit="1"/>
    </xf>
    <xf numFmtId="0" fontId="31" fillId="0" borderId="0" xfId="1" applyFont="1" applyAlignment="1" applyProtection="1">
      <alignment horizontal="center" vertical="center" shrinkToFit="1"/>
      <protection hidden="1"/>
    </xf>
    <xf numFmtId="0" fontId="73" fillId="0" borderId="0" xfId="0" applyFont="1"/>
    <xf numFmtId="0" fontId="12" fillId="5" borderId="1" xfId="0" applyFont="1" applyFill="1" applyBorder="1" applyAlignment="1">
      <alignment horizontal="center"/>
    </xf>
    <xf numFmtId="0" fontId="12" fillId="5" borderId="2" xfId="0" applyFont="1" applyFill="1" applyBorder="1" applyAlignment="1">
      <alignment horizontal="center"/>
    </xf>
    <xf numFmtId="0" fontId="52" fillId="0" borderId="62" xfId="0" applyFont="1" applyBorder="1" applyAlignment="1">
      <alignment horizontal="center"/>
    </xf>
    <xf numFmtId="176" fontId="12" fillId="7" borderId="1" xfId="0" applyNumberFormat="1" applyFont="1" applyFill="1" applyBorder="1" applyAlignment="1">
      <alignment horizontal="center" vertical="center"/>
    </xf>
    <xf numFmtId="0" fontId="74" fillId="0" borderId="0" xfId="0" applyFont="1" applyAlignment="1">
      <alignment horizontal="left"/>
    </xf>
    <xf numFmtId="176" fontId="12" fillId="23" borderId="1" xfId="0" applyNumberFormat="1" applyFont="1" applyFill="1" applyBorder="1" applyAlignment="1">
      <alignment horizontal="center" vertical="center"/>
    </xf>
    <xf numFmtId="0" fontId="52" fillId="23" borderId="62" xfId="0" applyFont="1" applyFill="1" applyBorder="1" applyAlignment="1">
      <alignment horizontal="center"/>
    </xf>
    <xf numFmtId="180" fontId="0" fillId="0" borderId="29" xfId="2" applyNumberFormat="1" applyFont="1" applyBorder="1" applyAlignment="1" applyProtection="1">
      <alignment horizontal="center" vertical="center" shrinkToFit="1"/>
      <protection locked="0"/>
    </xf>
    <xf numFmtId="180" fontId="0" fillId="0" borderId="22" xfId="2" applyNumberFormat="1" applyFont="1" applyBorder="1" applyAlignment="1" applyProtection="1">
      <alignment horizontal="center" vertical="center" shrinkToFit="1"/>
      <protection locked="0"/>
    </xf>
    <xf numFmtId="180" fontId="0" fillId="0" borderId="23" xfId="2" applyNumberFormat="1" applyFont="1" applyBorder="1" applyAlignment="1" applyProtection="1">
      <alignment horizontal="center" vertical="center" shrinkToFit="1"/>
      <protection locked="0"/>
    </xf>
    <xf numFmtId="180" fontId="0" fillId="0" borderId="24" xfId="2" applyNumberFormat="1" applyFont="1" applyBorder="1" applyAlignment="1" applyProtection="1">
      <alignment horizontal="center" vertical="center" shrinkToFit="1"/>
      <protection locked="0"/>
    </xf>
    <xf numFmtId="176" fontId="12" fillId="7" borderId="1" xfId="0" applyNumberFormat="1" applyFont="1" applyFill="1" applyBorder="1" applyAlignment="1">
      <alignment horizontal="center" vertical="center" shrinkToFit="1"/>
    </xf>
    <xf numFmtId="0" fontId="12" fillId="7" borderId="62" xfId="0" applyFont="1" applyFill="1" applyBorder="1" applyAlignment="1">
      <alignment horizontal="center"/>
    </xf>
    <xf numFmtId="0" fontId="81" fillId="22" borderId="4" xfId="0" applyFont="1" applyFill="1" applyBorder="1" applyAlignment="1">
      <alignment horizontal="center"/>
    </xf>
    <xf numFmtId="176" fontId="12" fillId="0" borderId="1" xfId="0" applyNumberFormat="1" applyFont="1" applyBorder="1" applyAlignment="1">
      <alignment horizontal="center" vertical="center" shrinkToFit="1"/>
    </xf>
    <xf numFmtId="0" fontId="14" fillId="0" borderId="62" xfId="0" applyFont="1" applyBorder="1" applyAlignment="1">
      <alignment horizontal="center"/>
    </xf>
    <xf numFmtId="0" fontId="14" fillId="7" borderId="62" xfId="0" applyFont="1" applyFill="1" applyBorder="1" applyAlignment="1">
      <alignment horizontal="center"/>
    </xf>
    <xf numFmtId="0" fontId="59" fillId="0" borderId="64" xfId="4" applyFont="1" applyBorder="1" applyAlignment="1">
      <alignment horizontal="center" vertical="center"/>
    </xf>
    <xf numFmtId="0" fontId="59" fillId="0" borderId="64" xfId="4" applyFont="1" applyBorder="1">
      <alignment vertical="center"/>
    </xf>
    <xf numFmtId="0" fontId="14" fillId="22" borderId="4" xfId="0" applyFont="1" applyFill="1" applyBorder="1" applyAlignment="1">
      <alignment horizontal="center"/>
    </xf>
    <xf numFmtId="0" fontId="12" fillId="14" borderId="4" xfId="0" applyFont="1" applyFill="1" applyBorder="1" applyAlignment="1">
      <alignment horizontal="center"/>
    </xf>
    <xf numFmtId="0" fontId="12" fillId="14" borderId="1" xfId="0" applyFont="1" applyFill="1" applyBorder="1" applyAlignment="1">
      <alignment horizontal="center"/>
    </xf>
    <xf numFmtId="0" fontId="52" fillId="0" borderId="61" xfId="0" applyFont="1" applyBorder="1" applyAlignment="1">
      <alignment horizontal="left"/>
    </xf>
    <xf numFmtId="0" fontId="12" fillId="14" borderId="62" xfId="0" applyFont="1" applyFill="1" applyBorder="1" applyAlignment="1">
      <alignment horizontal="center"/>
    </xf>
    <xf numFmtId="0" fontId="12" fillId="22" borderId="68" xfId="0" applyFont="1" applyFill="1" applyBorder="1" applyAlignment="1">
      <alignment horizontal="center"/>
    </xf>
    <xf numFmtId="0" fontId="52" fillId="0" borderId="1" xfId="0" applyFont="1" applyBorder="1" applyAlignment="1">
      <alignment horizontal="left"/>
    </xf>
    <xf numFmtId="0" fontId="12" fillId="0" borderId="69" xfId="0" applyFont="1" applyBorder="1" applyAlignment="1">
      <alignment horizontal="center"/>
    </xf>
    <xf numFmtId="0" fontId="12" fillId="0" borderId="68" xfId="0" applyFont="1" applyBorder="1" applyAlignment="1">
      <alignment horizontal="center"/>
    </xf>
    <xf numFmtId="0" fontId="82" fillId="22" borderId="68" xfId="0" applyFont="1" applyFill="1" applyBorder="1" applyAlignment="1">
      <alignment horizontal="center"/>
    </xf>
    <xf numFmtId="0" fontId="82" fillId="22" borderId="1" xfId="0" applyFont="1" applyFill="1" applyBorder="1" applyAlignment="1">
      <alignment horizontal="center"/>
    </xf>
    <xf numFmtId="0" fontId="82" fillId="22" borderId="4" xfId="0" applyFont="1" applyFill="1" applyBorder="1" applyAlignment="1">
      <alignment horizontal="center"/>
    </xf>
    <xf numFmtId="0" fontId="82" fillId="22" borderId="69" xfId="0" applyFont="1" applyFill="1" applyBorder="1" applyAlignment="1">
      <alignment horizontal="center"/>
    </xf>
    <xf numFmtId="176" fontId="12" fillId="25" borderId="1" xfId="0" applyNumberFormat="1" applyFont="1" applyFill="1" applyBorder="1" applyAlignment="1">
      <alignment horizontal="center" vertical="center" shrinkToFit="1"/>
    </xf>
    <xf numFmtId="0" fontId="12" fillId="25" borderId="62" xfId="0" applyFont="1" applyFill="1" applyBorder="1" applyAlignment="1">
      <alignment horizontal="center"/>
    </xf>
    <xf numFmtId="0" fontId="12" fillId="22" borderId="59" xfId="0" applyFont="1" applyFill="1" applyBorder="1" applyAlignment="1">
      <alignment horizontal="left"/>
    </xf>
    <xf numFmtId="0" fontId="14" fillId="0" borderId="0" xfId="0" applyFont="1" applyAlignment="1">
      <alignment horizontal="center"/>
    </xf>
    <xf numFmtId="0" fontId="14" fillId="0" borderId="0" xfId="0" applyFont="1"/>
    <xf numFmtId="0" fontId="14" fillId="0" borderId="0" xfId="0" applyFont="1" applyAlignment="1">
      <alignment horizontal="left"/>
    </xf>
    <xf numFmtId="0" fontId="73" fillId="0" borderId="0" xfId="0" applyFont="1" applyAlignment="1">
      <alignment horizontal="left"/>
    </xf>
    <xf numFmtId="0" fontId="59" fillId="5" borderId="0" xfId="4" applyFont="1" applyFill="1">
      <alignment vertical="center"/>
    </xf>
    <xf numFmtId="0" fontId="12" fillId="4" borderId="1" xfId="0" applyFont="1" applyFill="1" applyBorder="1" applyAlignment="1">
      <alignment horizontal="center"/>
    </xf>
    <xf numFmtId="0" fontId="0" fillId="0" borderId="7" xfId="0" applyBorder="1" applyAlignment="1">
      <alignment horizontal="center"/>
    </xf>
    <xf numFmtId="177" fontId="0" fillId="0" borderId="12" xfId="0" applyNumberFormat="1" applyBorder="1" applyAlignment="1">
      <alignment horizontal="center"/>
    </xf>
    <xf numFmtId="177" fontId="0" fillId="0" borderId="13" xfId="0" applyNumberFormat="1" applyBorder="1" applyAlignment="1">
      <alignment horizontal="center"/>
    </xf>
    <xf numFmtId="178" fontId="0" fillId="0" borderId="12" xfId="0" applyNumberFormat="1" applyBorder="1" applyAlignment="1">
      <alignment horizontal="center" shrinkToFit="1"/>
    </xf>
    <xf numFmtId="178" fontId="0" fillId="0" borderId="13" xfId="0" applyNumberFormat="1" applyBorder="1" applyAlignment="1">
      <alignment horizontal="center" shrinkToFit="1"/>
    </xf>
    <xf numFmtId="178" fontId="0" fillId="0" borderId="15" xfId="0" applyNumberFormat="1" applyBorder="1" applyAlignment="1">
      <alignment horizontal="center" shrinkToFit="1"/>
    </xf>
    <xf numFmtId="179" fontId="0" fillId="0" borderId="13" xfId="0" applyNumberFormat="1" applyBorder="1" applyAlignment="1">
      <alignment horizontal="center" shrinkToFit="1"/>
    </xf>
    <xf numFmtId="179" fontId="0" fillId="0" borderId="15" xfId="0" applyNumberFormat="1" applyBorder="1" applyAlignment="1">
      <alignment horizontal="center" shrinkToFit="1"/>
    </xf>
    <xf numFmtId="0" fontId="0" fillId="0" borderId="14" xfId="0" applyBorder="1" applyAlignment="1">
      <alignment horizontal="center"/>
    </xf>
    <xf numFmtId="0" fontId="27" fillId="0" borderId="7" xfId="0" applyFont="1" applyBorder="1" applyAlignment="1">
      <alignment horizontal="center" wrapText="1"/>
    </xf>
    <xf numFmtId="0" fontId="0" fillId="0" borderId="12" xfId="0" applyBorder="1" applyAlignment="1" applyProtection="1">
      <alignment horizontal="center" vertical="center" textRotation="255" shrinkToFit="1"/>
      <protection locked="0"/>
    </xf>
    <xf numFmtId="0" fontId="0" fillId="0" borderId="13" xfId="0" applyBorder="1" applyAlignment="1" applyProtection="1">
      <alignment horizontal="center" vertical="center" textRotation="255" shrinkToFit="1"/>
      <protection locked="0"/>
    </xf>
    <xf numFmtId="0" fontId="0" fillId="0" borderId="22" xfId="0" applyBorder="1" applyAlignment="1" applyProtection="1">
      <alignment horizontal="center" vertical="center" textRotation="255" shrinkToFit="1"/>
      <protection locked="0"/>
    </xf>
    <xf numFmtId="0" fontId="0" fillId="0" borderId="23" xfId="0" applyBorder="1" applyAlignment="1" applyProtection="1">
      <alignment horizontal="center" vertical="center" textRotation="255" shrinkToFit="1"/>
      <protection locked="0"/>
    </xf>
    <xf numFmtId="0" fontId="18" fillId="0" borderId="7" xfId="0" applyFont="1" applyBorder="1" applyAlignment="1">
      <alignment horizontal="center" vertical="center" wrapText="1"/>
    </xf>
    <xf numFmtId="0" fontId="0" fillId="0" borderId="13" xfId="0" applyBorder="1" applyAlignment="1" applyProtection="1">
      <alignment horizontal="center" vertical="center" shrinkToFit="1"/>
      <protection locked="0"/>
    </xf>
    <xf numFmtId="0" fontId="0" fillId="0" borderId="24" xfId="0" applyBorder="1" applyAlignment="1" applyProtection="1">
      <alignment horizontal="center" vertical="center" textRotation="255" shrinkToFit="1"/>
      <protection locked="0"/>
    </xf>
    <xf numFmtId="0" fontId="18" fillId="0" borderId="8" xfId="0" applyFont="1" applyBorder="1" applyAlignment="1">
      <alignment horizontal="center" vertical="center" wrapText="1"/>
    </xf>
    <xf numFmtId="0" fontId="0" fillId="0" borderId="25" xfId="0" applyBorder="1" applyAlignment="1" applyProtection="1">
      <alignment horizontal="center" vertical="center" textRotation="255" shrinkToFit="1"/>
      <protection locked="0"/>
    </xf>
    <xf numFmtId="0" fontId="0" fillId="0" borderId="17" xfId="0" applyBorder="1" applyAlignment="1" applyProtection="1">
      <alignment horizontal="center" vertical="center" textRotation="255" shrinkToFit="1"/>
      <protection locked="0"/>
    </xf>
    <xf numFmtId="0" fontId="0" fillId="0" borderId="17" xfId="0" applyBorder="1" applyAlignment="1" applyProtection="1">
      <alignment horizontal="center" vertical="center" shrinkToFit="1"/>
      <protection locked="0"/>
    </xf>
    <xf numFmtId="0" fontId="0" fillId="0" borderId="21" xfId="0" applyBorder="1" applyAlignment="1" applyProtection="1">
      <alignment horizontal="center" vertical="center" textRotation="255" shrinkToFit="1"/>
      <protection locked="0"/>
    </xf>
    <xf numFmtId="180" fontId="0" fillId="0" borderId="26" xfId="0" applyNumberFormat="1" applyBorder="1" applyAlignment="1" applyProtection="1">
      <alignment horizontal="center" vertical="center" shrinkToFit="1"/>
      <protection locked="0"/>
    </xf>
    <xf numFmtId="180" fontId="0" fillId="0" borderId="17" xfId="0" applyNumberFormat="1" applyBorder="1" applyAlignment="1" applyProtection="1">
      <alignment horizontal="center" vertical="center" shrinkToFit="1"/>
      <protection locked="0"/>
    </xf>
    <xf numFmtId="180" fontId="0" fillId="0" borderId="18" xfId="0" applyNumberFormat="1" applyBorder="1" applyAlignment="1" applyProtection="1">
      <alignment horizontal="center" vertical="center" shrinkToFit="1"/>
      <protection locked="0"/>
    </xf>
    <xf numFmtId="180" fontId="0" fillId="0" borderId="27" xfId="0" applyNumberFormat="1" applyBorder="1" applyAlignment="1" applyProtection="1">
      <alignment horizontal="center" vertical="center" shrinkToFit="1"/>
      <protection locked="0"/>
    </xf>
    <xf numFmtId="180" fontId="0" fillId="0" borderId="20" xfId="0" applyNumberFormat="1" applyBorder="1" applyAlignment="1" applyProtection="1">
      <alignment horizontal="center" vertical="center" shrinkToFit="1"/>
      <protection locked="0"/>
    </xf>
    <xf numFmtId="180" fontId="0" fillId="0" borderId="21" xfId="0" applyNumberFormat="1" applyBorder="1" applyAlignment="1" applyProtection="1">
      <alignment horizontal="center" vertical="center" shrinkToFit="1"/>
      <protection locked="0"/>
    </xf>
    <xf numFmtId="177" fontId="0" fillId="0" borderId="15" xfId="0" applyNumberFormat="1" applyBorder="1" applyAlignment="1">
      <alignment horizontal="center"/>
    </xf>
    <xf numFmtId="178" fontId="0" fillId="0" borderId="30" xfId="0" applyNumberFormat="1" applyBorder="1" applyAlignment="1">
      <alignment horizontal="center" shrinkToFit="1"/>
    </xf>
    <xf numFmtId="178" fontId="0" fillId="0" borderId="31" xfId="0" applyNumberFormat="1" applyBorder="1" applyAlignment="1">
      <alignment horizontal="center" shrinkToFit="1"/>
    </xf>
    <xf numFmtId="0" fontId="0" fillId="0" borderId="34" xfId="0" applyBorder="1" applyAlignment="1" applyProtection="1">
      <alignment horizontal="center" vertical="center" textRotation="255" shrinkToFit="1"/>
      <protection locked="0"/>
    </xf>
    <xf numFmtId="180" fontId="0" fillId="0" borderId="32" xfId="0" applyNumberFormat="1" applyBorder="1" applyAlignment="1" applyProtection="1">
      <alignment horizontal="center" vertical="center" shrinkToFit="1"/>
      <protection locked="0"/>
    </xf>
    <xf numFmtId="180" fontId="0" fillId="0" borderId="34" xfId="0" applyNumberFormat="1" applyBorder="1" applyAlignment="1" applyProtection="1">
      <alignment horizontal="center" vertical="center" shrinkToFit="1"/>
      <protection locked="0"/>
    </xf>
    <xf numFmtId="179" fontId="0" fillId="0" borderId="12" xfId="0" applyNumberFormat="1" applyBorder="1" applyAlignment="1">
      <alignment horizontal="center" shrinkToFit="1"/>
    </xf>
    <xf numFmtId="0" fontId="60" fillId="0" borderId="0" xfId="4" applyFont="1" applyAlignment="1">
      <alignment horizontal="center" vertical="center"/>
    </xf>
    <xf numFmtId="56" fontId="60" fillId="0" borderId="0" xfId="4" applyNumberFormat="1" applyFont="1" applyAlignment="1">
      <alignment horizontal="center" vertical="center"/>
    </xf>
    <xf numFmtId="0" fontId="15" fillId="0" borderId="5" xfId="1" applyBorder="1" applyAlignment="1">
      <alignment horizontal="left" vertical="center"/>
    </xf>
    <xf numFmtId="0" fontId="15" fillId="0" borderId="31" xfId="1" applyBorder="1" applyAlignment="1">
      <alignment horizontal="left" vertical="center"/>
    </xf>
    <xf numFmtId="0" fontId="50" fillId="7" borderId="0" xfId="1" applyFont="1" applyFill="1" applyAlignment="1" applyProtection="1">
      <alignment horizontal="left"/>
      <protection hidden="1"/>
    </xf>
    <xf numFmtId="0" fontId="15" fillId="6" borderId="0" xfId="1" applyFill="1" applyAlignment="1">
      <alignment horizontal="left"/>
    </xf>
    <xf numFmtId="0" fontId="15" fillId="0" borderId="0" xfId="1"/>
    <xf numFmtId="0" fontId="15" fillId="0" borderId="7" xfId="1" applyBorder="1" applyAlignment="1">
      <alignment horizontal="center" vertical="center"/>
    </xf>
    <xf numFmtId="182" fontId="15" fillId="0" borderId="36" xfId="1" applyNumberFormat="1" applyBorder="1" applyAlignment="1">
      <alignment horizontal="center" vertical="center"/>
    </xf>
    <xf numFmtId="182" fontId="15" fillId="0" borderId="5" xfId="1" applyNumberFormat="1" applyBorder="1" applyAlignment="1">
      <alignment horizontal="center" vertical="center"/>
    </xf>
    <xf numFmtId="182" fontId="15" fillId="0" borderId="31" xfId="1" applyNumberFormat="1" applyBorder="1" applyAlignment="1">
      <alignment horizontal="center" vertical="center"/>
    </xf>
    <xf numFmtId="183" fontId="15" fillId="0" borderId="36" xfId="1" applyNumberFormat="1" applyBorder="1" applyAlignment="1">
      <alignment horizontal="right" vertical="center"/>
    </xf>
    <xf numFmtId="0" fontId="15" fillId="0" borderId="5" xfId="1" applyBorder="1" applyAlignment="1">
      <alignment vertical="center"/>
    </xf>
    <xf numFmtId="183" fontId="15" fillId="0" borderId="5" xfId="1" applyNumberFormat="1" applyBorder="1" applyAlignment="1">
      <alignment horizontal="right" vertical="center"/>
    </xf>
    <xf numFmtId="183" fontId="36" fillId="0" borderId="36" xfId="1" applyNumberFormat="1" applyFont="1" applyBorder="1" applyAlignment="1">
      <alignment vertical="center"/>
    </xf>
    <xf numFmtId="183" fontId="36" fillId="0" borderId="5" xfId="1" applyNumberFormat="1" applyFont="1" applyBorder="1" applyAlignment="1">
      <alignment vertical="center"/>
    </xf>
    <xf numFmtId="183" fontId="15" fillId="0" borderId="5" xfId="1" applyNumberFormat="1" applyBorder="1"/>
    <xf numFmtId="182" fontId="15" fillId="0" borderId="36" xfId="1" applyNumberFormat="1" applyBorder="1" applyAlignment="1" applyProtection="1">
      <alignment horizontal="center" vertical="center"/>
      <protection hidden="1"/>
    </xf>
    <xf numFmtId="182" fontId="15" fillId="0" borderId="5" xfId="1" applyNumberFormat="1" applyBorder="1" applyAlignment="1" applyProtection="1">
      <alignment horizontal="center" vertical="center"/>
      <protection hidden="1"/>
    </xf>
    <xf numFmtId="182" fontId="15" fillId="0" borderId="31" xfId="1" applyNumberFormat="1" applyBorder="1" applyAlignment="1" applyProtection="1">
      <alignment horizontal="center" vertical="center"/>
      <protection hidden="1"/>
    </xf>
    <xf numFmtId="183" fontId="36" fillId="0" borderId="36" xfId="1" applyNumberFormat="1" applyFont="1" applyBorder="1" applyAlignment="1" applyProtection="1">
      <alignment vertical="center"/>
      <protection hidden="1"/>
    </xf>
    <xf numFmtId="183" fontId="36" fillId="0" borderId="5" xfId="1" applyNumberFormat="1" applyFont="1" applyBorder="1" applyAlignment="1" applyProtection="1">
      <alignment vertical="center"/>
      <protection hidden="1"/>
    </xf>
    <xf numFmtId="183" fontId="15" fillId="0" borderId="36" xfId="1" applyNumberFormat="1" applyBorder="1" applyAlignment="1" applyProtection="1">
      <alignment horizontal="right" vertical="center"/>
      <protection hidden="1"/>
    </xf>
    <xf numFmtId="183" fontId="15" fillId="0" borderId="5" xfId="1" applyNumberFormat="1" applyBorder="1" applyProtection="1">
      <protection hidden="1"/>
    </xf>
    <xf numFmtId="0" fontId="28" fillId="7" borderId="33" xfId="1" applyFont="1" applyFill="1" applyBorder="1" applyAlignment="1" applyProtection="1">
      <alignment horizontal="left"/>
      <protection hidden="1"/>
    </xf>
    <xf numFmtId="0" fontId="28" fillId="7" borderId="0" xfId="1" applyFont="1" applyFill="1" applyAlignment="1" applyProtection="1">
      <alignment horizontal="left"/>
      <protection hidden="1"/>
    </xf>
    <xf numFmtId="0" fontId="15" fillId="6" borderId="0" xfId="1" applyFill="1"/>
    <xf numFmtId="0" fontId="15" fillId="0" borderId="36" xfId="1" applyBorder="1" applyAlignment="1">
      <alignment horizontal="center" vertical="center"/>
    </xf>
    <xf numFmtId="0" fontId="15" fillId="0" borderId="5" xfId="1" applyBorder="1" applyAlignment="1">
      <alignment horizontal="center" vertical="center"/>
    </xf>
    <xf numFmtId="0" fontId="15" fillId="0" borderId="31" xfId="1" applyBorder="1" applyAlignment="1">
      <alignment horizontal="center" vertical="center"/>
    </xf>
    <xf numFmtId="0" fontId="48" fillId="6" borderId="0" xfId="1" applyFont="1" applyFill="1"/>
    <xf numFmtId="183" fontId="36" fillId="0" borderId="36" xfId="1" quotePrefix="1" applyNumberFormat="1" applyFont="1" applyBorder="1" applyAlignment="1" applyProtection="1">
      <alignment vertical="center"/>
      <protection hidden="1"/>
    </xf>
    <xf numFmtId="183" fontId="36" fillId="0" borderId="5" xfId="1" quotePrefix="1" applyNumberFormat="1" applyFont="1" applyBorder="1" applyAlignment="1" applyProtection="1">
      <alignment vertical="center"/>
      <protection hidden="1"/>
    </xf>
    <xf numFmtId="0" fontId="15" fillId="0" borderId="0" xfId="1" applyAlignment="1">
      <alignment horizontal="center" vertical="center"/>
    </xf>
    <xf numFmtId="0" fontId="15" fillId="0" borderId="10" xfId="1" applyBorder="1" applyAlignment="1">
      <alignment horizontal="left"/>
    </xf>
    <xf numFmtId="0" fontId="35" fillId="0" borderId="10" xfId="1" applyFont="1" applyBorder="1" applyAlignment="1">
      <alignment horizontal="left" vertical="center"/>
    </xf>
    <xf numFmtId="0" fontId="15" fillId="0" borderId="5" xfId="1" applyBorder="1"/>
    <xf numFmtId="0" fontId="15" fillId="0" borderId="31" xfId="1" applyBorder="1"/>
    <xf numFmtId="0" fontId="36" fillId="0" borderId="36" xfId="1" applyFont="1" applyBorder="1" applyAlignment="1">
      <alignment horizontal="center" vertical="center"/>
    </xf>
    <xf numFmtId="0" fontId="36" fillId="0" borderId="5" xfId="1" applyFont="1" applyBorder="1"/>
    <xf numFmtId="0" fontId="36" fillId="0" borderId="31" xfId="1" applyFont="1" applyBorder="1"/>
    <xf numFmtId="0" fontId="15" fillId="0" borderId="36" xfId="1" applyBorder="1" applyAlignment="1">
      <alignment horizontal="center"/>
    </xf>
    <xf numFmtId="0" fontId="15" fillId="0" borderId="31" xfId="1" applyBorder="1" applyAlignment="1">
      <alignment horizontal="center"/>
    </xf>
    <xf numFmtId="20" fontId="15" fillId="0" borderId="36" xfId="1" applyNumberFormat="1" applyBorder="1" applyAlignment="1" applyProtection="1">
      <alignment horizontal="center"/>
      <protection locked="0"/>
    </xf>
    <xf numFmtId="20" fontId="15" fillId="0" borderId="5" xfId="1" applyNumberFormat="1" applyBorder="1" applyAlignment="1" applyProtection="1">
      <alignment horizontal="center"/>
      <protection locked="0"/>
    </xf>
    <xf numFmtId="20" fontId="15" fillId="0" borderId="31" xfId="1" applyNumberFormat="1" applyBorder="1" applyAlignment="1" applyProtection="1">
      <alignment horizontal="center"/>
      <protection locked="0"/>
    </xf>
    <xf numFmtId="0" fontId="15" fillId="0" borderId="11" xfId="1" applyBorder="1" applyAlignment="1">
      <alignment horizontal="center"/>
    </xf>
    <xf numFmtId="0" fontId="15" fillId="0" borderId="18" xfId="1" applyBorder="1" applyAlignment="1">
      <alignment horizontal="center"/>
    </xf>
    <xf numFmtId="20" fontId="15" fillId="0" borderId="11" xfId="1" applyNumberFormat="1" applyBorder="1" applyAlignment="1" applyProtection="1">
      <alignment horizontal="center"/>
      <protection locked="0"/>
    </xf>
    <xf numFmtId="20" fontId="15" fillId="0" borderId="25" xfId="1" applyNumberFormat="1" applyBorder="1" applyAlignment="1" applyProtection="1">
      <alignment horizontal="center"/>
      <protection locked="0"/>
    </xf>
    <xf numFmtId="20" fontId="15" fillId="0" borderId="18" xfId="1" applyNumberFormat="1" applyBorder="1" applyAlignment="1" applyProtection="1">
      <alignment horizontal="center"/>
      <protection locked="0"/>
    </xf>
    <xf numFmtId="0" fontId="15" fillId="0" borderId="5" xfId="1" applyBorder="1" applyAlignment="1" applyProtection="1">
      <alignment horizontal="center"/>
      <protection locked="0"/>
    </xf>
    <xf numFmtId="0" fontId="15" fillId="0" borderId="31" xfId="1" applyBorder="1" applyAlignment="1" applyProtection="1">
      <alignment horizontal="center"/>
      <protection locked="0"/>
    </xf>
    <xf numFmtId="0" fontId="15" fillId="0" borderId="5" xfId="1" applyBorder="1" applyAlignment="1">
      <alignment horizontal="center"/>
    </xf>
    <xf numFmtId="0" fontId="15" fillId="0" borderId="10" xfId="1" applyBorder="1" applyAlignment="1">
      <alignment horizontal="center"/>
    </xf>
    <xf numFmtId="0" fontId="15" fillId="0" borderId="10" xfId="1" applyBorder="1"/>
    <xf numFmtId="187" fontId="15" fillId="0" borderId="10" xfId="1" applyNumberFormat="1" applyBorder="1" applyAlignment="1" applyProtection="1">
      <alignment horizontal="center"/>
      <protection locked="0"/>
    </xf>
    <xf numFmtId="0" fontId="15" fillId="0" borderId="25" xfId="1" applyBorder="1" applyAlignment="1">
      <alignment horizontal="center" vertical="center"/>
    </xf>
    <xf numFmtId="0" fontId="15" fillId="0" borderId="36" xfId="1" applyBorder="1" applyAlignment="1" applyProtection="1">
      <alignment horizontal="center" vertical="center"/>
      <protection hidden="1"/>
    </xf>
    <xf numFmtId="0" fontId="15" fillId="0" borderId="31" xfId="1" applyBorder="1" applyAlignment="1" applyProtection="1">
      <alignment horizontal="center" vertical="center"/>
      <protection hidden="1"/>
    </xf>
    <xf numFmtId="0" fontId="31" fillId="0" borderId="7" xfId="1" applyFont="1" applyBorder="1" applyAlignment="1">
      <alignment horizontal="center" vertical="center"/>
    </xf>
    <xf numFmtId="20" fontId="15" fillId="0" borderId="36" xfId="1" applyNumberFormat="1" applyBorder="1" applyAlignment="1" applyProtection="1">
      <alignment horizontal="center"/>
      <protection hidden="1"/>
    </xf>
    <xf numFmtId="20" fontId="15" fillId="0" borderId="5" xfId="1" applyNumberFormat="1" applyBorder="1" applyAlignment="1" applyProtection="1">
      <alignment horizontal="center"/>
      <protection hidden="1"/>
    </xf>
    <xf numFmtId="182" fontId="15" fillId="0" borderId="7" xfId="1" applyNumberFormat="1" applyBorder="1" applyAlignment="1" applyProtection="1">
      <alignment horizontal="center" vertical="center"/>
      <protection locked="0"/>
    </xf>
    <xf numFmtId="182" fontId="15" fillId="0" borderId="36" xfId="1" applyNumberFormat="1" applyBorder="1" applyAlignment="1" applyProtection="1">
      <alignment horizontal="center" vertical="center"/>
      <protection locked="0"/>
    </xf>
    <xf numFmtId="182" fontId="15" fillId="0" borderId="31" xfId="1" applyNumberFormat="1" applyBorder="1" applyAlignment="1" applyProtection="1">
      <alignment horizontal="center" vertical="center"/>
      <protection locked="0"/>
    </xf>
    <xf numFmtId="0" fontId="15" fillId="0" borderId="7" xfId="1" applyBorder="1" applyAlignment="1" applyProtection="1">
      <alignment horizontal="left" vertical="center" shrinkToFit="1"/>
      <protection locked="0"/>
    </xf>
    <xf numFmtId="0" fontId="15" fillId="0" borderId="0" xfId="1" applyAlignment="1">
      <alignment horizontal="center"/>
    </xf>
    <xf numFmtId="182" fontId="15" fillId="0" borderId="7" xfId="1" applyNumberFormat="1" applyBorder="1" applyAlignment="1" applyProtection="1">
      <alignment horizontal="left" vertical="center"/>
      <protection locked="0"/>
    </xf>
    <xf numFmtId="0" fontId="46" fillId="7" borderId="0" xfId="1" applyFont="1" applyFill="1" applyAlignment="1">
      <alignment horizontal="left" vertical="center" shrinkToFit="1"/>
    </xf>
    <xf numFmtId="0" fontId="15" fillId="0" borderId="7" xfId="1" applyBorder="1" applyAlignment="1">
      <alignment horizontal="center" shrinkToFit="1"/>
    </xf>
    <xf numFmtId="20" fontId="15" fillId="0" borderId="7" xfId="1" applyNumberFormat="1" applyBorder="1" applyAlignment="1" applyProtection="1">
      <alignment horizontal="center"/>
      <protection locked="0"/>
    </xf>
    <xf numFmtId="0" fontId="15" fillId="0" borderId="7" xfId="1" applyBorder="1" applyAlignment="1" applyProtection="1">
      <alignment horizontal="center"/>
      <protection locked="0"/>
    </xf>
    <xf numFmtId="0" fontId="15" fillId="0" borderId="36" xfId="1" applyBorder="1" applyAlignment="1" applyProtection="1">
      <alignment horizontal="center"/>
      <protection locked="0"/>
    </xf>
    <xf numFmtId="0" fontId="15" fillId="0" borderId="0" xfId="1" applyAlignment="1">
      <alignment horizontal="left" vertical="center"/>
    </xf>
    <xf numFmtId="0" fontId="15" fillId="0" borderId="7" xfId="1" applyBorder="1" applyAlignment="1">
      <alignment horizontal="center"/>
    </xf>
    <xf numFmtId="0" fontId="15" fillId="0" borderId="7" xfId="1" applyBorder="1" applyAlignment="1">
      <alignment horizontal="center" vertical="center" shrinkToFit="1"/>
    </xf>
    <xf numFmtId="0" fontId="15" fillId="0" borderId="17" xfId="1" applyBorder="1" applyAlignment="1" applyProtection="1">
      <alignment horizontal="center" vertical="top" textRotation="255" shrinkToFit="1"/>
      <protection locked="0"/>
    </xf>
    <xf numFmtId="0" fontId="15" fillId="0" borderId="20" xfId="1" applyBorder="1" applyAlignment="1" applyProtection="1">
      <alignment horizontal="center" vertical="top" textRotation="255" shrinkToFit="1"/>
      <protection locked="0"/>
    </xf>
    <xf numFmtId="0" fontId="15" fillId="0" borderId="22" xfId="1" applyBorder="1" applyAlignment="1" applyProtection="1">
      <alignment horizontal="center" vertical="top" textRotation="255" shrinkToFit="1"/>
      <protection locked="0"/>
    </xf>
    <xf numFmtId="0" fontId="15" fillId="0" borderId="32" xfId="1" applyBorder="1" applyAlignment="1" applyProtection="1">
      <alignment horizontal="center" vertical="top" textRotation="255" shrinkToFit="1"/>
      <protection locked="0"/>
    </xf>
    <xf numFmtId="0" fontId="15" fillId="0" borderId="34" xfId="1" applyBorder="1" applyAlignment="1" applyProtection="1">
      <alignment horizontal="center" vertical="top" textRotation="255" shrinkToFit="1"/>
      <protection locked="0"/>
    </xf>
    <xf numFmtId="0" fontId="15" fillId="0" borderId="24" xfId="1" applyBorder="1" applyAlignment="1" applyProtection="1">
      <alignment horizontal="center" vertical="top" textRotation="255" shrinkToFit="1"/>
      <protection locked="0"/>
    </xf>
    <xf numFmtId="0" fontId="25" fillId="7" borderId="0" xfId="1" applyFont="1" applyFill="1"/>
    <xf numFmtId="0" fontId="25" fillId="7" borderId="0" xfId="1" applyFont="1" applyFill="1" applyAlignment="1">
      <alignment horizontal="left" vertical="center"/>
    </xf>
    <xf numFmtId="0" fontId="15" fillId="0" borderId="8" xfId="1" applyBorder="1" applyAlignment="1">
      <alignment horizontal="center" vertical="center"/>
    </xf>
    <xf numFmtId="0" fontId="15" fillId="0" borderId="14" xfId="1" applyBorder="1" applyAlignment="1">
      <alignment horizontal="center" vertical="center"/>
    </xf>
    <xf numFmtId="0" fontId="15" fillId="0" borderId="28" xfId="1" applyBorder="1" applyAlignment="1">
      <alignment horizontal="center" vertical="center"/>
    </xf>
    <xf numFmtId="0" fontId="15" fillId="7" borderId="0" xfId="1" applyFill="1" applyAlignment="1">
      <alignment vertical="center"/>
    </xf>
    <xf numFmtId="0" fontId="15" fillId="0" borderId="14" xfId="1" applyBorder="1" applyAlignment="1">
      <alignment vertical="center" textRotation="255"/>
    </xf>
    <xf numFmtId="0" fontId="15" fillId="0" borderId="11" xfId="1" applyBorder="1" applyAlignment="1" applyProtection="1">
      <alignment horizontal="center" vertical="top" textRotation="255" shrinkToFit="1"/>
      <protection locked="0"/>
    </xf>
    <xf numFmtId="0" fontId="15" fillId="0" borderId="33" xfId="1" applyBorder="1" applyAlignment="1" applyProtection="1">
      <alignment horizontal="center" vertical="top" textRotation="255" shrinkToFit="1"/>
      <protection locked="0"/>
    </xf>
    <xf numFmtId="0" fontId="15" fillId="0" borderId="35" xfId="1" applyBorder="1" applyAlignment="1" applyProtection="1">
      <alignment horizontal="center" vertical="top" textRotation="255" shrinkToFit="1"/>
      <protection locked="0"/>
    </xf>
    <xf numFmtId="0" fontId="25" fillId="7" borderId="0" xfId="1" applyFont="1" applyFill="1" applyAlignment="1">
      <alignment horizontal="left"/>
    </xf>
    <xf numFmtId="0" fontId="28" fillId="7" borderId="0" xfId="1" applyFont="1" applyFill="1" applyAlignment="1">
      <alignment horizontal="left" vertical="center"/>
    </xf>
    <xf numFmtId="0" fontId="28" fillId="7" borderId="0" xfId="1" applyFont="1" applyFill="1" applyAlignment="1">
      <alignment horizontal="left"/>
    </xf>
    <xf numFmtId="0" fontId="28" fillId="7" borderId="0" xfId="1" applyFont="1" applyFill="1"/>
    <xf numFmtId="0" fontId="17" fillId="0" borderId="0" xfId="1" applyFont="1" applyAlignment="1">
      <alignment horizontal="center" vertical="center"/>
    </xf>
    <xf numFmtId="0" fontId="20" fillId="0" borderId="0" xfId="1" applyFont="1" applyAlignment="1">
      <alignment horizontal="center" vertical="center"/>
    </xf>
    <xf numFmtId="0" fontId="15" fillId="0" borderId="0" xfId="1" applyAlignment="1">
      <alignment horizontal="right" vertical="center" shrinkToFit="1"/>
    </xf>
    <xf numFmtId="0" fontId="15" fillId="0" borderId="0" xfId="1" applyAlignment="1">
      <alignment horizontal="left" vertical="center" shrinkToFit="1"/>
    </xf>
    <xf numFmtId="0" fontId="15" fillId="0" borderId="16" xfId="1" applyBorder="1" applyAlignment="1" applyProtection="1">
      <alignment horizontal="center" vertical="top" textRotation="255" shrinkToFit="1"/>
      <protection locked="0"/>
    </xf>
    <xf numFmtId="0" fontId="15" fillId="0" borderId="19" xfId="1" applyBorder="1" applyAlignment="1" applyProtection="1">
      <alignment horizontal="center" vertical="top" textRotation="255" shrinkToFit="1"/>
      <protection locked="0"/>
    </xf>
    <xf numFmtId="0" fontId="15" fillId="0" borderId="17" xfId="1" applyBorder="1" applyAlignment="1" applyProtection="1">
      <alignment horizontal="center" vertical="top" textRotation="255" wrapText="1" shrinkToFit="1"/>
      <protection locked="0"/>
    </xf>
    <xf numFmtId="0" fontId="15" fillId="0" borderId="18" xfId="1" applyBorder="1" applyAlignment="1" applyProtection="1">
      <alignment horizontal="center" vertical="top" textRotation="255" shrinkToFit="1"/>
      <protection locked="0"/>
    </xf>
    <xf numFmtId="0" fontId="15" fillId="0" borderId="21" xfId="1" applyBorder="1" applyAlignment="1" applyProtection="1">
      <alignment horizontal="center" vertical="top" textRotation="255" shrinkToFit="1"/>
      <protection locked="0"/>
    </xf>
    <xf numFmtId="0" fontId="15" fillId="0" borderId="23" xfId="1" applyBorder="1" applyAlignment="1" applyProtection="1">
      <alignment horizontal="center" vertical="top" textRotation="255" shrinkToFit="1"/>
      <protection locked="0"/>
    </xf>
    <xf numFmtId="0" fontId="15" fillId="0" borderId="63" xfId="1" applyBorder="1" applyAlignment="1" applyProtection="1">
      <alignment horizontal="center" vertical="top" textRotation="255" shrinkToFit="1"/>
      <protection locked="0"/>
    </xf>
    <xf numFmtId="0" fontId="15" fillId="0" borderId="25" xfId="1" applyBorder="1" applyAlignment="1" applyProtection="1">
      <alignment horizontal="center" vertical="top" textRotation="255" shrinkToFit="1"/>
      <protection locked="0"/>
    </xf>
    <xf numFmtId="0" fontId="15" fillId="0" borderId="0" xfId="1" applyAlignment="1" applyProtection="1">
      <alignment horizontal="center" vertical="top" textRotation="255" shrinkToFit="1"/>
      <protection locked="0"/>
    </xf>
    <xf numFmtId="0" fontId="15" fillId="0" borderId="10" xfId="1" applyBorder="1" applyAlignment="1" applyProtection="1">
      <alignment horizontal="center" vertical="top" textRotation="255" shrinkToFit="1"/>
      <protection locked="0"/>
    </xf>
    <xf numFmtId="0" fontId="18" fillId="0" borderId="17" xfId="1" applyFont="1" applyBorder="1" applyAlignment="1" applyProtection="1">
      <alignment horizontal="center" vertical="top" textRotation="255" wrapText="1" shrinkToFit="1"/>
      <protection locked="0"/>
    </xf>
    <xf numFmtId="0" fontId="18" fillId="0" borderId="20" xfId="1" applyFont="1" applyBorder="1" applyAlignment="1" applyProtection="1">
      <alignment horizontal="center" vertical="top" textRotation="255" shrinkToFit="1"/>
      <protection locked="0"/>
    </xf>
    <xf numFmtId="0" fontId="18" fillId="0" borderId="22" xfId="1" applyFont="1" applyBorder="1" applyAlignment="1" applyProtection="1">
      <alignment horizontal="center" vertical="top" textRotation="255" shrinkToFit="1"/>
      <protection locked="0"/>
    </xf>
    <xf numFmtId="0" fontId="15" fillId="0" borderId="20" xfId="1" applyBorder="1" applyAlignment="1" applyProtection="1">
      <alignment horizontal="center" vertical="top" textRotation="255" wrapText="1" shrinkToFit="1"/>
      <protection locked="0"/>
    </xf>
    <xf numFmtId="0" fontId="15" fillId="0" borderId="22" xfId="1" applyBorder="1" applyAlignment="1" applyProtection="1">
      <alignment horizontal="center" vertical="top" textRotation="255" wrapText="1" shrinkToFit="1"/>
      <protection locked="0"/>
    </xf>
    <xf numFmtId="0" fontId="0" fillId="0" borderId="17" xfId="0" applyBorder="1" applyAlignment="1" applyProtection="1">
      <alignment horizontal="center" vertical="top" textRotation="255" shrinkToFit="1"/>
      <protection locked="0"/>
    </xf>
    <xf numFmtId="0" fontId="0" fillId="0" borderId="20" xfId="0" applyBorder="1" applyAlignment="1" applyProtection="1">
      <alignment horizontal="center" vertical="top" textRotation="255" shrinkToFit="1"/>
      <protection locked="0"/>
    </xf>
    <xf numFmtId="0" fontId="0" fillId="0" borderId="22" xfId="0" applyBorder="1" applyAlignment="1" applyProtection="1">
      <alignment horizontal="center" vertical="top" textRotation="255" shrinkToFit="1"/>
      <protection locked="0"/>
    </xf>
    <xf numFmtId="0" fontId="0" fillId="0" borderId="11" xfId="0" applyBorder="1" applyAlignment="1" applyProtection="1">
      <alignment horizontal="center" vertical="top" textRotation="255" shrinkToFit="1"/>
      <protection locked="0"/>
    </xf>
    <xf numFmtId="0" fontId="0" fillId="0" borderId="33" xfId="0" applyBorder="1" applyAlignment="1" applyProtection="1">
      <alignment horizontal="center" vertical="top" textRotation="255" shrinkToFit="1"/>
      <protection locked="0"/>
    </xf>
    <xf numFmtId="0" fontId="0" fillId="0" borderId="35" xfId="0" applyBorder="1" applyAlignment="1" applyProtection="1">
      <alignment horizontal="center" vertical="top" textRotation="255" shrinkToFit="1"/>
      <protection locked="0"/>
    </xf>
    <xf numFmtId="0" fontId="0" fillId="0" borderId="32" xfId="0" applyBorder="1" applyAlignment="1" applyProtection="1">
      <alignment horizontal="center" vertical="top" textRotation="255" shrinkToFit="1"/>
      <protection locked="0"/>
    </xf>
    <xf numFmtId="0" fontId="0" fillId="0" borderId="34" xfId="0" applyBorder="1" applyAlignment="1" applyProtection="1">
      <alignment horizontal="center" vertical="top" textRotation="255" shrinkToFit="1"/>
      <protection locked="0"/>
    </xf>
    <xf numFmtId="0" fontId="0" fillId="0" borderId="24" xfId="0" applyBorder="1" applyAlignment="1" applyProtection="1">
      <alignment horizontal="center" vertical="top" textRotation="255" shrinkToFit="1"/>
      <protection locked="0"/>
    </xf>
    <xf numFmtId="0" fontId="0" fillId="0" borderId="8" xfId="0" applyBorder="1" applyAlignment="1">
      <alignment horizontal="center" vertical="center"/>
    </xf>
    <xf numFmtId="0" fontId="0" fillId="0" borderId="14" xfId="0" applyBorder="1" applyAlignment="1">
      <alignment horizontal="center" vertical="center"/>
    </xf>
    <xf numFmtId="0" fontId="0" fillId="0" borderId="28" xfId="0" applyBorder="1" applyAlignment="1">
      <alignment horizontal="center" vertical="center"/>
    </xf>
    <xf numFmtId="0" fontId="0" fillId="0" borderId="16" xfId="0" applyBorder="1" applyAlignment="1" applyProtection="1">
      <alignment horizontal="center" vertical="top" textRotation="255" shrinkToFit="1"/>
      <protection locked="0"/>
    </xf>
    <xf numFmtId="0" fontId="0" fillId="0" borderId="19" xfId="0" applyBorder="1" applyAlignment="1" applyProtection="1">
      <alignment horizontal="center" vertical="top" textRotation="255" shrinkToFit="1"/>
      <protection locked="0"/>
    </xf>
    <xf numFmtId="0" fontId="0" fillId="0" borderId="17" xfId="0" applyBorder="1" applyAlignment="1" applyProtection="1">
      <alignment horizontal="center" vertical="top" textRotation="255" wrapText="1" shrinkToFit="1"/>
      <protection locked="0"/>
    </xf>
    <xf numFmtId="0" fontId="0" fillId="0" borderId="18" xfId="0" applyBorder="1" applyAlignment="1" applyProtection="1">
      <alignment horizontal="center" vertical="top" textRotation="255" shrinkToFit="1"/>
      <protection locked="0"/>
    </xf>
    <xf numFmtId="0" fontId="0" fillId="0" borderId="21" xfId="0" applyBorder="1" applyAlignment="1" applyProtection="1">
      <alignment horizontal="center" vertical="top" textRotation="255" shrinkToFit="1"/>
      <protection locked="0"/>
    </xf>
    <xf numFmtId="0" fontId="0" fillId="0" borderId="23" xfId="0" applyBorder="1" applyAlignment="1" applyProtection="1">
      <alignment horizontal="center" vertical="top" textRotation="255" shrinkToFit="1"/>
      <protection locked="0"/>
    </xf>
    <xf numFmtId="0" fontId="15" fillId="0" borderId="65" xfId="1" applyBorder="1" applyAlignment="1" applyProtection="1">
      <alignment horizontal="center" vertical="top" textRotation="255" shrinkToFit="1"/>
      <protection locked="0"/>
    </xf>
    <xf numFmtId="0" fontId="15" fillId="0" borderId="66" xfId="1" applyBorder="1" applyAlignment="1" applyProtection="1">
      <alignment horizontal="center" vertical="top" textRotation="255" shrinkToFit="1"/>
      <protection locked="0"/>
    </xf>
    <xf numFmtId="0" fontId="15" fillId="0" borderId="67" xfId="1" applyBorder="1" applyAlignment="1" applyProtection="1">
      <alignment horizontal="center" vertical="top" textRotation="255" shrinkToFit="1"/>
      <protection locked="0"/>
    </xf>
    <xf numFmtId="0" fontId="15" fillId="24" borderId="17" xfId="1" applyFill="1" applyBorder="1" applyAlignment="1" applyProtection="1">
      <alignment horizontal="center" vertical="top" textRotation="255" shrinkToFit="1"/>
      <protection locked="0"/>
    </xf>
    <xf numFmtId="0" fontId="15" fillId="24" borderId="20" xfId="1" applyFill="1" applyBorder="1" applyAlignment="1" applyProtection="1">
      <alignment horizontal="center" vertical="top" textRotation="255" shrinkToFit="1"/>
      <protection locked="0"/>
    </xf>
    <xf numFmtId="0" fontId="15" fillId="24" borderId="22" xfId="1" applyFill="1" applyBorder="1" applyAlignment="1" applyProtection="1">
      <alignment horizontal="center" vertical="top" textRotation="255" shrinkToFit="1"/>
      <protection locked="0"/>
    </xf>
    <xf numFmtId="0" fontId="23" fillId="0" borderId="17" xfId="1" applyFont="1" applyBorder="1" applyAlignment="1" applyProtection="1">
      <alignment horizontal="center" vertical="top" textRotation="255" wrapText="1" shrinkToFit="1"/>
      <protection locked="0"/>
    </xf>
    <xf numFmtId="0" fontId="23" fillId="0" borderId="20" xfId="1" applyFont="1" applyBorder="1" applyAlignment="1" applyProtection="1">
      <alignment horizontal="center" vertical="top" textRotation="255" wrapText="1" shrinkToFit="1"/>
      <protection locked="0"/>
    </xf>
    <xf numFmtId="0" fontId="23" fillId="0" borderId="22" xfId="1" applyFont="1" applyBorder="1" applyAlignment="1" applyProtection="1">
      <alignment horizontal="center" vertical="top" textRotation="255" wrapText="1" shrinkToFit="1"/>
      <protection locked="0"/>
    </xf>
    <xf numFmtId="0" fontId="18" fillId="0" borderId="20" xfId="1" applyFont="1" applyBorder="1" applyAlignment="1" applyProtection="1">
      <alignment horizontal="center" vertical="top" textRotation="255" wrapText="1" shrinkToFit="1"/>
      <protection locked="0"/>
    </xf>
    <xf numFmtId="0" fontId="18" fillId="0" borderId="22" xfId="1" applyFont="1" applyBorder="1" applyAlignment="1" applyProtection="1">
      <alignment horizontal="center" vertical="top" textRotation="255" wrapText="1" shrinkToFit="1"/>
      <protection locked="0"/>
    </xf>
  </cellXfs>
  <cellStyles count="7">
    <cellStyle name="ハイパーリンク 2" xfId="3" xr:uid="{2E4C8D4F-7964-4B8E-842F-4AE697D6EE6E}"/>
    <cellStyle name="標準" xfId="0" builtinId="0"/>
    <cellStyle name="標準 2" xfId="1" xr:uid="{E5AD4A75-45DF-4EBC-BF52-D6B8F7D17EB1}"/>
    <cellStyle name="標準 3" xfId="2" xr:uid="{A92B3924-BCF4-4F92-965F-FCB1A813975A}"/>
    <cellStyle name="標準 4" xfId="4" xr:uid="{E893B4D5-573A-4C30-8F77-65499A568A89}"/>
    <cellStyle name="標準 4 2" xfId="6" xr:uid="{9A2DDAF6-C907-4DCA-A0D2-A6597EDE3303}"/>
    <cellStyle name="標準 5" xfId="5" xr:uid="{D19952CB-7F10-438C-B160-3F5B511F0B40}"/>
  </cellStyles>
  <dxfs count="688">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theme="0" tint="-0.24994659260841701"/>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ill>
        <patternFill>
          <bgColor theme="0" tint="-4.9989318521683403E-2"/>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theme="0" tint="-4.9989318521683403E-2"/>
        </patternFill>
      </fill>
    </dxf>
    <dxf>
      <fill>
        <patternFill>
          <bgColor rgb="FFCCFFCC"/>
        </patternFill>
      </fill>
    </dxf>
    <dxf>
      <fill>
        <patternFill>
          <bgColor theme="0" tint="-4.9989318521683403E-2"/>
        </patternFill>
      </fill>
    </dxf>
    <dxf>
      <fill>
        <patternFill>
          <bgColor rgb="FFCCFFCC"/>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theme="0" tint="-4.9989318521683403E-2"/>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theme="0" tint="-4.9989318521683403E-2"/>
        </patternFill>
      </fill>
    </dxf>
    <dxf>
      <fill>
        <patternFill>
          <bgColor rgb="FFCCFFCC"/>
        </patternFill>
      </fill>
    </dxf>
    <dxf>
      <fill>
        <patternFill>
          <bgColor rgb="FFFFFF66"/>
        </patternFill>
      </fill>
    </dxf>
    <dxf>
      <fill>
        <patternFill>
          <bgColor rgb="FFCCECFF"/>
        </patternFill>
      </fill>
    </dxf>
    <dxf>
      <fill>
        <patternFill>
          <bgColor theme="0" tint="-4.9989318521683403E-2"/>
        </patternFill>
      </fill>
    </dxf>
    <dxf>
      <fill>
        <patternFill>
          <bgColor rgb="FFCCFFCC"/>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rgb="FFCCECFF"/>
        </patternFill>
      </fill>
    </dxf>
    <dxf>
      <fill>
        <patternFill>
          <bgColor theme="0" tint="-0.24994659260841701"/>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rgb="FFCCECFF"/>
        </patternFill>
      </fill>
    </dxf>
    <dxf>
      <fill>
        <patternFill>
          <bgColor rgb="FFFFFF66"/>
        </patternFill>
      </fill>
    </dxf>
    <dxf>
      <fill>
        <patternFill>
          <bgColor theme="0" tint="-0.24994659260841701"/>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rgb="FFCCECFF"/>
        </patternFill>
      </fill>
    </dxf>
    <dxf>
      <fill>
        <patternFill>
          <bgColor rgb="FFFFFF66"/>
        </patternFill>
      </fill>
    </dxf>
    <dxf>
      <fill>
        <patternFill>
          <bgColor theme="0" tint="-0.24994659260841701"/>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ECFF"/>
        </patternFill>
      </fill>
    </dxf>
    <dxf>
      <fill>
        <patternFill>
          <bgColor rgb="FFCCECFF"/>
        </patternFill>
      </fill>
    </dxf>
    <dxf>
      <font>
        <b/>
        <i val="0"/>
        <color rgb="FF9C0006"/>
      </font>
      <fill>
        <patternFill>
          <bgColor rgb="FFFFC7CE"/>
        </patternFill>
      </fill>
    </dxf>
    <dxf>
      <fill>
        <patternFill>
          <bgColor rgb="FFCCECFF"/>
        </patternFill>
      </fill>
    </dxf>
    <dxf>
      <fill>
        <patternFill>
          <bgColor rgb="FFCCECFF"/>
        </patternFill>
      </fill>
    </dxf>
    <dxf>
      <fill>
        <patternFill>
          <bgColor rgb="FFCCECFF"/>
        </patternFill>
      </fill>
    </dxf>
    <dxf>
      <fill>
        <patternFill>
          <bgColor theme="0" tint="-0.24994659260841701"/>
        </patternFill>
      </fill>
    </dxf>
    <dxf>
      <fill>
        <patternFill>
          <bgColor rgb="FFCCECFF"/>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ECFF"/>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theme="0" tint="-0.24994659260841701"/>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theme="0" tint="-0.24994659260841701"/>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ill>
        <patternFill>
          <bgColor rgb="FFCCECFF"/>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ECFF"/>
        </patternFill>
      </fill>
    </dxf>
    <dxf>
      <font>
        <b/>
        <i val="0"/>
        <color rgb="FF9C0006"/>
      </font>
      <fill>
        <patternFill>
          <bgColor rgb="FFFFC7CE"/>
        </patternFill>
      </fill>
    </dxf>
    <dxf>
      <fill>
        <patternFill>
          <bgColor theme="0" tint="-0.24994659260841701"/>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ill>
        <patternFill>
          <bgColor rgb="FFCCECFF"/>
        </patternFill>
      </fill>
    </dxf>
    <dxf>
      <font>
        <b/>
        <i/>
        <color theme="0"/>
      </font>
      <fill>
        <patternFill>
          <bgColor rgb="FFFF0000"/>
        </patternFill>
      </fill>
    </dxf>
    <dxf>
      <fill>
        <patternFill>
          <bgColor rgb="FFCCECFF"/>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theme="0" tint="-0.24994659260841701"/>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9C0006"/>
      </font>
      <fill>
        <patternFill>
          <bgColor rgb="FFFFC7CE"/>
        </patternFill>
      </fill>
    </dxf>
    <dxf>
      <fill>
        <patternFill>
          <bgColor theme="0" tint="-0.24994659260841701"/>
        </patternFill>
      </fill>
    </dxf>
    <dxf>
      <fill>
        <patternFill>
          <bgColor rgb="FFCCECFF"/>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condense val="0"/>
        <extend val="0"/>
        <color rgb="FF9C0006"/>
      </font>
      <fill>
        <patternFill>
          <bgColor rgb="FFFFC7CE"/>
        </patternFill>
      </fill>
    </dxf>
    <dxf>
      <border>
        <left style="thin">
          <color auto="1"/>
        </left>
        <right style="thin">
          <color auto="1"/>
        </right>
        <top style="thin">
          <color auto="1"/>
        </top>
        <vertical/>
        <horizontal/>
      </border>
    </dxf>
    <dxf>
      <fill>
        <patternFill>
          <bgColor rgb="FFCCFFCC"/>
        </patternFill>
      </fill>
    </dxf>
    <dxf>
      <fill>
        <patternFill>
          <bgColor rgb="FFCCFFCC"/>
        </patternFill>
      </fill>
    </dxf>
    <dxf>
      <fill>
        <patternFill>
          <bgColor rgb="FFCCECFF"/>
        </patternFill>
      </fill>
    </dxf>
    <dxf>
      <font>
        <b/>
        <i/>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ont>
        <b/>
        <i val="0"/>
        <color theme="0"/>
      </font>
      <fill>
        <patternFill>
          <bgColor rgb="FFFF0000"/>
        </patternFill>
      </fill>
    </dxf>
    <dxf>
      <fill>
        <patternFill>
          <bgColor rgb="FFCCFFCC"/>
        </patternFill>
      </fill>
    </dxf>
    <dxf>
      <font>
        <b/>
        <i val="0"/>
        <color theme="0"/>
      </font>
      <fill>
        <patternFill>
          <bgColor rgb="FFFF0000"/>
        </patternFill>
      </fill>
    </dxf>
    <dxf>
      <fill>
        <patternFill>
          <bgColor rgb="FFCCECFF"/>
        </patternFill>
      </fill>
    </dxf>
    <dxf>
      <fill>
        <patternFill>
          <bgColor rgb="FFCCECFF"/>
        </patternFill>
      </fill>
    </dxf>
    <dxf>
      <fill>
        <patternFill>
          <bgColor rgb="FFCCFFCC"/>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FFFF66"/>
        </patternFill>
      </fill>
    </dxf>
    <dxf>
      <fill>
        <patternFill>
          <bgColor rgb="FFCCECFF"/>
        </patternFill>
      </fill>
    </dxf>
    <dxf>
      <fill>
        <patternFill>
          <bgColor rgb="FFCCFFC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ill>
        <patternFill>
          <bgColor theme="2" tint="-0.24994659260841701"/>
        </patternFill>
      </fill>
    </dxf>
    <dxf>
      <fill>
        <patternFill>
          <bgColor theme="2" tint="-0.2499465926084170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ill>
        <patternFill>
          <bgColor theme="2" tint="-0.2499465926084170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ill>
        <patternFill>
          <bgColor theme="2" tint="-0.24994659260841701"/>
        </patternFill>
      </fill>
    </dxf>
    <dxf>
      <fill>
        <patternFill>
          <bgColor theme="2" tint="-0.2499465926084170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ont>
        <color rgb="FF9C0006"/>
      </font>
      <fill>
        <patternFill>
          <bgColor rgb="FFFFC7CE"/>
        </patternFill>
      </fill>
    </dxf>
    <dxf>
      <font>
        <color rgb="FF9C0006"/>
      </font>
      <fill>
        <patternFill>
          <bgColor rgb="FFFFC7CE"/>
        </patternFill>
      </fill>
    </dxf>
    <dxf>
      <font>
        <color rgb="FFFF0000"/>
      </font>
      <fill>
        <patternFill patternType="none">
          <bgColor auto="1"/>
        </patternFill>
      </fill>
    </dxf>
    <dxf>
      <font>
        <color rgb="FFFF0000"/>
      </font>
      <fill>
        <patternFill patternType="none">
          <bgColor auto="1"/>
        </patternFill>
      </fill>
    </dxf>
    <dxf>
      <font>
        <b/>
        <i val="0"/>
        <color rgb="FFFF0000"/>
      </font>
      <fill>
        <patternFill patternType="none">
          <bgColor auto="1"/>
        </patternFill>
      </fill>
    </dxf>
    <dxf>
      <font>
        <color rgb="FF9C0006"/>
      </font>
      <fill>
        <patternFill>
          <bgColor rgb="FFFFC7CE"/>
        </patternFill>
      </fill>
    </dxf>
    <dxf>
      <font>
        <color rgb="FF9C0006"/>
      </font>
      <fill>
        <patternFill>
          <bgColor rgb="FFFFC7CE"/>
        </patternFill>
      </fill>
    </dxf>
    <dxf>
      <font>
        <color rgb="FFFF0000"/>
      </font>
      <fill>
        <patternFill patternType="none">
          <bgColor auto="1"/>
        </patternFill>
      </fill>
    </dxf>
    <dxf>
      <font>
        <color rgb="FFFF0000"/>
      </font>
      <fill>
        <patternFill patternType="none">
          <bgColor auto="1"/>
        </patternFill>
      </fill>
    </dxf>
    <dxf>
      <font>
        <b/>
        <i val="0"/>
        <color rgb="FFFF0000"/>
      </font>
      <fill>
        <patternFill patternType="none">
          <bgColor auto="1"/>
        </patternFill>
      </fill>
    </dxf>
    <dxf>
      <font>
        <color theme="1"/>
      </font>
      <fill>
        <patternFill>
          <bgColor rgb="FFFFFF00"/>
        </patternFill>
      </fill>
    </dxf>
    <dxf>
      <font>
        <color rgb="FF9C0006"/>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ont>
        <color rgb="FF9C0006"/>
      </font>
    </dxf>
    <dxf>
      <font>
        <color rgb="FF9C0006"/>
      </font>
      <fill>
        <patternFill>
          <bgColor rgb="FFFFC7CE"/>
        </patternFill>
      </fill>
    </dxf>
    <dxf>
      <font>
        <color rgb="FF9C0006"/>
      </font>
      <fill>
        <patternFill>
          <bgColor rgb="FFFFC7CE"/>
        </patternFill>
      </fill>
    </dxf>
    <dxf>
      <font>
        <color rgb="FFFF0000"/>
      </font>
      <fill>
        <patternFill patternType="none">
          <bgColor auto="1"/>
        </patternFill>
      </fill>
    </dxf>
    <dxf>
      <font>
        <color rgb="FFFF0000"/>
      </font>
      <fill>
        <patternFill patternType="none">
          <bgColor auto="1"/>
        </patternFill>
      </fill>
    </dxf>
    <dxf>
      <font>
        <b/>
        <i val="0"/>
        <color rgb="FFFF0000"/>
      </font>
      <fill>
        <patternFill patternType="none">
          <bgColor auto="1"/>
        </patternFill>
      </fill>
    </dxf>
    <dxf>
      <font>
        <color theme="1"/>
      </font>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
      <fill>
        <patternFill>
          <bgColor theme="2" tint="-0.2499465926084170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00B0F0"/>
        </patternFill>
      </fill>
    </dxf>
    <dxf>
      <fill>
        <patternFill>
          <bgColor theme="6"/>
        </patternFill>
      </fill>
    </dxf>
    <dxf>
      <fill>
        <patternFill>
          <bgColor theme="7" tint="0.59996337778862885"/>
        </patternFill>
      </fill>
    </dxf>
    <dxf>
      <fill>
        <patternFill>
          <bgColor theme="8"/>
        </patternFill>
      </fill>
    </dxf>
    <dxf>
      <fill>
        <patternFill>
          <bgColor rgb="FF7030A0"/>
        </patternFill>
      </fill>
    </dxf>
    <dxf>
      <fill>
        <patternFill>
          <bgColor theme="5" tint="0.39994506668294322"/>
        </patternFill>
      </fill>
    </dxf>
    <dxf>
      <fill>
        <patternFill>
          <bgColor theme="6" tint="-0.24994659260841701"/>
        </patternFill>
      </fill>
    </dxf>
    <dxf>
      <font>
        <color rgb="FF9C0006"/>
      </font>
    </dxf>
  </dxfs>
  <tableStyles count="0" defaultTableStyle="TableStyleMedium2" defaultPivotStyle="PivotStyleLight16"/>
  <colors>
    <mruColors>
      <color rgb="FFFFCCFF"/>
      <color rgb="FFFF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externalLink" Target="externalLinks/externalLink14.xml"/><Relationship Id="rId21" Type="http://schemas.openxmlformats.org/officeDocument/2006/relationships/worksheet" Target="worksheets/sheet21.xml"/><Relationship Id="rId34" Type="http://schemas.openxmlformats.org/officeDocument/2006/relationships/externalLink" Target="externalLinks/externalLink9.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externalLink" Target="externalLinks/externalLink12.xml"/><Relationship Id="rId40" Type="http://schemas.openxmlformats.org/officeDocument/2006/relationships/externalLink" Target="externalLinks/externalLink1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externalLink" Target="externalLinks/externalLink1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externalLink" Target="externalLinks/externalLink13.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1]開講スケジュール!$D$10" fmlaRange="[1]開講スケジュール!$I$10:$I$13" sel="0" val="0"/>
</file>

<file path=xl/ctrlProps/ctrlProp4.xml><?xml version="1.0" encoding="utf-8"?>
<formControlPr xmlns="http://schemas.microsoft.com/office/spreadsheetml/2009/9/main" objectType="Drop" dropLines="4" dropStyle="combo" dx="16" fmlaLink="[2]開講スケジュール!$D$10" fmlaRange="[2]開講スケジュール!$I$10:$I$13" sel="0" val="0"/>
</file>

<file path=xl/ctrlProps/ctrlProp5.xml><?xml version="1.0" encoding="utf-8"?>
<formControlPr xmlns="http://schemas.microsoft.com/office/spreadsheetml/2009/9/main" objectType="Drop" dropLines="4" dropStyle="combo" dx="16" fmlaLink="[3]開講スケジュール!$D$10" fmlaRange="[3]開講スケジュール!$I$10:$I$13" sel="0" val="0"/>
</file>

<file path=xl/ctrlProps/ctrlProp6.xml><?xml version="1.0" encoding="utf-8"?>
<formControlPr xmlns="http://schemas.microsoft.com/office/spreadsheetml/2009/9/main" objectType="Drop" dropLines="4" dropStyle="combo" dx="16" fmlaLink="[4]開講スケジュール!$D$10" fmlaRange="[4]開講スケジュール!$I$10:$I$13" sel="0" val="0"/>
</file>

<file path=xl/ctrlProps/ctrlProp7.xml><?xml version="1.0" encoding="utf-8"?>
<formControlPr xmlns="http://schemas.microsoft.com/office/spreadsheetml/2009/9/main" objectType="Drop" dropLines="4" dropStyle="combo" dx="16" fmlaLink="[10]開講スケジュール!$D$10" fmlaRange="[10]開講スケジュール!$I$10:$I$13" sel="0" val="0"/>
</file>

<file path=xl/ctrlProps/ctrlProp8.xml><?xml version="1.0" encoding="utf-8"?>
<formControlPr xmlns="http://schemas.microsoft.com/office/spreadsheetml/2009/9/main" objectType="Drop" dropLines="4" dropStyle="combo" dx="16" fmlaLink="[5]開講スケジュール!$D$10" fmlaRange="[5]開講スケジュール!$I$10:$I$13" sel="0" val="0"/>
</file>

<file path=xl/ctrlProps/ctrlProp9.xml><?xml version="1.0" encoding="utf-8"?>
<formControlPr xmlns="http://schemas.microsoft.com/office/spreadsheetml/2009/9/main" objectType="Drop" dropLines="4" dropStyle="combo" dx="16" fmlaLink="[6]開講スケジュール!$D$10" fmlaRange="[6]開講スケジュール!$I$10:$I$13" sel="0" val="0"/>
</file>

<file path=xl/ctrlProps/ctrlProp10.xml><?xml version="1.0" encoding="utf-8"?>
<formControlPr xmlns="http://schemas.microsoft.com/office/spreadsheetml/2009/9/main" objectType="Drop" dropLines="4" dropStyle="combo" dx="16" fmlaLink="[7]開講スケジュール!$D$10" fmlaRange="[7]開講スケジュール!$I$10:$I$13" sel="0" val="0"/>
</file>

<file path=xl/ctrlProps/ctrlProp11.xml><?xml version="1.0" encoding="utf-8"?>
<formControlPr xmlns="http://schemas.microsoft.com/office/spreadsheetml/2009/9/main" objectType="Drop" dropLines="4" dropStyle="combo" dx="16" fmlaLink="[8]開講スケジュール!$D$10" fmlaRange="[8]開講スケジュール!$I$10:$I$13" sel="0" val="0"/>
</file>

<file path=xl/ctrlProps/ctrlProp12.xml><?xml version="1.0" encoding="utf-8"?>
<formControlPr xmlns="http://schemas.microsoft.com/office/spreadsheetml/2009/9/main" objectType="Drop" dropLines="4" dropStyle="combo" dx="16" fmlaLink="[9]開講スケジュール!$D$10" fmlaRange="[9]開講スケジュール!$I$10:$I$13" sel="0" val="0"/>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29</xdr:col>
      <xdr:colOff>252730</xdr:colOff>
      <xdr:row>5</xdr:row>
      <xdr:rowOff>162560</xdr:rowOff>
    </xdr:from>
    <xdr:to>
      <xdr:col>37</xdr:col>
      <xdr:colOff>8890</xdr:colOff>
      <xdr:row>11</xdr:row>
      <xdr:rowOff>45720</xdr:rowOff>
    </xdr:to>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2874010" y="1221740"/>
          <a:ext cx="2316480" cy="8966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田中さんへ</a:t>
          </a:r>
          <a:endParaRPr kumimoji="1" lang="en-US" altLang="ja-JP" sz="1100"/>
        </a:p>
        <a:p>
          <a:pPr algn="l"/>
          <a:r>
            <a:rPr kumimoji="1" lang="ja-JP" altLang="en-US" sz="1100"/>
            <a:t>教室数が正しく表示できるように修正しました（上原）</a:t>
          </a:r>
          <a:endParaRPr kumimoji="1" lang="en-US" altLang="ja-JP" sz="1100"/>
        </a:p>
        <a:p>
          <a:pPr algn="l"/>
          <a:r>
            <a:rPr kumimoji="1" lang="ja-JP" altLang="en-US" sz="1100"/>
            <a:t>→ありがとうございます！</a:t>
          </a:r>
        </a:p>
      </xdr:txBody>
    </xdr:sp>
    <xdr:clientData/>
  </xdr:twoCellAnchor>
  <xdr:twoCellAnchor>
    <xdr:from>
      <xdr:col>58</xdr:col>
      <xdr:colOff>104775</xdr:colOff>
      <xdr:row>12</xdr:row>
      <xdr:rowOff>76200</xdr:rowOff>
    </xdr:from>
    <xdr:to>
      <xdr:col>59</xdr:col>
      <xdr:colOff>66675</xdr:colOff>
      <xdr:row>12</xdr:row>
      <xdr:rowOff>76200</xdr:rowOff>
    </xdr:to>
    <xdr:cxnSp macro="">
      <xdr:nvCxnSpPr>
        <xdr:cNvPr id="4" name="直線矢印コネクタ 3">
          <a:extLst>
            <a:ext uri="{FF2B5EF4-FFF2-40B4-BE49-F238E27FC236}">
              <a16:creationId xmlns:a16="http://schemas.microsoft.com/office/drawing/2014/main" id="{00000000-0008-0000-0000-000004000000}"/>
            </a:ext>
          </a:extLst>
        </xdr:cNvPr>
        <xdr:cNvCxnSpPr/>
      </xdr:nvCxnSpPr>
      <xdr:spPr>
        <a:xfrm flipH="1">
          <a:off x="11410950" y="2076450"/>
          <a:ext cx="2667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76200</xdr:rowOff>
        </xdr:from>
        <xdr:to>
          <xdr:col>3</xdr:col>
          <xdr:colOff>0</xdr:colOff>
          <xdr:row>2</xdr:row>
          <xdr:rowOff>144780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1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000" b="0" i="0" u="none" strike="noStrike" baseline="0">
                  <a:solidFill>
                    <a:srgbClr val="000000"/>
                  </a:solidFill>
                  <a:latin typeface="Arial"/>
                  <a:cs typeface="Arial"/>
                </a:rPr>
                <a:t>日別計画表読込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144780</xdr:colOff>
          <xdr:row>3</xdr:row>
          <xdr:rowOff>76200</xdr:rowOff>
        </xdr:from>
        <xdr:to>
          <xdr:col>3</xdr:col>
          <xdr:colOff>0</xdr:colOff>
          <xdr:row>4</xdr:row>
          <xdr:rowOff>144780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1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000" b="0" i="0" u="none" strike="noStrike" baseline="0">
                  <a:solidFill>
                    <a:srgbClr val="000000"/>
                  </a:solidFill>
                  <a:latin typeface="Arial"/>
                  <a:cs typeface="Arial"/>
                </a:rPr>
                <a:t>日程表読込</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12</xdr:row>
      <xdr:rowOff>66675</xdr:rowOff>
    </xdr:from>
    <xdr:to>
      <xdr:col>2</xdr:col>
      <xdr:colOff>381559</xdr:colOff>
      <xdr:row>27</xdr:row>
      <xdr:rowOff>39832</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90500" y="2009775"/>
          <a:ext cx="2048434" cy="2402032"/>
        </a:xfrm>
        <a:prstGeom prst="rect">
          <a:avLst/>
        </a:prstGeom>
        <a:ln w="19050">
          <a:solidFill>
            <a:schemeClr val="tx1"/>
          </a:solidFill>
        </a:ln>
      </xdr:spPr>
    </xdr:pic>
    <xdr:clientData/>
  </xdr:twoCellAnchor>
  <xdr:twoCellAnchor editAs="oneCell">
    <xdr:from>
      <xdr:col>2</xdr:col>
      <xdr:colOff>485775</xdr:colOff>
      <xdr:row>12</xdr:row>
      <xdr:rowOff>66675</xdr:rowOff>
    </xdr:from>
    <xdr:to>
      <xdr:col>7</xdr:col>
      <xdr:colOff>172009</xdr:colOff>
      <xdr:row>27</xdr:row>
      <xdr:rowOff>33736</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343150" y="2009775"/>
          <a:ext cx="2048434" cy="2395936"/>
        </a:xfrm>
        <a:prstGeom prst="rect">
          <a:avLst/>
        </a:prstGeom>
        <a:ln w="19050">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8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8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8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9</xdr:col>
          <xdr:colOff>0</xdr:colOff>
          <xdr:row>1</xdr:row>
          <xdr:rowOff>228600</xdr:rowOff>
        </xdr:to>
        <xdr:sp macro="" textlink="">
          <xdr:nvSpPr>
            <xdr:cNvPr id="494593" name="来所日選択" hidden="1">
              <a:extLst>
                <a:ext uri="{63B3BB69-23CF-44E3-9099-C40C66FF867C}">
                  <a14:compatExt spid="_x0000_s494593"/>
                </a:ext>
                <a:ext uri="{FF2B5EF4-FFF2-40B4-BE49-F238E27FC236}">
                  <a16:creationId xmlns:a16="http://schemas.microsoft.com/office/drawing/2014/main" id="{00000000-0008-0000-1800-0000018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8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8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8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8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8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8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8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9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9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9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312420</xdr:colOff>
          <xdr:row>0</xdr:row>
          <xdr:rowOff>182880</xdr:rowOff>
        </xdr:from>
        <xdr:to>
          <xdr:col>8</xdr:col>
          <xdr:colOff>312420</xdr:colOff>
          <xdr:row>1</xdr:row>
          <xdr:rowOff>228600</xdr:rowOff>
        </xdr:to>
        <xdr:sp macro="" textlink="">
          <xdr:nvSpPr>
            <xdr:cNvPr id="505857" name="来所日選択" hidden="1">
              <a:extLst>
                <a:ext uri="{63B3BB69-23CF-44E3-9099-C40C66FF867C}">
                  <a14:compatExt spid="_x0000_s505857"/>
                </a:ext>
                <a:ext uri="{FF2B5EF4-FFF2-40B4-BE49-F238E27FC236}">
                  <a16:creationId xmlns:a16="http://schemas.microsoft.com/office/drawing/2014/main" id="{00000000-0008-0000-1900-000001B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9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9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9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9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9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9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9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A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A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A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9</xdr:col>
          <xdr:colOff>0</xdr:colOff>
          <xdr:row>1</xdr:row>
          <xdr:rowOff>228600</xdr:rowOff>
        </xdr:to>
        <xdr:sp macro="" textlink="">
          <xdr:nvSpPr>
            <xdr:cNvPr id="497665" name="来所日選択" hidden="1">
              <a:extLst>
                <a:ext uri="{63B3BB69-23CF-44E3-9099-C40C66FF867C}">
                  <a14:compatExt spid="_x0000_s497665"/>
                </a:ext>
                <a:ext uri="{FF2B5EF4-FFF2-40B4-BE49-F238E27FC236}">
                  <a16:creationId xmlns:a16="http://schemas.microsoft.com/office/drawing/2014/main" id="{00000000-0008-0000-1A00-0000019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A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A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A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A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A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A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A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B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B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B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8</xdr:col>
          <xdr:colOff>335280</xdr:colOff>
          <xdr:row>1</xdr:row>
          <xdr:rowOff>228600</xdr:rowOff>
        </xdr:to>
        <xdr:sp macro="" textlink="">
          <xdr:nvSpPr>
            <xdr:cNvPr id="420865" name="来所日選択" hidden="1">
              <a:extLst>
                <a:ext uri="{63B3BB69-23CF-44E3-9099-C40C66FF867C}">
                  <a14:compatExt spid="_x0000_s420865"/>
                </a:ext>
                <a:ext uri="{FF2B5EF4-FFF2-40B4-BE49-F238E27FC236}">
                  <a16:creationId xmlns:a16="http://schemas.microsoft.com/office/drawing/2014/main" id="{00000000-0008-0000-1B00-0000016C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B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B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B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B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B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B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B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C00-000002000000}"/>
            </a:ext>
          </a:extLst>
        </xdr:cNvPr>
        <xdr:cNvSpPr txBox="1"/>
      </xdr:nvSpPr>
      <xdr:spPr>
        <a:xfrm>
          <a:off x="11302504" y="14058020"/>
          <a:ext cx="3434010" cy="89822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290430</xdr:colOff>
      <xdr:row>35</xdr:row>
      <xdr:rowOff>59124</xdr:rowOff>
    </xdr:to>
    <xdr:sp macro="" textlink="">
      <xdr:nvSpPr>
        <xdr:cNvPr id="3" name="角丸四角形 6">
          <a:extLst>
            <a:ext uri="{FF2B5EF4-FFF2-40B4-BE49-F238E27FC236}">
              <a16:creationId xmlns:a16="http://schemas.microsoft.com/office/drawing/2014/main" id="{00000000-0008-0000-1C00-000003000000}"/>
            </a:ext>
          </a:extLst>
        </xdr:cNvPr>
        <xdr:cNvSpPr/>
      </xdr:nvSpPr>
      <xdr:spPr>
        <a:xfrm>
          <a:off x="11526482" y="5593332"/>
          <a:ext cx="4751978" cy="133268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C00-000004000000}"/>
            </a:ext>
          </a:extLst>
        </xdr:cNvPr>
        <xdr:cNvSpPr/>
      </xdr:nvSpPr>
      <xdr:spPr>
        <a:xfrm>
          <a:off x="65411" y="99060"/>
          <a:ext cx="3088475" cy="42672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312420</xdr:colOff>
          <xdr:row>0</xdr:row>
          <xdr:rowOff>182880</xdr:rowOff>
        </xdr:from>
        <xdr:to>
          <xdr:col>8</xdr:col>
          <xdr:colOff>312420</xdr:colOff>
          <xdr:row>1</xdr:row>
          <xdr:rowOff>228600</xdr:rowOff>
        </xdr:to>
        <xdr:sp macro="" textlink="">
          <xdr:nvSpPr>
            <xdr:cNvPr id="577537" name="来所日選択" hidden="1">
              <a:extLst>
                <a:ext uri="{63B3BB69-23CF-44E3-9099-C40C66FF867C}">
                  <a14:compatExt spid="_x0000_s577537"/>
                </a:ext>
                <a:ext uri="{FF2B5EF4-FFF2-40B4-BE49-F238E27FC236}">
                  <a16:creationId xmlns:a16="http://schemas.microsoft.com/office/drawing/2014/main" id="{00000000-0008-0000-1C00-000001D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6" name="テキスト ボックス 5">
          <a:extLst>
            <a:ext uri="{FF2B5EF4-FFF2-40B4-BE49-F238E27FC236}">
              <a16:creationId xmlns:a16="http://schemas.microsoft.com/office/drawing/2014/main" id="{00000000-0008-0000-1C00-000006000000}"/>
            </a:ext>
          </a:extLst>
        </xdr:cNvPr>
        <xdr:cNvSpPr txBox="1"/>
      </xdr:nvSpPr>
      <xdr:spPr>
        <a:xfrm>
          <a:off x="11233514" y="9695092"/>
          <a:ext cx="3622406" cy="93437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7" name="テキスト ボックス 6">
          <a:extLst>
            <a:ext uri="{FF2B5EF4-FFF2-40B4-BE49-F238E27FC236}">
              <a16:creationId xmlns:a16="http://schemas.microsoft.com/office/drawing/2014/main" id="{00000000-0008-0000-1C00-000007000000}"/>
            </a:ext>
          </a:extLst>
        </xdr:cNvPr>
        <xdr:cNvSpPr txBox="1"/>
      </xdr:nvSpPr>
      <xdr:spPr>
        <a:xfrm>
          <a:off x="11332826" y="18251535"/>
          <a:ext cx="3434010" cy="111020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8" name="テキスト ボックス 7">
          <a:extLst>
            <a:ext uri="{FF2B5EF4-FFF2-40B4-BE49-F238E27FC236}">
              <a16:creationId xmlns:a16="http://schemas.microsoft.com/office/drawing/2014/main" id="{00000000-0008-0000-1C00-000008000000}"/>
            </a:ext>
          </a:extLst>
        </xdr:cNvPr>
        <xdr:cNvSpPr txBox="1"/>
      </xdr:nvSpPr>
      <xdr:spPr>
        <a:xfrm>
          <a:off x="11300145" y="22481201"/>
          <a:ext cx="3434010" cy="110793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60507</xdr:rowOff>
    </xdr:to>
    <xdr:sp macro="" textlink="">
      <xdr:nvSpPr>
        <xdr:cNvPr id="9" name="角丸四角形 10">
          <a:extLst>
            <a:ext uri="{FF2B5EF4-FFF2-40B4-BE49-F238E27FC236}">
              <a16:creationId xmlns:a16="http://schemas.microsoft.com/office/drawing/2014/main" id="{00000000-0008-0000-1C00-000009000000}"/>
            </a:ext>
          </a:extLst>
        </xdr:cNvPr>
        <xdr:cNvSpPr/>
      </xdr:nvSpPr>
      <xdr:spPr>
        <a:xfrm>
          <a:off x="11173119" y="60396"/>
          <a:ext cx="6091915" cy="149490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57967</xdr:colOff>
      <xdr:row>168</xdr:row>
      <xdr:rowOff>862619</xdr:rowOff>
    </xdr:to>
    <xdr:sp macro="" textlink="">
      <xdr:nvSpPr>
        <xdr:cNvPr id="10" name="左矢印吹き出し 12">
          <a:extLst>
            <a:ext uri="{FF2B5EF4-FFF2-40B4-BE49-F238E27FC236}">
              <a16:creationId xmlns:a16="http://schemas.microsoft.com/office/drawing/2014/main" id="{00000000-0008-0000-1C00-00000A000000}"/>
            </a:ext>
          </a:extLst>
        </xdr:cNvPr>
        <xdr:cNvSpPr/>
      </xdr:nvSpPr>
      <xdr:spPr>
        <a:xfrm>
          <a:off x="9166231" y="29835318"/>
          <a:ext cx="4901106" cy="123425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1016093</xdr:colOff>
      <xdr:row>176</xdr:row>
      <xdr:rowOff>135912</xdr:rowOff>
    </xdr:to>
    <xdr:sp macro="" textlink="">
      <xdr:nvSpPr>
        <xdr:cNvPr id="11" name="左矢印吹き出し 13">
          <a:extLst>
            <a:ext uri="{FF2B5EF4-FFF2-40B4-BE49-F238E27FC236}">
              <a16:creationId xmlns:a16="http://schemas.microsoft.com/office/drawing/2014/main" id="{00000000-0008-0000-1C00-00000B000000}"/>
            </a:ext>
          </a:extLst>
        </xdr:cNvPr>
        <xdr:cNvSpPr/>
      </xdr:nvSpPr>
      <xdr:spPr>
        <a:xfrm>
          <a:off x="13242119" y="31775650"/>
          <a:ext cx="4083314" cy="117071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57967</xdr:rowOff>
    </xdr:to>
    <xdr:sp macro="" textlink="">
      <xdr:nvSpPr>
        <xdr:cNvPr id="12" name="左矢印吹き出し 14">
          <a:extLst>
            <a:ext uri="{FF2B5EF4-FFF2-40B4-BE49-F238E27FC236}">
              <a16:creationId xmlns:a16="http://schemas.microsoft.com/office/drawing/2014/main" id="{00000000-0008-0000-1C00-00000C000000}"/>
            </a:ext>
          </a:extLst>
        </xdr:cNvPr>
        <xdr:cNvSpPr/>
      </xdr:nvSpPr>
      <xdr:spPr>
        <a:xfrm>
          <a:off x="11138428" y="1751217"/>
          <a:ext cx="6239776" cy="183100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D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D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D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8</xdr:col>
          <xdr:colOff>335280</xdr:colOff>
          <xdr:row>2</xdr:row>
          <xdr:rowOff>0</xdr:rowOff>
        </xdr:to>
        <xdr:sp macro="" textlink="">
          <xdr:nvSpPr>
            <xdr:cNvPr id="496641" name="来所日選択" hidden="1">
              <a:extLst>
                <a:ext uri="{63B3BB69-23CF-44E3-9099-C40C66FF867C}">
                  <a14:compatExt spid="_x0000_s496641"/>
                </a:ext>
                <a:ext uri="{FF2B5EF4-FFF2-40B4-BE49-F238E27FC236}">
                  <a16:creationId xmlns:a16="http://schemas.microsoft.com/office/drawing/2014/main" id="{00000000-0008-0000-1D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D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D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D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D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D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D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D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E00-000002000000}"/>
            </a:ext>
          </a:extLst>
        </xdr:cNvPr>
        <xdr:cNvSpPr txBox="1"/>
      </xdr:nvSpPr>
      <xdr:spPr>
        <a:xfrm>
          <a:off x="12143244" y="14111995"/>
          <a:ext cx="3724840" cy="89758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E00-000003000000}"/>
            </a:ext>
          </a:extLst>
        </xdr:cNvPr>
        <xdr:cNvSpPr/>
      </xdr:nvSpPr>
      <xdr:spPr>
        <a:xfrm>
          <a:off x="12367222" y="5635877"/>
          <a:ext cx="514821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E00-000004000000}"/>
            </a:ext>
          </a:extLst>
        </xdr:cNvPr>
        <xdr:cNvSpPr/>
      </xdr:nvSpPr>
      <xdr:spPr>
        <a:xfrm>
          <a:off x="66681" y="101600"/>
          <a:ext cx="3307550" cy="43180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312420</xdr:colOff>
          <xdr:row>0</xdr:row>
          <xdr:rowOff>182880</xdr:rowOff>
        </xdr:from>
        <xdr:to>
          <xdr:col>8</xdr:col>
          <xdr:colOff>312420</xdr:colOff>
          <xdr:row>1</xdr:row>
          <xdr:rowOff>228600</xdr:rowOff>
        </xdr:to>
        <xdr:sp macro="" textlink="">
          <xdr:nvSpPr>
            <xdr:cNvPr id="551937" name="来所日選択" hidden="1">
              <a:extLst>
                <a:ext uri="{63B3BB69-23CF-44E3-9099-C40C66FF867C}">
                  <a14:compatExt spid="_x0000_s551937"/>
                </a:ext>
                <a:ext uri="{FF2B5EF4-FFF2-40B4-BE49-F238E27FC236}">
                  <a16:creationId xmlns:a16="http://schemas.microsoft.com/office/drawing/2014/main" id="{00000000-0008-0000-1E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6" name="テキスト ボックス 5">
          <a:extLst>
            <a:ext uri="{FF2B5EF4-FFF2-40B4-BE49-F238E27FC236}">
              <a16:creationId xmlns:a16="http://schemas.microsoft.com/office/drawing/2014/main" id="{00000000-0008-0000-1E00-000006000000}"/>
            </a:ext>
          </a:extLst>
        </xdr:cNvPr>
        <xdr:cNvSpPr txBox="1"/>
      </xdr:nvSpPr>
      <xdr:spPr>
        <a:xfrm>
          <a:off x="12072984" y="9737002"/>
          <a:ext cx="391958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7" name="テキスト ボックス 6">
          <a:extLst>
            <a:ext uri="{FF2B5EF4-FFF2-40B4-BE49-F238E27FC236}">
              <a16:creationId xmlns:a16="http://schemas.microsoft.com/office/drawing/2014/main" id="{00000000-0008-0000-1E00-000007000000}"/>
            </a:ext>
          </a:extLst>
        </xdr:cNvPr>
        <xdr:cNvSpPr txBox="1"/>
      </xdr:nvSpPr>
      <xdr:spPr>
        <a:xfrm>
          <a:off x="12174836" y="18311860"/>
          <a:ext cx="372484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8" name="テキスト ボックス 7">
          <a:extLst>
            <a:ext uri="{FF2B5EF4-FFF2-40B4-BE49-F238E27FC236}">
              <a16:creationId xmlns:a16="http://schemas.microsoft.com/office/drawing/2014/main" id="{00000000-0008-0000-1E00-000008000000}"/>
            </a:ext>
          </a:extLst>
        </xdr:cNvPr>
        <xdr:cNvSpPr txBox="1"/>
      </xdr:nvSpPr>
      <xdr:spPr>
        <a:xfrm>
          <a:off x="12140885" y="22551051"/>
          <a:ext cx="372484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9" name="角丸四角形 10">
          <a:extLst>
            <a:ext uri="{FF2B5EF4-FFF2-40B4-BE49-F238E27FC236}">
              <a16:creationId xmlns:a16="http://schemas.microsoft.com/office/drawing/2014/main" id="{00000000-0008-0000-1E00-000009000000}"/>
            </a:ext>
          </a:extLst>
        </xdr:cNvPr>
        <xdr:cNvSpPr/>
      </xdr:nvSpPr>
      <xdr:spPr>
        <a:xfrm>
          <a:off x="12016399" y="56586"/>
          <a:ext cx="6507840" cy="1503156"/>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10" name="左矢印吹き出し 12">
          <a:extLst>
            <a:ext uri="{FF2B5EF4-FFF2-40B4-BE49-F238E27FC236}">
              <a16:creationId xmlns:a16="http://schemas.microsoft.com/office/drawing/2014/main" id="{00000000-0008-0000-1E00-00000A000000}"/>
            </a:ext>
          </a:extLst>
        </xdr:cNvPr>
        <xdr:cNvSpPr/>
      </xdr:nvSpPr>
      <xdr:spPr>
        <a:xfrm>
          <a:off x="9832346" y="29901993"/>
          <a:ext cx="5319571" cy="1228536"/>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1" name="左矢印吹き出し 13">
          <a:extLst>
            <a:ext uri="{FF2B5EF4-FFF2-40B4-BE49-F238E27FC236}">
              <a16:creationId xmlns:a16="http://schemas.microsoft.com/office/drawing/2014/main" id="{00000000-0008-0000-1E00-00000B000000}"/>
            </a:ext>
          </a:extLst>
        </xdr:cNvPr>
        <xdr:cNvSpPr/>
      </xdr:nvSpPr>
      <xdr:spPr>
        <a:xfrm>
          <a:off x="14244784" y="31839150"/>
          <a:ext cx="433604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2" name="左矢印吹き出し 14">
          <a:extLst>
            <a:ext uri="{FF2B5EF4-FFF2-40B4-BE49-F238E27FC236}">
              <a16:creationId xmlns:a16="http://schemas.microsoft.com/office/drawing/2014/main" id="{00000000-0008-0000-1E00-00000C000000}"/>
            </a:ext>
          </a:extLst>
        </xdr:cNvPr>
        <xdr:cNvSpPr/>
      </xdr:nvSpPr>
      <xdr:spPr>
        <a:xfrm>
          <a:off x="11958213" y="1754392"/>
          <a:ext cx="6679196" cy="184370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1F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1F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1F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8</xdr:col>
          <xdr:colOff>335280</xdr:colOff>
          <xdr:row>1</xdr:row>
          <xdr:rowOff>228600</xdr:rowOff>
        </xdr:to>
        <xdr:sp macro="" textlink="">
          <xdr:nvSpPr>
            <xdr:cNvPr id="498689" name="来所日選択" hidden="1">
              <a:extLst>
                <a:ext uri="{63B3BB69-23CF-44E3-9099-C40C66FF867C}">
                  <a14:compatExt spid="_x0000_s498689"/>
                </a:ext>
                <a:ext uri="{FF2B5EF4-FFF2-40B4-BE49-F238E27FC236}">
                  <a16:creationId xmlns:a16="http://schemas.microsoft.com/office/drawing/2014/main" id="{00000000-0008-0000-1F00-0000019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1F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1F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1F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1F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1F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1F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1F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2000-000002000000}"/>
            </a:ext>
          </a:extLst>
        </xdr:cNvPr>
        <xdr:cNvSpPr txBox="1"/>
      </xdr:nvSpPr>
      <xdr:spPr>
        <a:xfrm>
          <a:off x="11042154" y="14075800"/>
          <a:ext cx="3362890" cy="891873"/>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2000-000003000000}"/>
            </a:ext>
          </a:extLst>
        </xdr:cNvPr>
        <xdr:cNvSpPr/>
      </xdr:nvSpPr>
      <xdr:spPr>
        <a:xfrm>
          <a:off x="11266132" y="5595872"/>
          <a:ext cx="465672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2000-000004000000}"/>
            </a:ext>
          </a:extLst>
        </xdr:cNvPr>
        <xdr:cNvSpPr/>
      </xdr:nvSpPr>
      <xdr:spPr>
        <a:xfrm>
          <a:off x="66681" y="101600"/>
          <a:ext cx="3016085" cy="41656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335280</xdr:colOff>
          <xdr:row>0</xdr:row>
          <xdr:rowOff>182880</xdr:rowOff>
        </xdr:from>
        <xdr:to>
          <xdr:col>8</xdr:col>
          <xdr:colOff>335280</xdr:colOff>
          <xdr:row>1</xdr:row>
          <xdr:rowOff>228600</xdr:rowOff>
        </xdr:to>
        <xdr:sp macro="" textlink="">
          <xdr:nvSpPr>
            <xdr:cNvPr id="495617" name="来所日選択" hidden="1">
              <a:extLst>
                <a:ext uri="{63B3BB69-23CF-44E3-9099-C40C66FF867C}">
                  <a14:compatExt spid="_x0000_s495617"/>
                </a:ext>
                <a:ext uri="{FF2B5EF4-FFF2-40B4-BE49-F238E27FC236}">
                  <a16:creationId xmlns:a16="http://schemas.microsoft.com/office/drawing/2014/main" id="{00000000-0008-0000-2000-0000019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5" name="テキスト ボックス 4">
          <a:extLst>
            <a:ext uri="{FF2B5EF4-FFF2-40B4-BE49-F238E27FC236}">
              <a16:creationId xmlns:a16="http://schemas.microsoft.com/office/drawing/2014/main" id="{00000000-0008-0000-2000-000005000000}"/>
            </a:ext>
          </a:extLst>
        </xdr:cNvPr>
        <xdr:cNvSpPr txBox="1"/>
      </xdr:nvSpPr>
      <xdr:spPr>
        <a:xfrm>
          <a:off x="10971894" y="9698902"/>
          <a:ext cx="355763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6" name="テキスト ボックス 5">
          <a:extLst>
            <a:ext uri="{FF2B5EF4-FFF2-40B4-BE49-F238E27FC236}">
              <a16:creationId xmlns:a16="http://schemas.microsoft.com/office/drawing/2014/main" id="{00000000-0008-0000-2000-000006000000}"/>
            </a:ext>
          </a:extLst>
        </xdr:cNvPr>
        <xdr:cNvSpPr txBox="1"/>
      </xdr:nvSpPr>
      <xdr:spPr>
        <a:xfrm>
          <a:off x="11073746" y="18271855"/>
          <a:ext cx="336289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7" name="テキスト ボックス 6">
          <a:extLst>
            <a:ext uri="{FF2B5EF4-FFF2-40B4-BE49-F238E27FC236}">
              <a16:creationId xmlns:a16="http://schemas.microsoft.com/office/drawing/2014/main" id="{00000000-0008-0000-2000-000007000000}"/>
            </a:ext>
          </a:extLst>
        </xdr:cNvPr>
        <xdr:cNvSpPr txBox="1"/>
      </xdr:nvSpPr>
      <xdr:spPr>
        <a:xfrm>
          <a:off x="11039795" y="22512951"/>
          <a:ext cx="336289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8" name="角丸四角形 10">
          <a:extLst>
            <a:ext uri="{FF2B5EF4-FFF2-40B4-BE49-F238E27FC236}">
              <a16:creationId xmlns:a16="http://schemas.microsoft.com/office/drawing/2014/main" id="{00000000-0008-0000-2000-000008000000}"/>
            </a:ext>
          </a:extLst>
        </xdr:cNvPr>
        <xdr:cNvSpPr/>
      </xdr:nvSpPr>
      <xdr:spPr>
        <a:xfrm>
          <a:off x="10915309" y="56586"/>
          <a:ext cx="5983965" cy="1489821"/>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9" name="左矢印吹き出し 12">
          <a:extLst>
            <a:ext uri="{FF2B5EF4-FFF2-40B4-BE49-F238E27FC236}">
              <a16:creationId xmlns:a16="http://schemas.microsoft.com/office/drawing/2014/main" id="{00000000-0008-0000-2000-000009000000}"/>
            </a:ext>
          </a:extLst>
        </xdr:cNvPr>
        <xdr:cNvSpPr/>
      </xdr:nvSpPr>
      <xdr:spPr>
        <a:xfrm>
          <a:off x="8957951" y="29858178"/>
          <a:ext cx="4795696" cy="1230441"/>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0" name="左矢印吹き出し 13">
          <a:extLst>
            <a:ext uri="{FF2B5EF4-FFF2-40B4-BE49-F238E27FC236}">
              <a16:creationId xmlns:a16="http://schemas.microsoft.com/office/drawing/2014/main" id="{00000000-0008-0000-2000-00000A000000}"/>
            </a:ext>
          </a:extLst>
        </xdr:cNvPr>
        <xdr:cNvSpPr/>
      </xdr:nvSpPr>
      <xdr:spPr>
        <a:xfrm>
          <a:off x="12951289" y="31801050"/>
          <a:ext cx="400457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1" name="左矢印吹き出し 14">
          <a:extLst>
            <a:ext uri="{FF2B5EF4-FFF2-40B4-BE49-F238E27FC236}">
              <a16:creationId xmlns:a16="http://schemas.microsoft.com/office/drawing/2014/main" id="{00000000-0008-0000-2000-00000B000000}"/>
            </a:ext>
          </a:extLst>
        </xdr:cNvPr>
        <xdr:cNvSpPr/>
      </xdr:nvSpPr>
      <xdr:spPr>
        <a:xfrm>
          <a:off x="10881888" y="1741057"/>
          <a:ext cx="6130556" cy="183227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34</xdr:col>
      <xdr:colOff>160794</xdr:colOff>
      <xdr:row>72</xdr:row>
      <xdr:rowOff>215020</xdr:rowOff>
    </xdr:from>
    <xdr:to>
      <xdr:col>42</xdr:col>
      <xdr:colOff>56584</xdr:colOff>
      <xdr:row>76</xdr:row>
      <xdr:rowOff>169633</xdr:rowOff>
    </xdr:to>
    <xdr:sp macro="" textlink="">
      <xdr:nvSpPr>
        <xdr:cNvPr id="2" name="テキスト ボックス 1">
          <a:extLst>
            <a:ext uri="{FF2B5EF4-FFF2-40B4-BE49-F238E27FC236}">
              <a16:creationId xmlns:a16="http://schemas.microsoft.com/office/drawing/2014/main" id="{00000000-0008-0000-2100-000002000000}"/>
            </a:ext>
          </a:extLst>
        </xdr:cNvPr>
        <xdr:cNvSpPr txBox="1"/>
      </xdr:nvSpPr>
      <xdr:spPr>
        <a:xfrm>
          <a:off x="12143244" y="14111995"/>
          <a:ext cx="3724840" cy="89758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４か月目以降の訓練を行わない場合は、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384772</xdr:colOff>
      <xdr:row>29</xdr:row>
      <xdr:rowOff>101852</xdr:rowOff>
    </xdr:from>
    <xdr:to>
      <xdr:col>46</xdr:col>
      <xdr:colOff>294240</xdr:colOff>
      <xdr:row>35</xdr:row>
      <xdr:rowOff>56584</xdr:rowOff>
    </xdr:to>
    <xdr:sp macro="" textlink="">
      <xdr:nvSpPr>
        <xdr:cNvPr id="3" name="角丸四角形 6">
          <a:extLst>
            <a:ext uri="{FF2B5EF4-FFF2-40B4-BE49-F238E27FC236}">
              <a16:creationId xmlns:a16="http://schemas.microsoft.com/office/drawing/2014/main" id="{00000000-0008-0000-2100-000003000000}"/>
            </a:ext>
          </a:extLst>
        </xdr:cNvPr>
        <xdr:cNvSpPr/>
      </xdr:nvSpPr>
      <xdr:spPr>
        <a:xfrm>
          <a:off x="12367222" y="5635877"/>
          <a:ext cx="5148218" cy="1326332"/>
        </a:xfrm>
        <a:prstGeom prst="roundRect">
          <a:avLst/>
        </a:prstGeom>
        <a:ln w="38100">
          <a:solidFill>
            <a:srgbClr val="00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300" b="1">
              <a:latin typeface="+mn-ea"/>
              <a:ea typeface="+mn-ea"/>
            </a:rPr>
            <a:t>＜注意事項＞</a:t>
          </a:r>
          <a:endParaRPr kumimoji="1" lang="en-US" altLang="ja-JP" sz="1300" b="1">
            <a:latin typeface="+mn-ea"/>
            <a:ea typeface="+mn-ea"/>
          </a:endParaRPr>
        </a:p>
        <a:p>
          <a:pPr algn="l"/>
          <a:r>
            <a:rPr kumimoji="1" lang="ja-JP" altLang="en-US" sz="1300"/>
            <a:t>訓練内容は</a:t>
          </a:r>
          <a:r>
            <a:rPr kumimoji="1" lang="ja-JP" altLang="en-US" sz="1300" b="1">
              <a:solidFill>
                <a:srgbClr val="FF0000"/>
              </a:solidFill>
            </a:rPr>
            <a:t>単位月をまたがってセル複写しない</a:t>
          </a:r>
          <a:r>
            <a:rPr kumimoji="1" lang="ja-JP" altLang="en-US" sz="1300"/>
            <a:t>でください。</a:t>
          </a:r>
          <a:endParaRPr kumimoji="1" lang="en-US" altLang="ja-JP" sz="1300"/>
        </a:p>
        <a:p>
          <a:pPr algn="l"/>
          <a:r>
            <a:rPr kumimoji="1" lang="ja-JP" altLang="en-US" sz="1300"/>
            <a:t>単位月をまたがって複写する際は、必ず</a:t>
          </a:r>
          <a:r>
            <a:rPr kumimoji="1" lang="ja-JP" altLang="en-US" sz="1300" b="1" u="sng"/>
            <a:t>値の貼り付け</a:t>
          </a:r>
          <a:r>
            <a:rPr kumimoji="1" lang="ja-JP" altLang="en-US" sz="1300"/>
            <a:t>で</a:t>
          </a:r>
          <a:endParaRPr kumimoji="1" lang="en-US" altLang="ja-JP" sz="1300"/>
        </a:p>
        <a:p>
          <a:pPr algn="l"/>
          <a:r>
            <a:rPr kumimoji="1" lang="ja-JP" altLang="en-US" sz="1300"/>
            <a:t>行ってください。</a:t>
          </a:r>
          <a:r>
            <a:rPr kumimoji="1" lang="ja-JP" altLang="en-US" sz="1300" b="1">
              <a:solidFill>
                <a:srgbClr val="FF0000"/>
              </a:solidFill>
            </a:rPr>
            <a:t>各セルの色が崩れます。</a:t>
          </a:r>
        </a:p>
      </xdr:txBody>
    </xdr:sp>
    <xdr:clientData fPrintsWithSheet="0"/>
  </xdr:twoCellAnchor>
  <xdr:twoCellAnchor>
    <xdr:from>
      <xdr:col>0</xdr:col>
      <xdr:colOff>66681</xdr:colOff>
      <xdr:row>0</xdr:row>
      <xdr:rowOff>101600</xdr:rowOff>
    </xdr:from>
    <xdr:to>
      <xdr:col>9</xdr:col>
      <xdr:colOff>202406</xdr:colOff>
      <xdr:row>2</xdr:row>
      <xdr:rowOff>76200</xdr:rowOff>
    </xdr:to>
    <xdr:sp macro="" textlink="">
      <xdr:nvSpPr>
        <xdr:cNvPr id="4" name="角丸四角形 4">
          <a:extLst>
            <a:ext uri="{FF2B5EF4-FFF2-40B4-BE49-F238E27FC236}">
              <a16:creationId xmlns:a16="http://schemas.microsoft.com/office/drawing/2014/main" id="{00000000-0008-0000-2100-000004000000}"/>
            </a:ext>
          </a:extLst>
        </xdr:cNvPr>
        <xdr:cNvSpPr/>
      </xdr:nvSpPr>
      <xdr:spPr>
        <a:xfrm>
          <a:off x="66681" y="101600"/>
          <a:ext cx="3307550" cy="431800"/>
        </a:xfrm>
        <a:prstGeom prst="roundRect">
          <a:avLst/>
        </a:prstGeom>
        <a:solidFill>
          <a:srgbClr val="CCECFF">
            <a:alpha val="62000"/>
          </a:srgbClr>
        </a:solid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b="1">
              <a:solidFill>
                <a:srgbClr val="FF0000"/>
              </a:solidFill>
              <a:latin typeface="HG丸ｺﾞｼｯｸM-PRO" panose="020F0600000000000000" pitchFamily="50" charset="-128"/>
              <a:ea typeface="HG丸ｺﾞｼｯｸM-PRO" panose="020F0600000000000000" pitchFamily="50" charset="-128"/>
            </a:rPr>
            <a:t>ハローワーク来所日</a:t>
          </a:r>
          <a:endParaRPr kumimoji="1" lang="en-US" altLang="ja-JP" sz="1200" b="1">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4</xdr:col>
          <xdr:colOff>312420</xdr:colOff>
          <xdr:row>0</xdr:row>
          <xdr:rowOff>182880</xdr:rowOff>
        </xdr:from>
        <xdr:to>
          <xdr:col>8</xdr:col>
          <xdr:colOff>312420</xdr:colOff>
          <xdr:row>1</xdr:row>
          <xdr:rowOff>228600</xdr:rowOff>
        </xdr:to>
        <xdr:sp macro="" textlink="">
          <xdr:nvSpPr>
            <xdr:cNvPr id="552961" name="来所日選択" hidden="1">
              <a:extLst>
                <a:ext uri="{63B3BB69-23CF-44E3-9099-C40C66FF867C}">
                  <a14:compatExt spid="_x0000_s552961"/>
                </a:ext>
                <a:ext uri="{FF2B5EF4-FFF2-40B4-BE49-F238E27FC236}">
                  <a16:creationId xmlns:a16="http://schemas.microsoft.com/office/drawing/2014/main" id="{00000000-0008-0000-2100-0000017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90534</xdr:colOff>
      <xdr:row>50</xdr:row>
      <xdr:rowOff>135802</xdr:rowOff>
    </xdr:from>
    <xdr:to>
      <xdr:col>42</xdr:col>
      <xdr:colOff>181070</xdr:colOff>
      <xdr:row>54</xdr:row>
      <xdr:rowOff>158316</xdr:rowOff>
    </xdr:to>
    <xdr:sp macro="" textlink="">
      <xdr:nvSpPr>
        <xdr:cNvPr id="6" name="テキスト ボックス 5">
          <a:extLst>
            <a:ext uri="{FF2B5EF4-FFF2-40B4-BE49-F238E27FC236}">
              <a16:creationId xmlns:a16="http://schemas.microsoft.com/office/drawing/2014/main" id="{00000000-0008-0000-2100-000006000000}"/>
            </a:ext>
          </a:extLst>
        </xdr:cNvPr>
        <xdr:cNvSpPr txBox="1"/>
      </xdr:nvSpPr>
      <xdr:spPr>
        <a:xfrm>
          <a:off x="12072984" y="9737002"/>
          <a:ext cx="3919586" cy="936914"/>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ja-JP" altLang="en-US" sz="1400"/>
            <a:t>３か月目以降の訓練を行わない場合は、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192386</xdr:colOff>
      <xdr:row>94</xdr:row>
      <xdr:rowOff>90535</xdr:rowOff>
    </xdr:from>
    <xdr:to>
      <xdr:col>42</xdr:col>
      <xdr:colOff>88176</xdr:colOff>
      <xdr:row>99</xdr:row>
      <xdr:rowOff>56466</xdr:rowOff>
    </xdr:to>
    <xdr:sp macro="" textlink="">
      <xdr:nvSpPr>
        <xdr:cNvPr id="7" name="テキスト ボックス 6">
          <a:extLst>
            <a:ext uri="{FF2B5EF4-FFF2-40B4-BE49-F238E27FC236}">
              <a16:creationId xmlns:a16="http://schemas.microsoft.com/office/drawing/2014/main" id="{00000000-0008-0000-2100-000007000000}"/>
            </a:ext>
          </a:extLst>
        </xdr:cNvPr>
        <xdr:cNvSpPr txBox="1"/>
      </xdr:nvSpPr>
      <xdr:spPr>
        <a:xfrm>
          <a:off x="12174836" y="18311860"/>
          <a:ext cx="3724840" cy="1108931"/>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５か月目以降の訓練を行わない場合は、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xdr:from>
      <xdr:col>34</xdr:col>
      <xdr:colOff>158435</xdr:colOff>
      <xdr:row>115</xdr:row>
      <xdr:rowOff>33951</xdr:rowOff>
    </xdr:from>
    <xdr:to>
      <xdr:col>42</xdr:col>
      <xdr:colOff>54225</xdr:colOff>
      <xdr:row>119</xdr:row>
      <xdr:rowOff>226219</xdr:rowOff>
    </xdr:to>
    <xdr:sp macro="" textlink="">
      <xdr:nvSpPr>
        <xdr:cNvPr id="8" name="テキスト ボックス 7">
          <a:extLst>
            <a:ext uri="{FF2B5EF4-FFF2-40B4-BE49-F238E27FC236}">
              <a16:creationId xmlns:a16="http://schemas.microsoft.com/office/drawing/2014/main" id="{00000000-0008-0000-2100-000008000000}"/>
            </a:ext>
          </a:extLst>
        </xdr:cNvPr>
        <xdr:cNvSpPr txBox="1"/>
      </xdr:nvSpPr>
      <xdr:spPr>
        <a:xfrm>
          <a:off x="12140885" y="22551051"/>
          <a:ext cx="3724840" cy="1106668"/>
        </a:xfrm>
        <a:prstGeom prst="rect">
          <a:avLst/>
        </a:prstGeom>
        <a:solidFill>
          <a:schemeClr val="lt1"/>
        </a:solidFill>
        <a:ln w="50800"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0" bIns="0" rtlCol="0" anchor="ctr"/>
        <a:lstStyle/>
        <a:p>
          <a:r>
            <a:rPr kumimoji="1" lang="en-US" altLang="ja-JP" sz="1400"/>
            <a:t>【</a:t>
          </a:r>
          <a:r>
            <a:rPr kumimoji="1" lang="ja-JP" altLang="en-US" sz="1400"/>
            <a:t>実践コース</a:t>
          </a:r>
          <a:r>
            <a:rPr kumimoji="1" lang="en-US" altLang="ja-JP" sz="1400"/>
            <a:t>】</a:t>
          </a:r>
        </a:p>
        <a:p>
          <a:r>
            <a:rPr kumimoji="1" lang="ja-JP" altLang="en-US" sz="1400"/>
            <a:t>６か月目以降の訓練を行わない場合は、</a:t>
          </a:r>
          <a:endParaRPr kumimoji="1" lang="en-US" altLang="ja-JP" sz="1400"/>
        </a:p>
        <a:p>
          <a:r>
            <a:rPr kumimoji="1" lang="ja-JP" altLang="en-US" sz="1400" b="1">
              <a:solidFill>
                <a:srgbClr val="FF0000"/>
              </a:solidFill>
            </a:rPr>
            <a:t>行を削除せず、行を非表示に</a:t>
          </a:r>
          <a:r>
            <a:rPr kumimoji="1" lang="ja-JP" altLang="en-US" sz="1400"/>
            <a:t>してください。</a:t>
          </a:r>
        </a:p>
      </xdr:txBody>
    </xdr:sp>
    <xdr:clientData fPrintsWithSheet="0"/>
  </xdr:twoCellAnchor>
  <xdr:twoCellAnchor editAs="oneCell">
    <xdr:from>
      <xdr:col>34</xdr:col>
      <xdr:colOff>33949</xdr:colOff>
      <xdr:row>0</xdr:row>
      <xdr:rowOff>56586</xdr:rowOff>
    </xdr:from>
    <xdr:to>
      <xdr:col>47</xdr:col>
      <xdr:colOff>950614</xdr:colOff>
      <xdr:row>7</xdr:row>
      <xdr:rowOff>45267</xdr:rowOff>
    </xdr:to>
    <xdr:sp macro="" textlink="">
      <xdr:nvSpPr>
        <xdr:cNvPr id="9" name="角丸四角形 10">
          <a:extLst>
            <a:ext uri="{FF2B5EF4-FFF2-40B4-BE49-F238E27FC236}">
              <a16:creationId xmlns:a16="http://schemas.microsoft.com/office/drawing/2014/main" id="{00000000-0008-0000-2100-000009000000}"/>
            </a:ext>
          </a:extLst>
        </xdr:cNvPr>
        <xdr:cNvSpPr/>
      </xdr:nvSpPr>
      <xdr:spPr>
        <a:xfrm>
          <a:off x="12016399" y="56586"/>
          <a:ext cx="6507840" cy="1503156"/>
        </a:xfrm>
        <a:prstGeom prst="roundRect">
          <a:avLst/>
        </a:prstGeom>
        <a:solidFill>
          <a:srgbClr val="FFFFD5"/>
        </a:solidFill>
        <a:ln w="31750"/>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1200" b="1">
              <a:latin typeface="ＭＳ ゴシック" panose="020B0609070205080204" pitchFamily="49" charset="-128"/>
              <a:ea typeface="ＭＳ ゴシック" panose="020B0609070205080204" pitchFamily="49" charset="-128"/>
            </a:rPr>
            <a:t>　横列</a:t>
          </a:r>
          <a:r>
            <a:rPr kumimoji="1" lang="en-US" altLang="ja-JP" sz="1200" b="1">
              <a:latin typeface="ＭＳ ゴシック" panose="020B0609070205080204" pitchFamily="49" charset="-128"/>
              <a:ea typeface="ＭＳ ゴシック" panose="020B0609070205080204" pitchFamily="49" charset="-128"/>
            </a:rPr>
            <a:t>AH</a:t>
          </a:r>
          <a:r>
            <a:rPr kumimoji="1" lang="ja-JP" altLang="en-US" sz="1200" b="1">
              <a:latin typeface="ＭＳ ゴシック" panose="020B0609070205080204" pitchFamily="49" charset="-128"/>
              <a:ea typeface="ＭＳ ゴシック" panose="020B0609070205080204" pitchFamily="49" charset="-128"/>
            </a:rPr>
            <a:t>行の</a:t>
          </a:r>
          <a:r>
            <a:rPr kumimoji="1" lang="ja-JP" altLang="en-US" sz="1200" b="1">
              <a:solidFill>
                <a:srgbClr val="FF0000"/>
              </a:solidFill>
              <a:latin typeface="ＭＳ ゴシック" panose="020B0609070205080204" pitchFamily="49" charset="-128"/>
              <a:ea typeface="ＭＳ ゴシック" panose="020B0609070205080204" pitchFamily="49" charset="-128"/>
            </a:rPr>
            <a:t>行番が続いていないところは非表示</a:t>
          </a:r>
          <a:r>
            <a:rPr kumimoji="1" lang="ja-JP" altLang="en-US" sz="1200" b="1">
              <a:latin typeface="ＭＳ ゴシック" panose="020B0609070205080204" pitchFamily="49" charset="-128"/>
              <a:ea typeface="ＭＳ ゴシック" panose="020B0609070205080204" pitchFamily="49" charset="-128"/>
            </a:rPr>
            <a:t>になっています。</a:t>
          </a:r>
          <a:endParaRPr kumimoji="1" lang="en-US" altLang="ja-JP" sz="1200" b="1">
            <a:latin typeface="ＭＳ ゴシック" panose="020B0609070205080204" pitchFamily="49" charset="-128"/>
            <a:ea typeface="ＭＳ ゴシック" panose="020B0609070205080204" pitchFamily="49" charset="-128"/>
          </a:endParaRPr>
        </a:p>
        <a:p>
          <a:pPr algn="l"/>
          <a:r>
            <a:rPr kumimoji="1" lang="ja-JP" altLang="en-US" sz="1200" b="1">
              <a:solidFill>
                <a:srgbClr val="0000FF"/>
              </a:solidFill>
              <a:latin typeface="ＭＳ ゴシック" panose="020B0609070205080204" pitchFamily="49" charset="-128"/>
              <a:ea typeface="ＭＳ ゴシック" panose="020B0609070205080204" pitchFamily="49" charset="-128"/>
            </a:rPr>
            <a:t>　必要に応じて縦行の再表示を行ってください。</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行または列の</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追加、削除を絶対に行わない</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でください。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200" b="1">
              <a:solidFill>
                <a:srgbClr val="FF0000"/>
              </a:solidFill>
              <a:latin typeface="ＭＳ ゴシック" panose="020B0609070205080204" pitchFamily="49" charset="-128"/>
              <a:ea typeface="ＭＳ ゴシック" panose="020B0609070205080204" pitchFamily="49" charset="-128"/>
            </a:rPr>
            <a:t>　</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行を</a:t>
          </a:r>
          <a:r>
            <a:rPr kumimoji="1" lang="ja-JP" altLang="en-US" sz="1200" b="1">
              <a:solidFill>
                <a:srgbClr val="FF0000"/>
              </a:solidFill>
              <a:latin typeface="ＭＳ ゴシック" panose="020B0609070205080204" pitchFamily="49" charset="-128"/>
              <a:ea typeface="ＭＳ ゴシック" panose="020B0609070205080204" pitchFamily="49" charset="-128"/>
            </a:rPr>
            <a:t>追加・削除せず、縦・横の行の高さや幅で訓練内容等の調節</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をお願いします。</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a:p>
          <a:pPr algn="l">
            <a:spcBef>
              <a:spcPts val="600"/>
            </a:spcBef>
          </a:pP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　</a:t>
          </a:r>
          <a:r>
            <a:rPr kumimoji="1" lang="ja-JP" altLang="en-US" sz="1200" b="1">
              <a:solidFill>
                <a:srgbClr val="0000FF"/>
              </a:solidFill>
              <a:latin typeface="ＭＳ ゴシック" panose="020B0609070205080204" pitchFamily="49" charset="-128"/>
              <a:ea typeface="ＭＳ ゴシック" panose="020B0609070205080204" pitchFamily="49" charset="-128"/>
            </a:rPr>
            <a:t>追加・削除を行いますと、最下部、各所の計算欄が、全て計算できなくなります。</a:t>
          </a:r>
          <a:endParaRPr kumimoji="1" lang="en-US" altLang="ja-JP" sz="1200" b="1">
            <a:solidFill>
              <a:srgbClr val="0000FF"/>
            </a:solidFill>
            <a:latin typeface="ＭＳ ゴシック" panose="020B0609070205080204" pitchFamily="49" charset="-128"/>
            <a:ea typeface="ＭＳ ゴシック" panose="020B0609070205080204" pitchFamily="49" charset="-128"/>
          </a:endParaRPr>
        </a:p>
      </xdr:txBody>
    </xdr:sp>
    <xdr:clientData fLocksWithSheet="0" fPrintsWithSheet="0"/>
  </xdr:twoCellAnchor>
  <xdr:twoCellAnchor editAs="oneCell">
    <xdr:from>
      <xdr:col>27</xdr:col>
      <xdr:colOff>316871</xdr:colOff>
      <xdr:row>152</xdr:row>
      <xdr:rowOff>79218</xdr:rowOff>
    </xdr:from>
    <xdr:to>
      <xdr:col>40</xdr:col>
      <xdr:colOff>45267</xdr:colOff>
      <xdr:row>168</xdr:row>
      <xdr:rowOff>860079</xdr:rowOff>
    </xdr:to>
    <xdr:sp macro="" textlink="">
      <xdr:nvSpPr>
        <xdr:cNvPr id="10" name="左矢印吹き出し 12">
          <a:extLst>
            <a:ext uri="{FF2B5EF4-FFF2-40B4-BE49-F238E27FC236}">
              <a16:creationId xmlns:a16="http://schemas.microsoft.com/office/drawing/2014/main" id="{00000000-0008-0000-2100-00000A000000}"/>
            </a:ext>
          </a:extLst>
        </xdr:cNvPr>
        <xdr:cNvSpPr/>
      </xdr:nvSpPr>
      <xdr:spPr>
        <a:xfrm>
          <a:off x="9832346" y="29901993"/>
          <a:ext cx="5319571" cy="1228536"/>
        </a:xfrm>
        <a:prstGeom prst="leftArrowCallout">
          <a:avLst>
            <a:gd name="adj1" fmla="val 45290"/>
            <a:gd name="adj2" fmla="val 41246"/>
            <a:gd name="adj3" fmla="val 20887"/>
            <a:gd name="adj4" fmla="val 92354"/>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限目・質疑応答</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(7</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限目後</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155</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156</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行にありますので、必要な場合に再表示してください。</a:t>
          </a:r>
        </a:p>
        <a:p>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「時間割表②・③」は、非表示にしています。</a:t>
          </a:r>
        </a:p>
        <a:p>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158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行から</a:t>
          </a:r>
          <a:r>
            <a:rPr kumimoji="1" lang="en-US" altLang="ja-JP" sz="1100" b="0">
              <a:solidFill>
                <a:sysClr val="windowText" lastClr="000000"/>
              </a:solidFill>
              <a:effectLst/>
              <a:latin typeface="ＭＳ ゴシック" panose="020B0609070205080204" pitchFamily="49" charset="-128"/>
              <a:ea typeface="ＭＳ ゴシック" panose="020B0609070205080204" pitchFamily="49" charset="-128"/>
              <a:cs typeface="+mn-cs"/>
            </a:rPr>
            <a:t>168</a:t>
          </a:r>
          <a:r>
            <a:rPr kumimoji="1" lang="ja-JP" altLang="en-US" sz="1100" b="0">
              <a:solidFill>
                <a:sysClr val="windowText" lastClr="000000"/>
              </a:solidFill>
              <a:effectLst/>
              <a:latin typeface="ＭＳ ゴシック" panose="020B0609070205080204" pitchFamily="49" charset="-128"/>
              <a:ea typeface="ＭＳ ゴシック" panose="020B0609070205080204" pitchFamily="49" charset="-128"/>
              <a:cs typeface="+mn-cs"/>
            </a:rPr>
            <a:t>行にありますので、必要な場合は再表示してください。</a:t>
          </a:r>
        </a:p>
        <a:p>
          <a:r>
            <a:rPr kumimoji="1" lang="en-US" altLang="ja-JP" sz="1100" b="0">
              <a:solidFill>
                <a:srgbClr val="0000FF"/>
              </a:solidFill>
              <a:effectLst/>
              <a:latin typeface="ＭＳ ゴシック" panose="020B0609070205080204" pitchFamily="49" charset="-128"/>
              <a:ea typeface="ＭＳ ゴシック" panose="020B0609070205080204" pitchFamily="49" charset="-128"/>
              <a:cs typeface="+mn-cs"/>
            </a:rPr>
            <a:t>※</a:t>
          </a:r>
          <a:r>
            <a:rPr kumimoji="1" lang="ja-JP" altLang="en-US" sz="1100" b="0">
              <a:solidFill>
                <a:srgbClr val="0000FF"/>
              </a:solidFill>
              <a:effectLst/>
              <a:latin typeface="ＭＳ ゴシック" panose="020B0609070205080204" pitchFamily="49" charset="-128"/>
              <a:ea typeface="ＭＳ ゴシック" panose="020B0609070205080204" pitchFamily="49" charset="-128"/>
              <a:cs typeface="+mn-cs"/>
            </a:rPr>
            <a:t>「時間割表③」は、申請時に記入しないようにしてください。</a:t>
          </a:r>
          <a:endParaRPr lang="ja-JP" altLang="ja-JP" sz="1100" b="0">
            <a:solidFill>
              <a:srgbClr val="0000FF"/>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37</xdr:col>
      <xdr:colOff>271609</xdr:colOff>
      <xdr:row>171</xdr:row>
      <xdr:rowOff>101850</xdr:rowOff>
    </xdr:from>
    <xdr:to>
      <xdr:col>47</xdr:col>
      <xdr:colOff>1007203</xdr:colOff>
      <xdr:row>176</xdr:row>
      <xdr:rowOff>124482</xdr:rowOff>
    </xdr:to>
    <xdr:sp macro="" textlink="">
      <xdr:nvSpPr>
        <xdr:cNvPr id="11" name="左矢印吹き出し 13">
          <a:extLst>
            <a:ext uri="{FF2B5EF4-FFF2-40B4-BE49-F238E27FC236}">
              <a16:creationId xmlns:a16="http://schemas.microsoft.com/office/drawing/2014/main" id="{00000000-0008-0000-2100-00000B000000}"/>
            </a:ext>
          </a:extLst>
        </xdr:cNvPr>
        <xdr:cNvSpPr/>
      </xdr:nvSpPr>
      <xdr:spPr>
        <a:xfrm>
          <a:off x="14244784" y="31839150"/>
          <a:ext cx="4336044" cy="1165632"/>
        </a:xfrm>
        <a:prstGeom prst="leftArrowCallout">
          <a:avLst>
            <a:gd name="adj1" fmla="val 45290"/>
            <a:gd name="adj2" fmla="val 41246"/>
            <a:gd name="adj3" fmla="val 20887"/>
            <a:gd name="adj4" fmla="val 92085"/>
          </a:avLst>
        </a:prstGeom>
        <a:solidFill>
          <a:srgbClr val="FFFFE5"/>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r>
            <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rPr>
            <a:t>※</a:t>
          </a:r>
          <a:r>
            <a:rPr kumimoji="1" lang="ja-JP" altLang="en-US" sz="1100" b="1">
              <a:solidFill>
                <a:sysClr val="windowText" lastClr="000000"/>
              </a:solidFill>
              <a:effectLst/>
              <a:latin typeface="ＭＳ ゴシック" panose="020B0609070205080204" pitchFamily="49" charset="-128"/>
              <a:ea typeface="ＭＳ ゴシック" panose="020B0609070205080204" pitchFamily="49" charset="-128"/>
              <a:cs typeface="+mn-cs"/>
            </a:rPr>
            <a:t>機構処理欄について</a:t>
          </a:r>
          <a:endParaRPr kumimoji="1" lang="en-US" altLang="ja-JP" sz="1100" b="1">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関数を指定していますので、削除しないでください。</a:t>
          </a:r>
          <a:endParaRPr kumimoji="1" lang="en-US" altLang="ja-JP" sz="1100" b="1">
            <a:solidFill>
              <a:srgbClr val="FF0000"/>
            </a:solidFill>
            <a:effectLst/>
            <a:latin typeface="ＭＳ ゴシック" panose="020B0609070205080204" pitchFamily="49" charset="-128"/>
            <a:ea typeface="ＭＳ ゴシック" panose="020B0609070205080204" pitchFamily="49" charset="-128"/>
            <a:cs typeface="+mn-cs"/>
          </a:endParaRPr>
        </a:p>
        <a:p>
          <a:r>
            <a:rPr kumimoji="1" lang="ja-JP" altLang="en-US" sz="1100" b="1">
              <a:solidFill>
                <a:srgbClr val="FF0000"/>
              </a:solidFill>
              <a:effectLst/>
              <a:latin typeface="ＭＳ ゴシック" panose="020B0609070205080204" pitchFamily="49" charset="-128"/>
              <a:ea typeface="ＭＳ ゴシック" panose="020B0609070205080204" pitchFamily="49" charset="-128"/>
              <a:cs typeface="+mn-cs"/>
            </a:rPr>
            <a:t>　関数を削除して、数値を直接入力することは厳禁です。</a:t>
          </a:r>
          <a:endParaRPr lang="ja-JP" altLang="ja-JP" sz="1100" b="1">
            <a:solidFill>
              <a:srgbClr val="FF0000"/>
            </a:solidFill>
            <a:effectLst/>
            <a:latin typeface="ＭＳ ゴシック" panose="020B0609070205080204" pitchFamily="49" charset="-128"/>
            <a:ea typeface="ＭＳ ゴシック" panose="020B0609070205080204" pitchFamily="49" charset="-128"/>
          </a:endParaRPr>
        </a:p>
      </xdr:txBody>
    </xdr:sp>
    <xdr:clientData fPrintsWithSheet="0"/>
  </xdr:twoCellAnchor>
  <xdr:twoCellAnchor editAs="oneCell">
    <xdr:from>
      <xdr:col>33</xdr:col>
      <xdr:colOff>328188</xdr:colOff>
      <xdr:row>8</xdr:row>
      <xdr:rowOff>11317</xdr:rowOff>
    </xdr:from>
    <xdr:to>
      <xdr:col>47</xdr:col>
      <xdr:colOff>1063784</xdr:colOff>
      <xdr:row>17</xdr:row>
      <xdr:rowOff>45267</xdr:rowOff>
    </xdr:to>
    <xdr:sp macro="" textlink="">
      <xdr:nvSpPr>
        <xdr:cNvPr id="12" name="左矢印吹き出し 14">
          <a:extLst>
            <a:ext uri="{FF2B5EF4-FFF2-40B4-BE49-F238E27FC236}">
              <a16:creationId xmlns:a16="http://schemas.microsoft.com/office/drawing/2014/main" id="{00000000-0008-0000-2100-00000C000000}"/>
            </a:ext>
          </a:extLst>
        </xdr:cNvPr>
        <xdr:cNvSpPr/>
      </xdr:nvSpPr>
      <xdr:spPr>
        <a:xfrm>
          <a:off x="11958213" y="1754392"/>
          <a:ext cx="6679196" cy="1843700"/>
        </a:xfrm>
        <a:prstGeom prst="leftArrowCallout">
          <a:avLst>
            <a:gd name="adj1" fmla="val 45915"/>
            <a:gd name="adj2" fmla="val 41246"/>
            <a:gd name="adj3" fmla="val 13074"/>
            <a:gd name="adj4" fmla="val 94556"/>
          </a:avLst>
        </a:prstGeom>
        <a:solidFill>
          <a:srgbClr val="FFFFE7"/>
        </a:solidFill>
        <a:ln w="317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0" bIns="0" rtlCol="0" anchor="ctr"/>
        <a:lstStyle/>
        <a:p>
          <a:pPr>
            <a:lnSpc>
              <a:spcPts val="1500"/>
            </a:lnSpc>
          </a:pPr>
          <a:r>
            <a:rPr kumimoji="1" lang="en-US" altLang="ja-JP" sz="1200" b="1">
              <a:solidFill>
                <a:srgbClr val="0000FF"/>
              </a:solidFill>
              <a:effectLst/>
              <a:latin typeface="HG丸ｺﾞｼｯｸM-PRO" panose="020F0600000000000000" pitchFamily="50" charset="-128"/>
              <a:ea typeface="HG丸ｺﾞｼｯｸM-PRO" panose="020F0600000000000000" pitchFamily="50" charset="-128"/>
              <a:cs typeface="+mn-cs"/>
            </a:rPr>
            <a:t>※</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ジョブカード作成支援（ｷｬﾘｱｺﾝｻﾙﾃｨﾝｸﾞ）</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は、</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訓練期間中に</a:t>
          </a:r>
          <a:r>
            <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rPr>
            <a:t>3</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回以上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設定が必要です。</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①訓練開始後　概ね</a:t>
          </a:r>
          <a:r>
            <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1</a:t>
          </a: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か月以内</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1">
              <a:solidFill>
                <a:sysClr val="windowText" lastClr="000000"/>
              </a:solidFill>
              <a:effectLst/>
              <a:latin typeface="HG丸ｺﾞｼｯｸM-PRO" panose="020F0600000000000000" pitchFamily="50" charset="-128"/>
              <a:ea typeface="HG丸ｺﾞｼｯｸM-PRO" panose="020F0600000000000000" pitchFamily="50" charset="-128"/>
              <a:cs typeface="+mn-cs"/>
            </a:rPr>
            <a:t>　②訓練半ば頃</a:t>
          </a:r>
          <a:endParaRPr kumimoji="1" lang="en-US" altLang="ja-JP" sz="1200" b="1">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③訓練終了間際（訓練期間の最終月）</a:t>
          </a:r>
          <a:endParaRPr kumimoji="1" lang="en-US" altLang="ja-JP" sz="1200" b="1">
            <a:solidFill>
              <a:srgbClr val="FF0000"/>
            </a:solidFill>
            <a:effectLst/>
            <a:latin typeface="HG丸ｺﾞｼｯｸM-PRO" panose="020F0600000000000000" pitchFamily="50" charset="-128"/>
            <a:ea typeface="HG丸ｺﾞｼｯｸM-PRO" panose="020F0600000000000000" pitchFamily="50" charset="-128"/>
            <a:cs typeface="+mn-cs"/>
          </a:endParaRPr>
        </a:p>
        <a:p>
          <a:pPr>
            <a:lnSpc>
              <a:spcPts val="1500"/>
            </a:lnSpc>
            <a:spcBef>
              <a:spcPts val="600"/>
            </a:spcBef>
          </a:pP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　</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のように訓練期間を</a:t>
          </a:r>
          <a:r>
            <a:rPr kumimoji="1" lang="ja-JP" altLang="en-US" sz="1200" b="1">
              <a:solidFill>
                <a:srgbClr val="FF0000"/>
              </a:solidFill>
              <a:effectLst/>
              <a:latin typeface="HG丸ｺﾞｼｯｸM-PRO" panose="020F0600000000000000" pitchFamily="50" charset="-128"/>
              <a:ea typeface="HG丸ｺﾞｼｯｸM-PRO" panose="020F0600000000000000" pitchFamily="50" charset="-128"/>
              <a:cs typeface="+mn-cs"/>
            </a:rPr>
            <a:t>「前半・中盤・後半」</a:t>
          </a: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に分けた時期のすべてにおいて</a:t>
          </a:r>
          <a:endParaRPr kumimoji="1" lang="en-US" altLang="ja-JP" sz="1200" b="0">
            <a:solidFill>
              <a:sysClr val="windowText" lastClr="000000"/>
            </a:solidFill>
            <a:effectLst/>
            <a:latin typeface="HG丸ｺﾞｼｯｸM-PRO" panose="020F0600000000000000" pitchFamily="50" charset="-128"/>
            <a:ea typeface="HG丸ｺﾞｼｯｸM-PRO" panose="020F0600000000000000" pitchFamily="50" charset="-128"/>
            <a:cs typeface="+mn-cs"/>
          </a:endParaRPr>
        </a:p>
        <a:p>
          <a:pPr>
            <a:lnSpc>
              <a:spcPts val="1500"/>
            </a:lnSpc>
          </a:pPr>
          <a:r>
            <a:rPr kumimoji="1" lang="ja-JP" altLang="en-US" sz="1200" b="0">
              <a:solidFill>
                <a:sysClr val="windowText" lastClr="000000"/>
              </a:solidFill>
              <a:effectLst/>
              <a:latin typeface="HG丸ｺﾞｼｯｸM-PRO" panose="020F0600000000000000" pitchFamily="50" charset="-128"/>
              <a:ea typeface="HG丸ｺﾞｼｯｸM-PRO" panose="020F0600000000000000" pitchFamily="50" charset="-128"/>
              <a:cs typeface="+mn-cs"/>
            </a:rPr>
            <a:t>　実施してください。　</a:t>
          </a:r>
          <a:r>
            <a:rPr kumimoji="1" lang="ja-JP" altLang="en-US" sz="1200" b="1">
              <a:solidFill>
                <a:srgbClr val="0000FF"/>
              </a:solidFill>
              <a:effectLst/>
              <a:latin typeface="HG丸ｺﾞｼｯｸM-PRO" panose="020F0600000000000000" pitchFamily="50" charset="-128"/>
              <a:ea typeface="HG丸ｺﾞｼｯｸM-PRO" panose="020F0600000000000000" pitchFamily="50" charset="-128"/>
              <a:cs typeface="+mn-cs"/>
            </a:rPr>
            <a:t>★詳しくは、別紙１１を参照ください。</a:t>
          </a:r>
          <a:endParaRPr lang="ja-JP" altLang="ja-JP" sz="1200" b="1">
            <a:solidFill>
              <a:srgbClr val="0000FF"/>
            </a:solidFill>
            <a:effectLst/>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5&#24180;11&#26376;WS&#21205;&#30011;(0212)\00&#30003;&#35531;&#38306;&#36899;\02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6&#24180;2&#26376;JavaP(0270)\027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6&#24180;1&#26376;AI&#65288;0259&#65289;\00&#30003;&#35531;&#38306;&#36899;\025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5&#24180;10&#26376;GW(0167)\00&#35469;&#23450;&#30003;&#35531;\016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5&#24180;12&#26376;&#24195;&#21578;&#12463;&#12522;&#12456;&#12452;&#12488;(0232)\00&#30003;&#35531;&#38306;&#36899;\023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6&#24180;3&#26376;WS&#21205;(0297)\00&#30003;&#35531;&#38306;&#36899;\0297.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6&#24180;1&#26376;WS&#21205;(0260)\0260.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5&#24180;12&#26376;WS&#21205;(0233)\00&#30003;&#35531;&#38306;&#36899;\023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5&#24180;&#24230;\2026&#24180;3&#26376;&#12501;&#12525;&#12531;&#12488;&#12456;&#12531;&#12489;(0296)\00&#30003;&#35531;&#38306;&#36899;\029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01&#12522;&#12459;&#12524;&#12531;&#12488;&#12473;&#12463;&#12540;&#12523;\03&#31119;&#23713;&#26657;\01&#27714;&#32887;&#32773;&#25903;&#25588;&#35347;&#32244;\00&#27714;&#32887;&#32773;&#25903;&#25588;&#35347;&#32244;\2026&#24180;&#24230;\2026&#24180;4&#26376;GW(0017)\00&#30003;&#35531;&#38306;&#36899;\0017.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Users\&#21109;&#36896;&#31038;&#12522;&#12459;&#12524;&#12531;&#12488;&#12473;&#12463;&#12540;&#12523;&#31119;&#23713;&#26657;01\&#12393;&#12371;&#12391;&#12418;&#12461;&#12515;&#12499;&#12493;&#12483;&#12488;\&#25991;&#26360;&#12461;&#12515;&#12499;&#12493;&#12483;&#12488;\&#12522;&#12459;&#12524;&#12531;&#12488;&#12473;&#12463;&#12540;&#12523;\&#9313;%20&#21109;&#36896;&#31038;&#12522;&#12459;&#12524;&#12531;&#12488;&#12473;&#12463;&#12540;&#12523;&#31119;&#23713;&#26657;\00&#27714;&#32887;&#32773;&#25903;&#25588;&#35347;&#32244;\2023&#24180;&#24230;\10&#26376;Web&#21205;&#30011;\&#30003;&#35531;&#38306;&#36899;0156\0156_&#30003;&#35531;&#26360;_10&#26376;WEB&#21205;&#30011;.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92.168.40.111\RSFukuoka$\A-file01w\&#27714;&#32887;&#32773;&#25903;&#25588;&#35347;&#32244;&#37096;\&#9679;&#35347;&#32244;&#35469;&#23450;&#35506;\&#24179;&#25104;29&#24180;&#24230;\210_&#20225;&#30011;&#20418;\01_&#30003;&#35531;&#12395;&#24403;&#12383;&#12387;&#12390;&#12398;&#30041;&#24847;&#20107;&#38917;\&#24179;&#25104;30&#24180;&#24230;&#31532;1&#22235;&#21322;&#26399;\&#27096;&#24335;\&#27096;&#24335;&#25913;&#35330;&#29256;&#65288;H30&#24180;&#24230;&#31532;2&#22235;&#21322;&#26399;&#12391;&#30330;&#20986;&#65289;\290914&#24179;&#25104;30&#24180;1&#26376;&#20197;&#38477;&#12395;&#38283;&#35611;&#12377;&#12427;&#35347;&#32244;&#31185;&#12363;&#12425;&#12398;&#35469;&#23450;&#30003;&#35531;&#12395;&#12388;&#12356;&#12390;\03&#12304;&#21029;&#28155;&#65298;&#12305;&#35469;&#23450;&#27096;&#24335;&#12304;&#22522;&#30990;&#12467;&#12540;&#12473;&#12305;(30.1&#65374;).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file01w\&#27714;&#32887;&#32773;&#25903;&#25588;&#35347;&#32244;&#37096;\&#9679;&#35347;&#32244;&#35469;&#23450;&#35506;\&#24179;&#25104;29&#24180;&#24230;\210_&#20225;&#30011;&#20418;\01_&#30003;&#35531;&#12395;&#24403;&#12383;&#12387;&#12390;&#12398;&#30041;&#24847;&#20107;&#38917;\&#24179;&#25104;30&#24180;&#24230;&#31532;1&#22235;&#21322;&#26399;\&#27096;&#24335;\&#27096;&#24335;&#25913;&#35330;&#29256;&#65288;H30&#24180;&#24230;&#31532;2&#22235;&#21322;&#26399;&#12391;&#30330;&#20986;&#65289;\290914&#24179;&#25104;30&#24180;1&#26376;&#20197;&#38477;&#12395;&#38283;&#35611;&#12377;&#12427;&#35347;&#32244;&#31185;&#12363;&#12425;&#12398;&#35469;&#23450;&#30003;&#35531;&#12395;&#12388;&#12356;&#12390;\03&#12304;&#21029;&#28155;&#65298;&#12305;&#35469;&#23450;&#27096;&#24335;&#12304;&#22522;&#30990;&#12467;&#12540;&#12473;&#12305;(30.1&#65374;).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A-file01w\&#27714;&#32887;&#32773;&#25903;&#25588;&#35347;&#32244;&#37096;\&#9679;&#35347;&#32244;&#35469;&#23450;&#35506;\&#24179;&#25104;29&#24180;&#24230;\210_&#20225;&#30011;&#20418;\01_&#30003;&#35531;&#12395;&#24403;&#12383;&#12387;&#12390;&#12398;&#30041;&#24847;&#20107;&#38917;\&#24179;&#25104;30&#24180;&#24230;&#31532;1&#22235;&#21322;&#26399;\&#27096;&#24335;\&#27096;&#24335;&#25913;&#35330;&#29256;&#65288;H30&#24180;&#24230;&#31532;2&#22235;&#21322;&#26399;&#12391;&#30330;&#20986;&#65289;\290914&#24179;&#25104;30&#24180;1&#26376;&#20197;&#38477;&#12395;&#38283;&#35611;&#12377;&#12427;&#35347;&#32244;&#31185;&#12363;&#12425;&#12398;&#35469;&#23450;&#30003;&#35531;&#12395;&#12388;&#12356;&#12390;\03&#12304;&#21029;&#28155;&#65298;&#12305;&#35469;&#23450;&#27096;&#24335;&#12304;&#22522;&#30990;&#12467;&#12540;&#12473;&#12305;(30.1&#65374;).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20.254\&#12522;&#12459;&#12524;&#12531;&#12488;&#12473;&#12463;&#12540;&#12523;\Users\&#21109;&#36896;&#31038;&#12522;&#12459;&#12524;&#12531;&#12488;&#12473;&#12463;&#12540;&#12523;&#31119;&#23713;&#26657;03\&#12393;&#12371;&#12391;&#12418;&#12461;&#12515;&#12499;(1)\&#25991;&#26360;&#12461;&#12515;&#12499;&#12493;&#12483;&#12488;\&#12522;&#12459;&#12524;&#12531;&#12488;&#12473;&#12463;&#12540;&#12523;\&#9313;%20&#21109;&#36896;&#31038;&#12522;&#12459;&#12524;&#12531;&#12488;&#12473;&#12463;&#12540;&#12523;&#31119;&#23713;&#26657;\00&#27714;&#32887;&#32773;&#25903;&#25588;&#35347;&#32244;\2023&#24180;&#24230;\11&#26376;Web&#21205;&#30011;\&#30003;&#35531;&#38306;&#20418;\11&#26376;_WEB&#21205;&#30011;(017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3実 (1211)"/>
      <sheetName val="代表者･役員一覧"/>
      <sheetName val="様式4"/>
      <sheetName val="様式5基"/>
      <sheetName val="様式5実"/>
      <sheetName val="様式5計画書"/>
      <sheetName val="様式5企業実習計画書"/>
      <sheetName val="様式5実 (1111)"/>
      <sheetName val="様式5DX推進"/>
      <sheetName val="様式5ﾁｪｯｸｼｰﾄ"/>
      <sheetName val="様式5ﾁｪｯｸｼｰﾄ一覧表"/>
      <sheetName val="様式6"/>
      <sheetName val="様式7の１（講師）"/>
      <sheetName val="様式7の１（講師） (1111)"/>
      <sheetName val="様式7の１ (助手)"/>
      <sheetName val="様式7の１ (助手) (1111)"/>
      <sheetName val="様式7の１（キャリコン①）"/>
      <sheetName val="様式7の１（キャリコン②）"/>
      <sheetName val="様式7の１（キャリコン③）"/>
      <sheetName val="様式7の１（事務）"/>
      <sheetName val="様式7の3 (尾本)"/>
      <sheetName val="様式7の3 (林田)"/>
      <sheetName val="様式7の3 (進村)"/>
      <sheetName val="様式7の3 (河道)"/>
      <sheetName val="様式7の3 (篠倉)"/>
      <sheetName val="様式7の3 (橋本①)"/>
      <sheetName val="様式7の3 (橋本②)"/>
      <sheetName val="様式7の3 (本田)"/>
      <sheetName val="様式7の3 (福本)"/>
      <sheetName val="様式7の3 (坂本)"/>
      <sheetName val="様式7の3 (古賀)"/>
      <sheetName val="様式7の3(谷口)"/>
      <sheetName val="様式7の3(南)"/>
      <sheetName val="様式7の3(山田)"/>
      <sheetName val="様式7の3 (道添)"/>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78">
          <cell r="AC178">
            <v>540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ow r="4">
          <cell r="D4">
            <v>45875</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20</v>
          </cell>
        </row>
        <row r="25">
          <cell r="D25" t="str">
            <v>11 デザイン分野</v>
          </cell>
          <cell r="K25" t="str">
            <v>07</v>
          </cell>
          <cell r="BH25">
            <v>102</v>
          </cell>
        </row>
        <row r="26">
          <cell r="D26" t="str">
            <v>これから始める！Ｗｅｂ・ＳＮＳ動画編集＆ホームページデザイン科</v>
          </cell>
          <cell r="K26" t="str">
            <v>40</v>
          </cell>
          <cell r="N26" t="str">
            <v>07-40-002-11-</v>
          </cell>
          <cell r="BR26" t="str">
            <v/>
          </cell>
        </row>
        <row r="27">
          <cell r="D27">
            <v>45982</v>
          </cell>
          <cell r="K27" t="str">
            <v>002</v>
          </cell>
          <cell r="BR27" t="str">
            <v/>
          </cell>
        </row>
        <row r="28">
          <cell r="D28">
            <v>46162</v>
          </cell>
          <cell r="K28" t="str">
            <v>11</v>
          </cell>
          <cell r="BR28" t="str">
            <v/>
          </cell>
        </row>
        <row r="29">
          <cell r="D29">
            <v>6</v>
          </cell>
          <cell r="K29" t="str">
            <v>0212</v>
          </cell>
          <cell r="BF29">
            <v>2</v>
          </cell>
          <cell r="BR29" t="str">
            <v/>
          </cell>
        </row>
        <row r="30">
          <cell r="D30">
            <v>24</v>
          </cell>
          <cell r="BG30">
            <v>14</v>
          </cell>
          <cell r="BQ30" t="str">
            <v/>
          </cell>
        </row>
        <row r="31">
          <cell r="D31">
            <v>0.43055555555555558</v>
          </cell>
          <cell r="BH31">
            <v>84</v>
          </cell>
          <cell r="BQ31" t="str">
            <v/>
          </cell>
        </row>
        <row r="32">
          <cell r="D32">
            <v>0.70833333333333337</v>
          </cell>
        </row>
        <row r="33">
          <cell r="D33" t="str">
            <v>動画の編集スキルを習得し、かつSNSやYouTubeの活用方法も学び、それらの知識・技術をもって訴求効果の高いホームページの企画・提案・デザイン・メンテナンス等の業務ができる実践的な人材。</v>
          </cell>
        </row>
        <row r="34">
          <cell r="D34" t="str">
            <v>ホームページ制作現場で必要な一連のプロセス（コンテンツ企画、提案、制作、保守、運用）を習得した上で、さらにWeb・SNS動画の編集や視聴環境および動画配信プラットフォームに合った活用を学習できる。【WEBデザイン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v>0</v>
          </cell>
          <cell r="O36" t="str">
            <v>02 ＩＴ分野　</v>
          </cell>
          <cell r="P36"/>
          <cell r="Q36" t="str">
            <v>02</v>
          </cell>
          <cell r="BG36">
            <v>19</v>
          </cell>
        </row>
        <row r="37">
          <cell r="D37" t="str">
            <v>98</v>
          </cell>
          <cell r="G37" t="str">
            <v/>
          </cell>
          <cell r="N37">
            <v>0</v>
          </cell>
          <cell r="O37" t="str">
            <v>03 営業・販売・事務分野</v>
          </cell>
          <cell r="P37"/>
          <cell r="Q37" t="str">
            <v>03</v>
          </cell>
          <cell r="BH37">
            <v>102</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14</v>
          </cell>
        </row>
        <row r="43">
          <cell r="C43" t="str">
            <v/>
          </cell>
          <cell r="G43" t="str">
            <v>入校式等</v>
          </cell>
          <cell r="N43">
            <v>0</v>
          </cell>
          <cell r="O43" t="str">
            <v>09 警備・保安分野</v>
          </cell>
          <cell r="P43"/>
          <cell r="Q43" t="str">
            <v>09</v>
          </cell>
          <cell r="BH43">
            <v>84</v>
          </cell>
        </row>
        <row r="44">
          <cell r="N44">
            <v>0</v>
          </cell>
          <cell r="O44" t="str">
            <v>10 クリエート（企画・創作）分野</v>
          </cell>
          <cell r="P44"/>
          <cell r="Q44" t="str">
            <v>10</v>
          </cell>
        </row>
        <row r="45">
          <cell r="N45" t="str">
            <v>✔</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2</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14</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65">
        <row r="2">
          <cell r="D2">
            <v>48</v>
          </cell>
        </row>
        <row r="3">
          <cell r="T3" t="str">
            <v>祝祭日</v>
          </cell>
        </row>
        <row r="4">
          <cell r="D4">
            <v>45922</v>
          </cell>
          <cell r="T4">
            <v>45658</v>
          </cell>
        </row>
        <row r="5">
          <cell r="D5">
            <v>45951</v>
          </cell>
          <cell r="T5">
            <v>45670</v>
          </cell>
        </row>
        <row r="6">
          <cell r="T6">
            <v>45699</v>
          </cell>
        </row>
        <row r="7">
          <cell r="T7">
            <v>45711</v>
          </cell>
        </row>
        <row r="8">
          <cell r="D8">
            <v>45959</v>
          </cell>
          <cell r="T8">
            <v>45712</v>
          </cell>
        </row>
        <row r="9">
          <cell r="D9">
            <v>45966</v>
          </cell>
          <cell r="T9">
            <v>45736</v>
          </cell>
        </row>
        <row r="10">
          <cell r="D10">
            <v>2</v>
          </cell>
          <cell r="H10" t="str">
            <v>②</v>
          </cell>
          <cell r="T10">
            <v>45776</v>
          </cell>
        </row>
        <row r="11">
          <cell r="D11">
            <v>46014</v>
          </cell>
          <cell r="T11">
            <v>45780</v>
          </cell>
        </row>
        <row r="12">
          <cell r="D12">
            <v>46048</v>
          </cell>
          <cell r="T12">
            <v>45781</v>
          </cell>
        </row>
        <row r="13">
          <cell r="D13">
            <v>46079</v>
          </cell>
          <cell r="T13">
            <v>45782</v>
          </cell>
        </row>
        <row r="14">
          <cell r="D14">
            <v>46107</v>
          </cell>
          <cell r="T14">
            <v>45783</v>
          </cell>
        </row>
        <row r="15">
          <cell r="D15">
            <v>46140</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66"/>
      <sheetData sheetId="6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DX推進"/>
      <sheetName val="様式5ﾁｪｯｸｼｰﾄ"/>
      <sheetName val="様式5ﾁｪｯｸｼｰﾄ一覧表"/>
      <sheetName val="様式6"/>
      <sheetName val="様式7の１（原本）"/>
      <sheetName val="様式7の1（講師）"/>
      <sheetName val="様式7の１（助手）"/>
      <sheetName val="様式7の１（キャリコン①）"/>
      <sheetName val="様式7の１（キャリコン②）"/>
      <sheetName val="様式7の１（キャリコン③）"/>
      <sheetName val="様式7の１（事務）"/>
      <sheetName val="様式7の3（原本）"/>
      <sheetName val="様式7の3（清水）"/>
      <sheetName val="様式7の3（今澤）"/>
      <sheetName val="様式7の3（野間口）"/>
      <sheetName val="様式7の3（村田）"/>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row r="178">
          <cell r="AC178">
            <v>564</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ow r="4">
          <cell r="D4">
            <v>45968</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20</v>
          </cell>
        </row>
        <row r="25">
          <cell r="D25" t="str">
            <v>02 ＩＴ分野　</v>
          </cell>
          <cell r="K25" t="str">
            <v>07</v>
          </cell>
          <cell r="BH25">
            <v>102</v>
          </cell>
        </row>
        <row r="26">
          <cell r="D26" t="str">
            <v>基礎から学ぶJava＋Pythonプログラマー養成科</v>
          </cell>
          <cell r="K26" t="str">
            <v>40</v>
          </cell>
          <cell r="N26" t="str">
            <v>07-40-002-02-</v>
          </cell>
          <cell r="BR26" t="str">
            <v/>
          </cell>
        </row>
        <row r="27">
          <cell r="D27">
            <v>46078</v>
          </cell>
          <cell r="K27" t="str">
            <v>002</v>
          </cell>
          <cell r="BR27" t="str">
            <v/>
          </cell>
        </row>
        <row r="28">
          <cell r="D28">
            <v>46255</v>
          </cell>
          <cell r="K28" t="str">
            <v>02</v>
          </cell>
          <cell r="BR28" t="str">
            <v/>
          </cell>
        </row>
        <row r="29">
          <cell r="D29">
            <v>6</v>
          </cell>
          <cell r="K29" t="str">
            <v>0270</v>
          </cell>
          <cell r="BF29">
            <v>2</v>
          </cell>
          <cell r="BR29" t="str">
            <v/>
          </cell>
        </row>
        <row r="30">
          <cell r="D30">
            <v>22</v>
          </cell>
          <cell r="BG30">
            <v>18</v>
          </cell>
          <cell r="BQ30" t="str">
            <v/>
          </cell>
        </row>
        <row r="31">
          <cell r="D31">
            <v>0.4236111111111111</v>
          </cell>
          <cell r="BH31">
            <v>108</v>
          </cell>
          <cell r="BQ31" t="str">
            <v/>
          </cell>
        </row>
        <row r="32">
          <cell r="D32">
            <v>0.70138888888888884</v>
          </cell>
        </row>
        <row r="33">
          <cell r="D33" t="str">
            <v>Javaプログラミングだけでなく、Pythonプログラミングも身につけ、業務に必要なデータベースサーバーの構築やソフトウェア開発ができる人材。</v>
          </cell>
        </row>
        <row r="34">
          <cell r="D34" t="str">
            <v>コンピュータの基礎知識を学び、Java及びPythonを習得する。基本的データベース構築技術、WEBアプリケーション作成技術を身につける。【IT資格・DSS対応】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564</v>
          </cell>
          <cell r="G36" t="str">
            <v>様式5実</v>
          </cell>
          <cell r="I36" t="str">
            <v>○</v>
          </cell>
          <cell r="J36" t="str">
            <v>実践コース</v>
          </cell>
          <cell r="K36"/>
          <cell r="L36" t="str">
            <v>002</v>
          </cell>
          <cell r="N36" t="str">
            <v>✔</v>
          </cell>
          <cell r="O36" t="str">
            <v>02 ＩＴ分野　</v>
          </cell>
          <cell r="P36"/>
          <cell r="Q36" t="str">
            <v>02</v>
          </cell>
          <cell r="BG36">
            <v>16</v>
          </cell>
        </row>
        <row r="37">
          <cell r="D37" t="str">
            <v>102</v>
          </cell>
          <cell r="G37" t="str">
            <v/>
          </cell>
          <cell r="N37">
            <v>0</v>
          </cell>
          <cell r="O37" t="str">
            <v>03 営業・販売・事務分野</v>
          </cell>
          <cell r="P37"/>
          <cell r="Q37" t="str">
            <v>03</v>
          </cell>
          <cell r="BH37">
            <v>84</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15</v>
          </cell>
        </row>
        <row r="43">
          <cell r="C43" t="str">
            <v/>
          </cell>
          <cell r="G43" t="str">
            <v>入校式等</v>
          </cell>
          <cell r="N43">
            <v>0</v>
          </cell>
          <cell r="O43" t="str">
            <v>09 警備・保安分野</v>
          </cell>
          <cell r="P43"/>
          <cell r="Q43" t="str">
            <v>09</v>
          </cell>
          <cell r="BH43">
            <v>90</v>
          </cell>
        </row>
        <row r="44">
          <cell r="N44">
            <v>0</v>
          </cell>
          <cell r="O44" t="str">
            <v>10 クリエート（企画・創作）分野</v>
          </cell>
          <cell r="P44"/>
          <cell r="Q44" t="str">
            <v>10</v>
          </cell>
        </row>
        <row r="45">
          <cell r="N45">
            <v>0</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15</v>
          </cell>
        </row>
        <row r="49">
          <cell r="N49">
            <v>0</v>
          </cell>
          <cell r="O49" t="str">
            <v>15 電気関連分野</v>
          </cell>
          <cell r="P49"/>
          <cell r="Q49" t="str">
            <v>15</v>
          </cell>
          <cell r="BH49">
            <v>90</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18</v>
          </cell>
        </row>
        <row r="55">
          <cell r="BH55">
            <v>90</v>
          </cell>
        </row>
        <row r="59">
          <cell r="BF59">
            <v>2</v>
          </cell>
        </row>
        <row r="62">
          <cell r="BF62">
            <v>564</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18</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52">
        <row r="2">
          <cell r="D2">
            <v>60</v>
          </cell>
        </row>
        <row r="3">
          <cell r="T3" t="str">
            <v>祝祭日</v>
          </cell>
        </row>
        <row r="4">
          <cell r="D4">
            <v>46010</v>
          </cell>
          <cell r="T4">
            <v>45658</v>
          </cell>
        </row>
        <row r="5">
          <cell r="D5">
            <v>46044</v>
          </cell>
          <cell r="T5">
            <v>45670</v>
          </cell>
        </row>
        <row r="6">
          <cell r="T6">
            <v>45699</v>
          </cell>
        </row>
        <row r="7">
          <cell r="T7">
            <v>45711</v>
          </cell>
        </row>
        <row r="8">
          <cell r="D8">
            <v>46052</v>
          </cell>
          <cell r="T8">
            <v>45712</v>
          </cell>
        </row>
        <row r="9">
          <cell r="D9">
            <v>46058</v>
          </cell>
          <cell r="T9">
            <v>45736</v>
          </cell>
        </row>
        <row r="10">
          <cell r="D10">
            <v>2</v>
          </cell>
          <cell r="H10" t="str">
            <v>②</v>
          </cell>
          <cell r="T10">
            <v>45776</v>
          </cell>
        </row>
        <row r="11">
          <cell r="D11">
            <v>46119</v>
          </cell>
          <cell r="T11">
            <v>45780</v>
          </cell>
        </row>
        <row r="12">
          <cell r="D12">
            <v>46149</v>
          </cell>
          <cell r="T12">
            <v>45781</v>
          </cell>
        </row>
        <row r="13">
          <cell r="D13">
            <v>46178</v>
          </cell>
          <cell r="T13">
            <v>45782</v>
          </cell>
        </row>
        <row r="14">
          <cell r="D14">
            <v>46205</v>
          </cell>
          <cell r="T14">
            <v>45783</v>
          </cell>
        </row>
        <row r="15">
          <cell r="D15">
            <v>46238</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53"/>
      <sheetData sheetId="5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実 (0116)"/>
      <sheetName val="様式5DX推進"/>
      <sheetName val="様式5ﾁｪｯｸｼｰﾄ"/>
      <sheetName val="様式5ﾁｪｯｸｼｰﾄ一覧表"/>
      <sheetName val="様式6"/>
      <sheetName val="様式7の１ (原本)"/>
      <sheetName val="様式7の１（講師）"/>
      <sheetName val="様式7の１ (助手)"/>
      <sheetName val="様式7の１（キャリコン①）"/>
      <sheetName val="様式7の１（キャリコン②）"/>
      <sheetName val="様式7の１（キャリコン③）"/>
      <sheetName val="様式7の１（事務）"/>
      <sheetName val="様式7の3（原本）"/>
      <sheetName val="様式7の3（林田）"/>
      <sheetName val="様式7の3 (福本)"/>
      <sheetName val="様式7の3（今澤）"/>
      <sheetName val="様式7の3 (清水)"/>
      <sheetName val="様式7の3 (篠倉)"/>
      <sheetName val="様式7の3 (本田)"/>
      <sheetName val="様式7の3（村田）"/>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ow r="4">
          <cell r="D4">
            <v>45936</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7</v>
          </cell>
        </row>
        <row r="24">
          <cell r="D24" t="str">
            <v>実践コース</v>
          </cell>
          <cell r="G24" t="str">
            <v>002</v>
          </cell>
          <cell r="K24">
            <v>5</v>
          </cell>
          <cell r="BG24">
            <v>20</v>
          </cell>
        </row>
        <row r="25">
          <cell r="D25" t="str">
            <v>02 ＩＴ分野　</v>
          </cell>
          <cell r="K25" t="str">
            <v>07</v>
          </cell>
          <cell r="BH25">
            <v>102</v>
          </cell>
        </row>
        <row r="26">
          <cell r="D26" t="str">
            <v>AI活用で学ぶWeb制作・デザイン＆アプリ開発科</v>
          </cell>
          <cell r="K26" t="str">
            <v>40</v>
          </cell>
          <cell r="N26" t="str">
            <v>07-40-002-02-</v>
          </cell>
          <cell r="BR26" t="str">
            <v/>
          </cell>
        </row>
        <row r="27">
          <cell r="D27">
            <v>46043</v>
          </cell>
          <cell r="K27" t="str">
            <v>002</v>
          </cell>
          <cell r="BR27" t="str">
            <v/>
          </cell>
        </row>
        <row r="28">
          <cell r="D28">
            <v>46221</v>
          </cell>
          <cell r="K28" t="str">
            <v>02</v>
          </cell>
          <cell r="BR28" t="str">
            <v/>
          </cell>
        </row>
        <row r="29">
          <cell r="D29">
            <v>6</v>
          </cell>
          <cell r="K29" t="str">
            <v>0259</v>
          </cell>
          <cell r="BF29">
            <v>2</v>
          </cell>
          <cell r="BR29" t="str">
            <v/>
          </cell>
        </row>
        <row r="30">
          <cell r="D30">
            <v>22</v>
          </cell>
          <cell r="BG30">
            <v>14</v>
          </cell>
          <cell r="BQ30" t="str">
            <v/>
          </cell>
        </row>
        <row r="31">
          <cell r="D31">
            <v>0.4236111111111111</v>
          </cell>
          <cell r="BH31">
            <v>84</v>
          </cell>
          <cell r="BQ31" t="str">
            <v/>
          </cell>
        </row>
        <row r="32">
          <cell r="D32">
            <v>0.70138888888888884</v>
          </cell>
        </row>
        <row r="33">
          <cell r="D33" t="str">
            <v>Webサイトデザインとプログラミングの両方を理解し、チーム開発やAI支援ツールを活用して効率的にWeb制作を進めることができる人材。</v>
          </cell>
        </row>
        <row r="34">
          <cell r="D34" t="str">
            <v>Web制作に必要なホームページのビジュアルを作るHTML・CSSやユーザー操作に連動する動きや画面のリアルタイムな更新等の機能を追加するJavaScriptを学習。さらにユーザー視点に立ち、画面デザインや操作性に優れたUI/UX設計、PHPを活用したアプリ開発も学習する。GitHubを利用したチーム開発では、AI支援ツールを活用しコード提案、補完・修正過程を学習、フロント・バックエンドエンジニアのスキルに加えAI活用で効率的にアプリ制作ができる技能・技術を習得する。【IT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t="str">
            <v>✔</v>
          </cell>
          <cell r="O36" t="str">
            <v>02 ＩＴ分野　</v>
          </cell>
          <cell r="P36"/>
          <cell r="Q36" t="str">
            <v>02</v>
          </cell>
          <cell r="BG36">
            <v>19</v>
          </cell>
        </row>
        <row r="37">
          <cell r="D37" t="str">
            <v>98</v>
          </cell>
          <cell r="G37" t="str">
            <v/>
          </cell>
          <cell r="N37">
            <v>0</v>
          </cell>
          <cell r="O37" t="str">
            <v>03 営業・販売・事務分野</v>
          </cell>
          <cell r="P37"/>
          <cell r="Q37" t="str">
            <v>03</v>
          </cell>
          <cell r="BH37">
            <v>102</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14</v>
          </cell>
        </row>
        <row r="43">
          <cell r="C43" t="str">
            <v/>
          </cell>
          <cell r="G43" t="str">
            <v>入校式等</v>
          </cell>
          <cell r="N43">
            <v>0</v>
          </cell>
          <cell r="O43" t="str">
            <v>09 警備・保安分野</v>
          </cell>
          <cell r="P43"/>
          <cell r="Q43" t="str">
            <v>09</v>
          </cell>
          <cell r="BH43">
            <v>84</v>
          </cell>
        </row>
        <row r="44">
          <cell r="N44">
            <v>0</v>
          </cell>
          <cell r="O44" t="str">
            <v>10 クリエート（企画・創作）分野</v>
          </cell>
          <cell r="P44"/>
          <cell r="Q44" t="str">
            <v>10</v>
          </cell>
        </row>
        <row r="45">
          <cell r="N45">
            <v>0</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3</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19</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56">
        <row r="2">
          <cell r="D2">
            <v>56</v>
          </cell>
        </row>
        <row r="3">
          <cell r="T3" t="str">
            <v>祝祭日</v>
          </cell>
        </row>
        <row r="4">
          <cell r="D4">
            <v>45981</v>
          </cell>
          <cell r="T4">
            <v>45658</v>
          </cell>
        </row>
        <row r="5">
          <cell r="D5">
            <v>46009</v>
          </cell>
          <cell r="T5">
            <v>45670</v>
          </cell>
        </row>
        <row r="6">
          <cell r="T6">
            <v>45699</v>
          </cell>
        </row>
        <row r="7">
          <cell r="T7">
            <v>45711</v>
          </cell>
        </row>
        <row r="8">
          <cell r="D8">
            <v>46017</v>
          </cell>
          <cell r="T8">
            <v>45712</v>
          </cell>
        </row>
        <row r="9">
          <cell r="D9">
            <v>46030</v>
          </cell>
          <cell r="T9">
            <v>45736</v>
          </cell>
        </row>
        <row r="10">
          <cell r="D10">
            <v>2</v>
          </cell>
          <cell r="H10" t="str">
            <v>②</v>
          </cell>
          <cell r="T10">
            <v>45776</v>
          </cell>
        </row>
        <row r="11">
          <cell r="D11">
            <v>46078</v>
          </cell>
          <cell r="T11">
            <v>45780</v>
          </cell>
        </row>
        <row r="12">
          <cell r="D12">
            <v>46105</v>
          </cell>
          <cell r="T12">
            <v>45781</v>
          </cell>
        </row>
        <row r="13">
          <cell r="D13">
            <v>46135</v>
          </cell>
          <cell r="T13">
            <v>45782</v>
          </cell>
        </row>
        <row r="14">
          <cell r="D14">
            <v>46167</v>
          </cell>
          <cell r="T14">
            <v>45783</v>
          </cell>
        </row>
        <row r="15">
          <cell r="D15">
            <v>46196</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57"/>
      <sheetData sheetId="5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3実 (1014)"/>
      <sheetName val="様式4"/>
      <sheetName val="代表者･役員一覧"/>
      <sheetName val="様式5基"/>
      <sheetName val="様式5実"/>
      <sheetName val="様式5計画書"/>
      <sheetName val="様式5企業実習計画書"/>
      <sheetName val="様式5実 (1014)"/>
      <sheetName val="様式5DX推進"/>
      <sheetName val="様式5ﾁｪｯｸｼｰﾄ"/>
      <sheetName val="様式5ﾁｪｯｸｼｰﾄ一覧表"/>
      <sheetName val="様式6"/>
      <sheetName val="様式7の１（原本）"/>
      <sheetName val="様式7の１ (講師➀)"/>
      <sheetName val="様式7の１ (講師②)"/>
      <sheetName val="様式7の１ (助手)"/>
      <sheetName val="様式7の１ (講師➀) (1014)"/>
      <sheetName val="様式7の１ (講師②) (1014)"/>
      <sheetName val="様式7の１ (助手) (1014)"/>
      <sheetName val="様式7の１ (キャリコン①）Ver.4"/>
      <sheetName val="様式7の１ (キャリコン②）Ver.4"/>
      <sheetName val="様式7の１ (キャリコン③）Ver.4"/>
      <sheetName val="様式7の１ (事務）Ver.2"/>
      <sheetName val="様式7の3 (尾本)"/>
      <sheetName val="様式7の3 (林田)"/>
      <sheetName val="様式7の3（河道）"/>
      <sheetName val="様式7の3 (篠倉)"/>
      <sheetName val="様式7の3 (本田)"/>
      <sheetName val="様式7の3(福本)"/>
      <sheetName val="様式7の3(竹内)"/>
      <sheetName val="様式7の3(坂本)"/>
      <sheetName val="様式7の3(山田)"/>
      <sheetName val="様式7の3(竹田)"/>
      <sheetName val="様式7の3(谷口)"/>
      <sheetName val="様式7の3 (田代）"/>
      <sheetName val="様式7の3 (原本)"/>
      <sheetName val="様式7の3 (橋本3)(1015)"/>
      <sheetName val="様式7の3 (橋本4)(1015)"/>
      <sheetName val="様式7の3（榎）(1015)"/>
      <sheetName val="様式7の3 (南)(1015)"/>
      <sheetName val="様式7の3(宮嶋)(1015)"/>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ow r="4">
          <cell r="D4">
            <v>45842</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20</v>
          </cell>
        </row>
        <row r="25">
          <cell r="D25" t="str">
            <v>11 デザイン分野</v>
          </cell>
          <cell r="K25" t="str">
            <v>07</v>
          </cell>
          <cell r="BH25">
            <v>102</v>
          </cell>
        </row>
        <row r="26">
          <cell r="D26" t="str">
            <v>初歩から学ぶグラフィック・Webデザイナー養成科</v>
          </cell>
          <cell r="K26" t="str">
            <v>40</v>
          </cell>
          <cell r="N26" t="str">
            <v>07-40-002-11-</v>
          </cell>
          <cell r="BR26" t="str">
            <v/>
          </cell>
        </row>
        <row r="27">
          <cell r="D27">
            <v>45951</v>
          </cell>
          <cell r="K27" t="str">
            <v>002</v>
          </cell>
          <cell r="BR27" t="str">
            <v/>
          </cell>
        </row>
        <row r="28">
          <cell r="D28">
            <v>46132</v>
          </cell>
          <cell r="K28" t="str">
            <v>11</v>
          </cell>
          <cell r="BR28" t="str">
            <v/>
          </cell>
        </row>
        <row r="29">
          <cell r="D29">
            <v>6</v>
          </cell>
          <cell r="K29" t="str">
            <v>0167</v>
          </cell>
          <cell r="BF29">
            <v>2</v>
          </cell>
          <cell r="BR29" t="str">
            <v/>
          </cell>
        </row>
        <row r="30">
          <cell r="D30">
            <v>22</v>
          </cell>
          <cell r="BG30">
            <v>17</v>
          </cell>
          <cell r="BQ30" t="str">
            <v/>
          </cell>
        </row>
        <row r="31">
          <cell r="D31">
            <v>0.41666666666666669</v>
          </cell>
          <cell r="BH31">
            <v>102</v>
          </cell>
          <cell r="BQ31" t="str">
            <v/>
          </cell>
        </row>
        <row r="32">
          <cell r="D32">
            <v>0.69444444444444442</v>
          </cell>
        </row>
        <row r="33">
          <cell r="D33" t="str">
            <v>ホームページを制作する上で必要な制作のルール・基本知識を正しく身につけ、デジタルコンテンツの加工技術や紙面のレイアウト力を基にクライアントの要求するWeb制作が出来るようになる。また、デザイン能力に対するニーズが高まりつつある業界でのバナー広告やデジタルコンテンツ制作力の習得も目標とする。</v>
          </cell>
        </row>
        <row r="34">
          <cell r="D34" t="str">
            <v>ホームページの企画・デザイン手法及びバナー広告、それらに付随するグラフィックデザインに関する制作の知識及び技能・技術を習得する。【WEBデザイン資格・DSS対応】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546</v>
          </cell>
          <cell r="G36" t="str">
            <v>様式5実</v>
          </cell>
          <cell r="I36" t="str">
            <v>○</v>
          </cell>
          <cell r="J36" t="str">
            <v>実践コース</v>
          </cell>
          <cell r="K36"/>
          <cell r="L36" t="str">
            <v>002</v>
          </cell>
          <cell r="N36">
            <v>0</v>
          </cell>
          <cell r="O36" t="str">
            <v>02 ＩＴ分野　</v>
          </cell>
          <cell r="P36"/>
          <cell r="Q36" t="str">
            <v>02</v>
          </cell>
          <cell r="BG36">
            <v>16</v>
          </cell>
        </row>
        <row r="37">
          <cell r="D37" t="str">
            <v>99</v>
          </cell>
          <cell r="G37" t="str">
            <v/>
          </cell>
          <cell r="N37">
            <v>0</v>
          </cell>
          <cell r="O37" t="str">
            <v>03 営業・販売・事務分野</v>
          </cell>
          <cell r="P37"/>
          <cell r="Q37" t="str">
            <v>03</v>
          </cell>
          <cell r="BH37">
            <v>84</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15</v>
          </cell>
        </row>
        <row r="43">
          <cell r="C43" t="str">
            <v/>
          </cell>
          <cell r="G43" t="str">
            <v>入校式等</v>
          </cell>
          <cell r="N43">
            <v>0</v>
          </cell>
          <cell r="O43" t="str">
            <v>09 警備・保安分野</v>
          </cell>
          <cell r="P43"/>
          <cell r="Q43" t="str">
            <v>09</v>
          </cell>
          <cell r="BH43">
            <v>90</v>
          </cell>
        </row>
        <row r="44">
          <cell r="N44">
            <v>0</v>
          </cell>
          <cell r="O44" t="str">
            <v>10 クリエート（企画・創作）分野</v>
          </cell>
          <cell r="P44"/>
          <cell r="Q44" t="str">
            <v>10</v>
          </cell>
        </row>
        <row r="45">
          <cell r="N45" t="str">
            <v>✔</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2</v>
          </cell>
        </row>
        <row r="62">
          <cell r="BF62">
            <v>546</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18</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71">
        <row r="2">
          <cell r="D2">
            <v>44</v>
          </cell>
        </row>
        <row r="3">
          <cell r="T3" t="str">
            <v>祝祭日</v>
          </cell>
        </row>
        <row r="4">
          <cell r="D4">
            <v>45890</v>
          </cell>
          <cell r="T4">
            <v>45658</v>
          </cell>
        </row>
        <row r="5">
          <cell r="D5">
            <v>45919</v>
          </cell>
          <cell r="T5">
            <v>45670</v>
          </cell>
        </row>
        <row r="6">
          <cell r="T6">
            <v>45699</v>
          </cell>
        </row>
        <row r="7">
          <cell r="T7">
            <v>45711</v>
          </cell>
        </row>
        <row r="8">
          <cell r="D8">
            <v>45930</v>
          </cell>
          <cell r="T8">
            <v>45712</v>
          </cell>
        </row>
        <row r="9">
          <cell r="D9">
            <v>45936</v>
          </cell>
          <cell r="T9">
            <v>45736</v>
          </cell>
        </row>
        <row r="10">
          <cell r="D10">
            <v>2</v>
          </cell>
          <cell r="H10" t="str">
            <v>②</v>
          </cell>
          <cell r="T10">
            <v>45776</v>
          </cell>
        </row>
        <row r="11">
          <cell r="D11">
            <v>45996</v>
          </cell>
          <cell r="T11">
            <v>45780</v>
          </cell>
        </row>
        <row r="12">
          <cell r="D12">
            <v>46029</v>
          </cell>
          <cell r="T12">
            <v>45781</v>
          </cell>
        </row>
        <row r="13">
          <cell r="D13">
            <v>46062</v>
          </cell>
          <cell r="T13">
            <v>45782</v>
          </cell>
        </row>
        <row r="14">
          <cell r="D14">
            <v>46085</v>
          </cell>
          <cell r="T14">
            <v>45783</v>
          </cell>
        </row>
        <row r="15">
          <cell r="D15">
            <v>46119</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72"/>
      <sheetData sheetId="7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DX推進"/>
      <sheetName val="様式5実 (1204)"/>
      <sheetName val="様式5ﾁｪｯｸｼｰﾄ"/>
      <sheetName val="様式5ﾁｪｯｸｼｰﾄ一覧表"/>
      <sheetName val="様式6"/>
      <sheetName val="様式7の１ (講師①)"/>
      <sheetName val="様式7の１ (講師①) (1204)"/>
      <sheetName val="様式7の１ (講師②)"/>
      <sheetName val="様式7の１ (講師②) (1204)"/>
      <sheetName val="様式7の１ (助手)"/>
      <sheetName val="様式7の１ (助手) (1204)"/>
      <sheetName val="様式7の１（キャリコン①）"/>
      <sheetName val="様式7の１（キャリコン②）"/>
      <sheetName val="様式7の１（キャリコン③）"/>
      <sheetName val="様式7の１（事務）"/>
      <sheetName val="様式7の3 (原本)"/>
      <sheetName val="様式7の3 (榎)"/>
      <sheetName val="様式7の3 (田代)"/>
      <sheetName val="様式7の3 (河道)"/>
      <sheetName val="様式7の3 (篠倉)"/>
      <sheetName val="様式7の3 (橋本①)"/>
      <sheetName val="様式7の3 (橋本②)"/>
      <sheetName val="様式7の3 (本田)"/>
      <sheetName val="様式7の3 (福本)"/>
      <sheetName val="様式7の3 (竹内)"/>
      <sheetName val="様式7の3 (江口)"/>
      <sheetName val="様式7の3 (坂本)"/>
      <sheetName val="様式7の3 (古賀)"/>
      <sheetName val="様式7の3 (南)"/>
      <sheetName val="様式7の3 (山田)"/>
      <sheetName val="様式7の3 (谷口)"/>
      <sheetName val="様式7の3 (道添)"/>
      <sheetName val="様式7の3 (宮嶋)1212"/>
      <sheetName val="様式7の3 (林田)1117"/>
      <sheetName val="様式7の3 (樽谷先生)"/>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裏)基"/>
      <sheetName val="コース案内(表)"/>
      <sheetName val="コース案内(裏)実"/>
      <sheetName val="独自チラシ"/>
      <sheetName val="新聞広告等"/>
      <sheetName val="機構処理"/>
      <sheetName val="開講スケジュール"/>
      <sheetName val="修正履歴"/>
      <sheetName val="登録用"/>
    </sheetNames>
    <sheetDataSet>
      <sheetData sheetId="0" refreshError="1"/>
      <sheetData sheetId="1" refreshError="1"/>
      <sheetData sheetId="2">
        <row r="20">
          <cell r="E20" t="st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ow r="4">
          <cell r="D4">
            <v>45904</v>
          </cell>
        </row>
        <row r="7">
          <cell r="D7" t="str">
            <v>株式会社キャリアプログラム</v>
          </cell>
        </row>
        <row r="8">
          <cell r="D8" t="str">
            <v>カブシキガイシャキャリアプログラム</v>
          </cell>
          <cell r="I8">
            <v>45748</v>
          </cell>
          <cell r="K8" t="str">
            <v>令和</v>
          </cell>
          <cell r="L8" t="str">
            <v>07</v>
          </cell>
          <cell r="N8" t="str">
            <v>明治</v>
          </cell>
          <cell r="O8" t="str">
            <v>1</v>
          </cell>
          <cell r="P8" t="str">
            <v>1868</v>
          </cell>
          <cell r="R8" t="str">
            <v>福岡県</v>
          </cell>
          <cell r="S8" t="str">
            <v>40</v>
          </cell>
        </row>
        <row r="9">
          <cell r="D9" t="str">
            <v>代表取締役　林　健児</v>
          </cell>
          <cell r="I9">
            <v>46113</v>
          </cell>
          <cell r="K9" t="str">
            <v>令和</v>
          </cell>
          <cell r="L9" t="str">
            <v>08</v>
          </cell>
          <cell r="N9" t="str">
            <v>大正</v>
          </cell>
          <cell r="O9" t="str">
            <v>2</v>
          </cell>
          <cell r="P9" t="str">
            <v>1912</v>
          </cell>
          <cell r="R9" t="str">
            <v>佐賀県</v>
          </cell>
          <cell r="S9" t="str">
            <v>41</v>
          </cell>
        </row>
        <row r="10">
          <cell r="D10" t="str">
            <v>550-0002</v>
          </cell>
          <cell r="I10">
            <v>46478</v>
          </cell>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K11" t="str">
            <v>令和</v>
          </cell>
          <cell r="L11" t="str">
            <v>10</v>
          </cell>
          <cell r="N11" t="str">
            <v>平成</v>
          </cell>
          <cell r="O11">
            <v>4</v>
          </cell>
          <cell r="P11" t="str">
            <v>1989</v>
          </cell>
          <cell r="R11" t="str">
            <v>熊本県</v>
          </cell>
          <cell r="S11" t="str">
            <v>43</v>
          </cell>
        </row>
        <row r="12">
          <cell r="I12">
            <v>47209</v>
          </cell>
          <cell r="K12" t="str">
            <v>令和</v>
          </cell>
          <cell r="L12" t="str">
            <v>11</v>
          </cell>
          <cell r="N12" t="str">
            <v>令和</v>
          </cell>
          <cell r="O12">
            <v>5</v>
          </cell>
          <cell r="P12" t="str">
            <v>2019</v>
          </cell>
          <cell r="R12" t="str">
            <v>大分県</v>
          </cell>
          <cell r="S12" t="str">
            <v>44</v>
          </cell>
        </row>
        <row r="13">
          <cell r="D13" t="str">
            <v>201800026</v>
          </cell>
          <cell r="R13" t="str">
            <v>宮崎県</v>
          </cell>
          <cell r="S13" t="str">
            <v>45</v>
          </cell>
        </row>
        <row r="14">
          <cell r="D14" t="str">
            <v>7120001200662</v>
          </cell>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4">
          <cell r="D24" t="str">
            <v>実践コース</v>
          </cell>
          <cell r="G24" t="str">
            <v>002</v>
          </cell>
          <cell r="K24">
            <v>5</v>
          </cell>
          <cell r="BG24">
            <v>17</v>
          </cell>
        </row>
        <row r="25">
          <cell r="D25" t="str">
            <v>10 クリエート（企画・創作）分野</v>
          </cell>
          <cell r="K25" t="str">
            <v>07</v>
          </cell>
          <cell r="BH25">
            <v>84</v>
          </cell>
        </row>
        <row r="26">
          <cell r="D26" t="str">
            <v>ここから始める！グラフィック・広告クリエイト科</v>
          </cell>
          <cell r="K26" t="str">
            <v>40</v>
          </cell>
          <cell r="N26" t="str">
            <v>07-40-002-10-</v>
          </cell>
          <cell r="BR26" t="e">
            <v>#REF!</v>
          </cell>
        </row>
        <row r="27">
          <cell r="D27">
            <v>46014</v>
          </cell>
          <cell r="K27" t="str">
            <v>002</v>
          </cell>
          <cell r="BR27" t="e">
            <v>#REF!</v>
          </cell>
        </row>
        <row r="28">
          <cell r="D28">
            <v>46195</v>
          </cell>
          <cell r="K28" t="str">
            <v>10</v>
          </cell>
          <cell r="BR28" t="e">
            <v>#REF!</v>
          </cell>
        </row>
        <row r="29">
          <cell r="D29">
            <v>6</v>
          </cell>
          <cell r="K29" t="str">
            <v>0232</v>
          </cell>
          <cell r="BF29">
            <v>2</v>
          </cell>
          <cell r="BR29" t="e">
            <v>#REF!</v>
          </cell>
        </row>
        <row r="30">
          <cell r="D30">
            <v>20</v>
          </cell>
          <cell r="BG30">
            <v>17</v>
          </cell>
          <cell r="BQ30" t="e">
            <v>#REF!</v>
          </cell>
        </row>
        <row r="31">
          <cell r="D31">
            <v>0.43055555555555558</v>
          </cell>
          <cell r="BH31">
            <v>102</v>
          </cell>
          <cell r="BQ31" t="e">
            <v>#REF!</v>
          </cell>
        </row>
        <row r="32">
          <cell r="D32">
            <v>0.70833333333333337</v>
          </cell>
        </row>
        <row r="33">
          <cell r="D33" t="str">
            <v>DTPデザイン・特設Webサイト制作スキルを身につける。これらの技能に加えてクリエイト・オペレーション職に必要な企画立案力を習得し、業務幅を広げ活躍できる人材の育成を目標とする。</v>
          </cell>
        </row>
        <row r="34">
          <cell r="D34" t="str">
            <v>販売促進の為の広告制作、特設Webサイト制作に関する知識及び技能・技術を習得する。</v>
          </cell>
        </row>
        <row r="35">
          <cell r="D35" t="str">
            <v>特になし</v>
          </cell>
          <cell r="I35" t="str">
            <v/>
          </cell>
          <cell r="J35" t="str">
            <v>基礎コース</v>
          </cell>
          <cell r="L35" t="str">
            <v>001</v>
          </cell>
          <cell r="N35" t="str">
            <v/>
          </cell>
          <cell r="O35" t="str">
            <v>00 基礎分野　</v>
          </cell>
          <cell r="Q35" t="str">
            <v>00</v>
          </cell>
          <cell r="BF35">
            <v>0</v>
          </cell>
        </row>
        <row r="36">
          <cell r="D36" t="str">
            <v>540</v>
          </cell>
          <cell r="G36" t="str">
            <v>様式5実</v>
          </cell>
          <cell r="I36" t="str">
            <v>○</v>
          </cell>
          <cell r="J36" t="str">
            <v>実践コース</v>
          </cell>
          <cell r="L36" t="str">
            <v>002</v>
          </cell>
          <cell r="N36">
            <v>0</v>
          </cell>
          <cell r="O36" t="str">
            <v>02 ＩＴ分野　</v>
          </cell>
          <cell r="Q36" t="str">
            <v>02</v>
          </cell>
          <cell r="BG36">
            <v>19</v>
          </cell>
        </row>
        <row r="37">
          <cell r="D37" t="e">
            <v>#REF!</v>
          </cell>
          <cell r="G37" t="str">
            <v/>
          </cell>
          <cell r="N37">
            <v>0</v>
          </cell>
          <cell r="O37" t="str">
            <v>03 営業・販売・事務分野</v>
          </cell>
          <cell r="Q37" t="str">
            <v>03</v>
          </cell>
          <cell r="BH37">
            <v>102</v>
          </cell>
        </row>
        <row r="38">
          <cell r="G38" t="str">
            <v/>
          </cell>
          <cell r="N38">
            <v>0</v>
          </cell>
          <cell r="O38" t="str">
            <v>04 医療事務分野</v>
          </cell>
          <cell r="Q38" t="str">
            <v>04</v>
          </cell>
        </row>
        <row r="39">
          <cell r="N39">
            <v>0</v>
          </cell>
          <cell r="O39" t="str">
            <v>05 介護・医療・福祉分野</v>
          </cell>
          <cell r="Q39" t="str">
            <v>05</v>
          </cell>
        </row>
        <row r="40">
          <cell r="N40">
            <v>0</v>
          </cell>
          <cell r="O40" t="str">
            <v>06 農業分野</v>
          </cell>
          <cell r="Q40" t="str">
            <v>06</v>
          </cell>
        </row>
        <row r="41">
          <cell r="N41">
            <v>0</v>
          </cell>
          <cell r="O41" t="str">
            <v>07 林業分野</v>
          </cell>
          <cell r="Q41" t="str">
            <v>07</v>
          </cell>
          <cell r="BF41">
            <v>2</v>
          </cell>
        </row>
        <row r="42">
          <cell r="N42">
            <v>0</v>
          </cell>
          <cell r="O42" t="str">
            <v>08 旅行・観光分野</v>
          </cell>
          <cell r="Q42" t="str">
            <v>08</v>
          </cell>
          <cell r="BG42">
            <v>14</v>
          </cell>
        </row>
        <row r="43">
          <cell r="C43" t="str">
            <v/>
          </cell>
          <cell r="G43" t="str">
            <v>入校式等</v>
          </cell>
          <cell r="N43">
            <v>0</v>
          </cell>
          <cell r="O43" t="str">
            <v>09 警備・保安分野</v>
          </cell>
          <cell r="Q43" t="str">
            <v>09</v>
          </cell>
          <cell r="BH43">
            <v>84</v>
          </cell>
        </row>
        <row r="44">
          <cell r="N44" t="str">
            <v>✔</v>
          </cell>
          <cell r="O44" t="str">
            <v>10 クリエート（企画・創作）分野</v>
          </cell>
          <cell r="Q44" t="str">
            <v>10</v>
          </cell>
        </row>
        <row r="45">
          <cell r="N45">
            <v>0</v>
          </cell>
          <cell r="O45" t="str">
            <v>11 デザイン分野</v>
          </cell>
          <cell r="Q45" t="str">
            <v>11</v>
          </cell>
        </row>
        <row r="46">
          <cell r="N46">
            <v>0</v>
          </cell>
          <cell r="O46" t="str">
            <v>12 輸送サービス分野</v>
          </cell>
          <cell r="Q46" t="str">
            <v>12</v>
          </cell>
        </row>
        <row r="47">
          <cell r="N47">
            <v>0</v>
          </cell>
          <cell r="O47" t="str">
            <v>13 エコ分野</v>
          </cell>
          <cell r="Q47" t="str">
            <v>13</v>
          </cell>
          <cell r="BF47">
            <v>0</v>
          </cell>
        </row>
        <row r="48">
          <cell r="N48">
            <v>0</v>
          </cell>
          <cell r="O48" t="str">
            <v>14 調理分野</v>
          </cell>
          <cell r="Q48" t="str">
            <v>14</v>
          </cell>
          <cell r="BG48">
            <v>14</v>
          </cell>
        </row>
        <row r="49">
          <cell r="N49">
            <v>0</v>
          </cell>
          <cell r="O49" t="str">
            <v>15 電気関連分野</v>
          </cell>
          <cell r="Q49" t="str">
            <v>15</v>
          </cell>
          <cell r="BH49">
            <v>84</v>
          </cell>
        </row>
        <row r="50">
          <cell r="N50">
            <v>0</v>
          </cell>
          <cell r="O50" t="str">
            <v>16 機械関連分野</v>
          </cell>
          <cell r="Q50" t="str">
            <v>16</v>
          </cell>
        </row>
        <row r="51">
          <cell r="N51">
            <v>0</v>
          </cell>
          <cell r="O51" t="str">
            <v>17 金属関連分野</v>
          </cell>
          <cell r="Q51" t="str">
            <v>17</v>
          </cell>
        </row>
        <row r="52">
          <cell r="N52">
            <v>0</v>
          </cell>
          <cell r="O52" t="str">
            <v>18 建設関連分野</v>
          </cell>
          <cell r="Q52" t="str">
            <v>18</v>
          </cell>
        </row>
        <row r="53">
          <cell r="N53">
            <v>0</v>
          </cell>
          <cell r="O53" t="str">
            <v>19 理容・美容関連分野</v>
          </cell>
          <cell r="Q53" t="str">
            <v>19</v>
          </cell>
          <cell r="BF53">
            <v>0</v>
          </cell>
        </row>
        <row r="54">
          <cell r="N54">
            <v>0</v>
          </cell>
          <cell r="O54" t="str">
            <v>20 その他の分野</v>
          </cell>
          <cell r="Q54" t="str">
            <v>20</v>
          </cell>
          <cell r="BG54">
            <v>17</v>
          </cell>
        </row>
        <row r="55">
          <cell r="BH55">
            <v>84</v>
          </cell>
        </row>
        <row r="59">
          <cell r="BF59">
            <v>2</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18</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71">
        <row r="2">
          <cell r="D2">
            <v>52</v>
          </cell>
        </row>
        <row r="3">
          <cell r="T3" t="str">
            <v>祝祭日</v>
          </cell>
        </row>
        <row r="4">
          <cell r="D4">
            <v>45952</v>
          </cell>
          <cell r="T4">
            <v>45658</v>
          </cell>
        </row>
        <row r="5">
          <cell r="D5">
            <v>45980</v>
          </cell>
          <cell r="T5">
            <v>45670</v>
          </cell>
        </row>
        <row r="6">
          <cell r="T6">
            <v>45699</v>
          </cell>
        </row>
        <row r="7">
          <cell r="T7">
            <v>45711</v>
          </cell>
        </row>
        <row r="8">
          <cell r="D8">
            <v>45989</v>
          </cell>
          <cell r="T8">
            <v>45712</v>
          </cell>
        </row>
        <row r="9">
          <cell r="D9">
            <v>45995</v>
          </cell>
          <cell r="T9">
            <v>45736</v>
          </cell>
        </row>
        <row r="10">
          <cell r="D10">
            <v>2</v>
          </cell>
          <cell r="H10" t="str">
            <v>②</v>
          </cell>
          <cell r="T10">
            <v>45776</v>
          </cell>
        </row>
        <row r="11">
          <cell r="D11">
            <v>46058</v>
          </cell>
          <cell r="T11">
            <v>45780</v>
          </cell>
        </row>
        <row r="12">
          <cell r="D12">
            <v>46090</v>
          </cell>
          <cell r="T12">
            <v>45781</v>
          </cell>
        </row>
        <row r="13">
          <cell r="D13">
            <v>46114</v>
          </cell>
          <cell r="T13">
            <v>45782</v>
          </cell>
        </row>
        <row r="14">
          <cell r="D14">
            <v>46149</v>
          </cell>
          <cell r="T14">
            <v>45783</v>
          </cell>
        </row>
        <row r="15">
          <cell r="D15">
            <v>46175</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72" refreshError="1"/>
      <sheetData sheetId="7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3実 (0318)"/>
      <sheetName val="様式4"/>
      <sheetName val="代表者･役員一覧"/>
      <sheetName val="様式5基"/>
      <sheetName val="様式5実"/>
      <sheetName val="様式5計画書"/>
      <sheetName val="様式5企業実習計画書"/>
      <sheetName val="様式5実 (0318)"/>
      <sheetName val="様式5DX推進"/>
      <sheetName val="様式5ﾁｪｯｸｼｰﾄ"/>
      <sheetName val="様式5ﾁｪｯｸｼｰﾄ一覧表"/>
      <sheetName val="様式6"/>
      <sheetName val="様式7の１"/>
      <sheetName val="様式7の１（講師①）"/>
      <sheetName val="様式7の１（講師②)"/>
      <sheetName val="様式7の１（講師①） (0402)"/>
      <sheetName val="様式7の１（講師②) (0402)"/>
      <sheetName val="様式7の１ (助手)"/>
      <sheetName val="様式7の１ (助手) (0402)"/>
      <sheetName val="様式7の１（キャリコン①）"/>
      <sheetName val="様式7の１（キャリコン②）"/>
      <sheetName val="様式7の１（キャリコン③）"/>
      <sheetName val="様式7の１（事務）"/>
      <sheetName val="様式7の3"/>
      <sheetName val="様式7の3 (林田)"/>
      <sheetName val="様式7の3 (河道)"/>
      <sheetName val="様式7の3 (篠倉)"/>
      <sheetName val="様式7の3 (橋本①)"/>
      <sheetName val="様式7の3 (橋本②)"/>
      <sheetName val="様式7の3 (本田)"/>
      <sheetName val="様式7の3 (坂本)"/>
      <sheetName val="様式7の3(谷口)"/>
      <sheetName val="様式7の3(南)"/>
      <sheetName val="様式7の3(山田)"/>
      <sheetName val="様式7の3 (道添)"/>
      <sheetName val="様式7の3 (進村)"/>
      <sheetName val="様式7の3 (榎)"/>
      <sheetName val="様式7の3 (福本)"/>
      <sheetName val="様式7の3 (竹内)"/>
      <sheetName val="様式7の3 (古賀)"/>
      <sheetName val="様式7の3 (宮嶋)"/>
      <sheetName val="様式7の3(星野)"/>
      <sheetName val="様式7の3 (田代)"/>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4">
          <cell r="D4">
            <v>45995</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20</v>
          </cell>
        </row>
        <row r="25">
          <cell r="D25" t="str">
            <v>11 デザイン分野</v>
          </cell>
          <cell r="K25" t="str">
            <v>07</v>
          </cell>
          <cell r="BH25">
            <v>102</v>
          </cell>
        </row>
        <row r="26">
          <cell r="D26" t="str">
            <v>これから始める！Ｗｅｂ・ＳＮＳ動画編集＆ホームページデザイン科</v>
          </cell>
          <cell r="K26" t="str">
            <v>40</v>
          </cell>
          <cell r="N26" t="str">
            <v>07-40-002-11-</v>
          </cell>
          <cell r="BR26" t="str">
            <v/>
          </cell>
        </row>
        <row r="27">
          <cell r="D27">
            <v>46100</v>
          </cell>
          <cell r="K27" t="str">
            <v>002</v>
          </cell>
          <cell r="BR27" t="str">
            <v/>
          </cell>
        </row>
        <row r="28">
          <cell r="D28">
            <v>46283</v>
          </cell>
          <cell r="K28" t="str">
            <v>11</v>
          </cell>
          <cell r="BR28" t="str">
            <v/>
          </cell>
        </row>
        <row r="29">
          <cell r="D29">
            <v>6</v>
          </cell>
          <cell r="K29" t="str">
            <v>0297</v>
          </cell>
          <cell r="BF29">
            <v>2</v>
          </cell>
          <cell r="BR29" t="str">
            <v/>
          </cell>
        </row>
        <row r="30">
          <cell r="D30">
            <v>24</v>
          </cell>
          <cell r="BG30">
            <v>14</v>
          </cell>
          <cell r="BQ30" t="str">
            <v/>
          </cell>
        </row>
        <row r="31">
          <cell r="D31">
            <v>0.41666666666666669</v>
          </cell>
          <cell r="BH31">
            <v>84</v>
          </cell>
          <cell r="BQ31" t="str">
            <v/>
          </cell>
        </row>
        <row r="32">
          <cell r="D32">
            <v>0.69444444444444442</v>
          </cell>
        </row>
        <row r="33">
          <cell r="D33" t="str">
            <v>動画の編集スキルを習得し、かつSNSやYouTubeの活用方法も学び、それらの知識・技術をもって訴求効果の高いホームページの企画・提案・デザイン・メンテナンス等の業務ができる実践的な人材。</v>
          </cell>
        </row>
        <row r="34">
          <cell r="D34" t="str">
            <v>ホームページ制作現場で必要な一連のプロセス（コンテンツ企画、提案、制作、保守、運用）を習得した上で、さらにWeb・SNS動画の編集や視聴環境および動画配信プラットフォームに合った活用を学習できる。【WEBデザイン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v>0</v>
          </cell>
          <cell r="O36" t="str">
            <v>02 ＩＴ分野　</v>
          </cell>
          <cell r="P36"/>
          <cell r="Q36" t="str">
            <v>02</v>
          </cell>
          <cell r="BG36">
            <v>19</v>
          </cell>
        </row>
        <row r="37">
          <cell r="D37" t="str">
            <v>98</v>
          </cell>
          <cell r="G37" t="str">
            <v/>
          </cell>
          <cell r="N37">
            <v>0</v>
          </cell>
          <cell r="O37" t="str">
            <v>03 営業・販売・事務分野</v>
          </cell>
          <cell r="P37"/>
          <cell r="Q37" t="str">
            <v>03</v>
          </cell>
          <cell r="BH37">
            <v>102</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14</v>
          </cell>
        </row>
        <row r="43">
          <cell r="C43" t="str">
            <v/>
          </cell>
          <cell r="G43" t="str">
            <v>入校式等</v>
          </cell>
          <cell r="N43">
            <v>0</v>
          </cell>
          <cell r="O43" t="str">
            <v>09 警備・保安分野</v>
          </cell>
          <cell r="P43"/>
          <cell r="Q43" t="str">
            <v>09</v>
          </cell>
          <cell r="BH43">
            <v>84</v>
          </cell>
        </row>
        <row r="44">
          <cell r="N44">
            <v>0</v>
          </cell>
          <cell r="O44" t="str">
            <v>10 クリエート（企画・創作）分野</v>
          </cell>
          <cell r="P44"/>
          <cell r="Q44" t="str">
            <v>10</v>
          </cell>
        </row>
        <row r="45">
          <cell r="N45" t="str">
            <v>✔</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2</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14</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73">
        <row r="2">
          <cell r="D2">
            <v>64</v>
          </cell>
        </row>
        <row r="3">
          <cell r="T3" t="str">
            <v>祝祭日</v>
          </cell>
        </row>
        <row r="4">
          <cell r="D4">
            <v>46045</v>
          </cell>
          <cell r="T4">
            <v>45658</v>
          </cell>
        </row>
        <row r="5">
          <cell r="D5">
            <v>46073</v>
          </cell>
          <cell r="T5">
            <v>45670</v>
          </cell>
        </row>
        <row r="6">
          <cell r="T6">
            <v>45699</v>
          </cell>
        </row>
        <row r="7">
          <cell r="T7">
            <v>45711</v>
          </cell>
        </row>
        <row r="8">
          <cell r="D8">
            <v>46084</v>
          </cell>
          <cell r="T8">
            <v>45712</v>
          </cell>
        </row>
        <row r="9">
          <cell r="D9">
            <v>46087</v>
          </cell>
          <cell r="T9">
            <v>45736</v>
          </cell>
        </row>
        <row r="10">
          <cell r="D10">
            <v>2</v>
          </cell>
          <cell r="H10" t="str">
            <v>②</v>
          </cell>
          <cell r="T10">
            <v>45776</v>
          </cell>
        </row>
        <row r="11">
          <cell r="D11">
            <v>46140</v>
          </cell>
          <cell r="T11">
            <v>45780</v>
          </cell>
        </row>
        <row r="12">
          <cell r="D12">
            <v>46170</v>
          </cell>
          <cell r="T12">
            <v>45781</v>
          </cell>
        </row>
        <row r="13">
          <cell r="D13">
            <v>46199</v>
          </cell>
          <cell r="T13">
            <v>45782</v>
          </cell>
        </row>
        <row r="14">
          <cell r="D14">
            <v>46231</v>
          </cell>
          <cell r="T14">
            <v>45783</v>
          </cell>
        </row>
        <row r="15">
          <cell r="D15">
            <v>46259</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74"/>
      <sheetData sheetId="7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DX推進"/>
      <sheetName val="様式5ﾁｪｯｸｼｰﾄ"/>
      <sheetName val="様式5ﾁｪｯｸｼｰﾄ一覧表"/>
      <sheetName val="様式6"/>
      <sheetName val="様式7の１"/>
      <sheetName val="様式7の１（講師①）"/>
      <sheetName val="様式7の１（講師②)"/>
      <sheetName val="様式7の１ (助手)"/>
      <sheetName val="様式7の１（キャリコン①）"/>
      <sheetName val="様式7の１（キャリコン②）"/>
      <sheetName val="様式7の１（キャリコン③）"/>
      <sheetName val="様式7の１（事務）"/>
      <sheetName val="様式7の3 (林田)"/>
      <sheetName val="様式7の3 (河道)"/>
      <sheetName val="様式7の3 (篠倉)"/>
      <sheetName val="様式7の3 (橋本①)"/>
      <sheetName val="様式7の3 (橋本②)"/>
      <sheetName val="様式7の3 (本田)"/>
      <sheetName val="様式7の3 (坂本)"/>
      <sheetName val="様式7の3(谷口)"/>
      <sheetName val="様式7の3(南)"/>
      <sheetName val="様式7の3(山田)"/>
      <sheetName val="様式7の3"/>
      <sheetName val="様式7の3 (道添)"/>
      <sheetName val="様式7の3 (進村)"/>
      <sheetName val="様式7の3 (榎)"/>
      <sheetName val="様式7の3 (福本)"/>
      <sheetName val="様式7の3 (竹内)"/>
      <sheetName val="様式7の3 (古賀)"/>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ow r="4">
          <cell r="D4">
            <v>45936</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7</v>
          </cell>
        </row>
        <row r="24">
          <cell r="D24" t="str">
            <v>実践コース</v>
          </cell>
          <cell r="G24" t="str">
            <v>002</v>
          </cell>
          <cell r="K24">
            <v>5</v>
          </cell>
          <cell r="BG24">
            <v>20</v>
          </cell>
        </row>
        <row r="25">
          <cell r="D25" t="str">
            <v>11 デザイン分野</v>
          </cell>
          <cell r="K25" t="str">
            <v>07</v>
          </cell>
          <cell r="BH25">
            <v>102</v>
          </cell>
        </row>
        <row r="26">
          <cell r="D26" t="str">
            <v>これから始める！Ｗｅｂ・ＳＮＳ動画編集＆ホームページデザイン科</v>
          </cell>
          <cell r="K26" t="str">
            <v>40</v>
          </cell>
          <cell r="N26" t="str">
            <v>07-40-002-11-</v>
          </cell>
          <cell r="BR26" t="str">
            <v/>
          </cell>
        </row>
        <row r="27">
          <cell r="D27">
            <v>46043</v>
          </cell>
          <cell r="K27" t="str">
            <v>002</v>
          </cell>
          <cell r="BR27" t="str">
            <v/>
          </cell>
        </row>
        <row r="28">
          <cell r="D28">
            <v>46221</v>
          </cell>
          <cell r="K28" t="str">
            <v>11</v>
          </cell>
          <cell r="BR28" t="str">
            <v/>
          </cell>
        </row>
        <row r="29">
          <cell r="D29">
            <v>6</v>
          </cell>
          <cell r="K29" t="str">
            <v>0260</v>
          </cell>
          <cell r="BF29">
            <v>2</v>
          </cell>
          <cell r="BR29" t="str">
            <v/>
          </cell>
        </row>
        <row r="30">
          <cell r="D30">
            <v>24</v>
          </cell>
          <cell r="BG30">
            <v>16</v>
          </cell>
          <cell r="BQ30" t="str">
            <v/>
          </cell>
        </row>
        <row r="31">
          <cell r="D31">
            <v>0.41666666666666669</v>
          </cell>
          <cell r="BH31">
            <v>96</v>
          </cell>
          <cell r="BQ31" t="str">
            <v/>
          </cell>
        </row>
        <row r="32">
          <cell r="D32">
            <v>0.69444444444444442</v>
          </cell>
        </row>
        <row r="33">
          <cell r="D33" t="str">
            <v>動画の編集スキルを習得し、かつSNSやYouTubeの活用方法も学び、それらの知識・技術をもって訴求効果の高いホームページの企画・提案・デザイン・メンテナンス等の業務ができる実践的な人材。</v>
          </cell>
        </row>
        <row r="34">
          <cell r="D34" t="str">
            <v>ホームページ制作現場で必要な一連のプロセス（コンテンツ企画、提案、制作、保守、運用）を習得した上で、さらにWeb・SNS動画の編集や視聴環境および動画配信プラットフォームに合った活用を学習できる。【WEBデザイン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v>0</v>
          </cell>
          <cell r="O36" t="str">
            <v>02 ＩＴ分野　</v>
          </cell>
          <cell r="P36"/>
          <cell r="Q36" t="str">
            <v>02</v>
          </cell>
          <cell r="BG36">
            <v>17</v>
          </cell>
        </row>
        <row r="37">
          <cell r="D37" t="str">
            <v>98</v>
          </cell>
          <cell r="G37" t="str">
            <v/>
          </cell>
          <cell r="N37">
            <v>0</v>
          </cell>
          <cell r="O37" t="str">
            <v>03 営業・販売・事務分野</v>
          </cell>
          <cell r="P37"/>
          <cell r="Q37" t="str">
            <v>03</v>
          </cell>
          <cell r="BH37">
            <v>90</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14</v>
          </cell>
        </row>
        <row r="43">
          <cell r="C43" t="str">
            <v/>
          </cell>
          <cell r="G43" t="str">
            <v>入校式等</v>
          </cell>
          <cell r="N43">
            <v>0</v>
          </cell>
          <cell r="O43" t="str">
            <v>09 警備・保安分野</v>
          </cell>
          <cell r="P43"/>
          <cell r="Q43" t="str">
            <v>09</v>
          </cell>
          <cell r="BH43">
            <v>84</v>
          </cell>
        </row>
        <row r="44">
          <cell r="N44">
            <v>0</v>
          </cell>
          <cell r="O44" t="str">
            <v>10 クリエート（企画・創作）分野</v>
          </cell>
          <cell r="P44"/>
          <cell r="Q44" t="str">
            <v>10</v>
          </cell>
        </row>
        <row r="45">
          <cell r="N45" t="str">
            <v>✔</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3</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14</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65">
        <row r="2">
          <cell r="D2">
            <v>56</v>
          </cell>
        </row>
        <row r="3">
          <cell r="T3" t="str">
            <v>祝祭日</v>
          </cell>
        </row>
        <row r="4">
          <cell r="D4">
            <v>45981</v>
          </cell>
          <cell r="T4">
            <v>45658</v>
          </cell>
        </row>
        <row r="5">
          <cell r="D5">
            <v>46009</v>
          </cell>
          <cell r="T5">
            <v>45670</v>
          </cell>
        </row>
        <row r="6">
          <cell r="T6">
            <v>45699</v>
          </cell>
        </row>
        <row r="7">
          <cell r="T7">
            <v>45711</v>
          </cell>
        </row>
        <row r="8">
          <cell r="D8">
            <v>46017</v>
          </cell>
          <cell r="T8">
            <v>45712</v>
          </cell>
        </row>
        <row r="9">
          <cell r="D9">
            <v>46030</v>
          </cell>
          <cell r="T9">
            <v>45736</v>
          </cell>
        </row>
        <row r="10">
          <cell r="D10">
            <v>2</v>
          </cell>
          <cell r="H10" t="str">
            <v>②</v>
          </cell>
          <cell r="T10">
            <v>45776</v>
          </cell>
        </row>
        <row r="11">
          <cell r="D11">
            <v>46078</v>
          </cell>
          <cell r="T11">
            <v>45780</v>
          </cell>
        </row>
        <row r="12">
          <cell r="D12">
            <v>46105</v>
          </cell>
          <cell r="T12">
            <v>45781</v>
          </cell>
        </row>
        <row r="13">
          <cell r="D13">
            <v>46135</v>
          </cell>
          <cell r="T13">
            <v>45782</v>
          </cell>
        </row>
        <row r="14">
          <cell r="D14">
            <v>46167</v>
          </cell>
          <cell r="T14">
            <v>45783</v>
          </cell>
        </row>
        <row r="15">
          <cell r="D15">
            <v>46196</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66"/>
      <sheetData sheetId="6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3実 (1212)"/>
      <sheetName val="様式3実 (0116)"/>
      <sheetName val="様式4"/>
      <sheetName val="代表者･役員一覧"/>
      <sheetName val="様式5基"/>
      <sheetName val="様式5実"/>
      <sheetName val="様式5計画書"/>
      <sheetName val="様式5企業実習計画書"/>
      <sheetName val="様式5実 (1212)"/>
      <sheetName val="様式5DX推進"/>
      <sheetName val="様式5ﾁｪｯｸｼｰﾄ"/>
      <sheetName val="様式5ﾁｪｯｸｼｰﾄ一覧表"/>
      <sheetName val="様式6"/>
      <sheetName val="様式7の１"/>
      <sheetName val="様式7の１（講師①）"/>
      <sheetName val="様式7の１（講師②)"/>
      <sheetName val="様式7の１ (助手)"/>
      <sheetName val="様式7の１（キャリコン①）"/>
      <sheetName val="様式7の１（キャリコン②）"/>
      <sheetName val="様式7の１（キャリコン③）"/>
      <sheetName val="様式7の１（事務）"/>
      <sheetName val="様式7の3 (林田)"/>
      <sheetName val="様式7の3 (河道)"/>
      <sheetName val="様式7の3 (篠倉)"/>
      <sheetName val="様式7の3 (橋本①)"/>
      <sheetName val="様式7の3 (橋本②)"/>
      <sheetName val="様式7の3 (本田)"/>
      <sheetName val="様式7の3 (坂本)"/>
      <sheetName val="様式7の3(谷口)"/>
      <sheetName val="様式7の3(南)"/>
      <sheetName val="様式7の3(山田)"/>
      <sheetName val="様式7の3"/>
      <sheetName val="様式7の3 (道添)"/>
      <sheetName val="様式7の3 (進村)"/>
      <sheetName val="様式7の3 (榎)"/>
      <sheetName val="様式7の3 (福本)"/>
      <sheetName val="様式7の3 (竹内)"/>
      <sheetName val="様式7の3 (古賀)"/>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78">
          <cell r="AC178">
            <v>540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4">
          <cell r="D4">
            <v>45904</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17</v>
          </cell>
        </row>
        <row r="25">
          <cell r="D25" t="str">
            <v>11 デザイン分野</v>
          </cell>
          <cell r="K25" t="str">
            <v>07</v>
          </cell>
          <cell r="BH25">
            <v>84</v>
          </cell>
        </row>
        <row r="26">
          <cell r="D26" t="str">
            <v>これから始める！Ｗｅｂ・ＳＮＳ動画編集＆ホームページデザイン科</v>
          </cell>
          <cell r="K26" t="str">
            <v>40</v>
          </cell>
          <cell r="N26" t="str">
            <v>07-40-002-11-</v>
          </cell>
          <cell r="BR26" t="str">
            <v/>
          </cell>
        </row>
        <row r="27">
          <cell r="D27">
            <v>46014</v>
          </cell>
          <cell r="K27" t="str">
            <v>002</v>
          </cell>
          <cell r="BR27" t="str">
            <v/>
          </cell>
        </row>
        <row r="28">
          <cell r="D28">
            <v>46195</v>
          </cell>
          <cell r="K28" t="str">
            <v>11</v>
          </cell>
          <cell r="BR28" t="str">
            <v/>
          </cell>
        </row>
        <row r="29">
          <cell r="D29">
            <v>6</v>
          </cell>
          <cell r="K29" t="str">
            <v>0233</v>
          </cell>
          <cell r="BF29">
            <v>2</v>
          </cell>
          <cell r="BR29" t="str">
            <v/>
          </cell>
        </row>
        <row r="30">
          <cell r="D30">
            <v>24</v>
          </cell>
          <cell r="BG30">
            <v>17</v>
          </cell>
          <cell r="BQ30" t="str">
            <v/>
          </cell>
        </row>
        <row r="31">
          <cell r="D31">
            <v>0.4236111111111111</v>
          </cell>
          <cell r="BH31">
            <v>102</v>
          </cell>
          <cell r="BQ31" t="str">
            <v/>
          </cell>
        </row>
        <row r="32">
          <cell r="D32">
            <v>0.70138888888888884</v>
          </cell>
        </row>
        <row r="33">
          <cell r="D33" t="str">
            <v>動画の編集スキルを習得し、かつSNSやYouTubeの活用方法も学び、それらの知識・技術をもって訴求効果の高いホームページの企画・提案・デザイン・メンテナンス等の業務ができる実践的な人材。</v>
          </cell>
        </row>
        <row r="34">
          <cell r="D34" t="str">
            <v>ホームページ制作現場で必要な一連のプロセス（コンテンツ企画、提案、制作、保守、運用）を習得した上で、さらにWeb・SNS動画の編集や視聴環境および動画配信プラットフォームに合った活用を学習できる。【WEBデザイン資格・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v>0</v>
          </cell>
          <cell r="O36" t="str">
            <v>02 ＩＴ分野　</v>
          </cell>
          <cell r="P36"/>
          <cell r="Q36" t="str">
            <v>02</v>
          </cell>
          <cell r="BG36">
            <v>19</v>
          </cell>
        </row>
        <row r="37">
          <cell r="D37" t="str">
            <v>98</v>
          </cell>
          <cell r="G37" t="str">
            <v/>
          </cell>
          <cell r="N37">
            <v>0</v>
          </cell>
          <cell r="O37" t="str">
            <v>03 営業・販売・事務分野</v>
          </cell>
          <cell r="P37"/>
          <cell r="Q37" t="str">
            <v>03</v>
          </cell>
          <cell r="BH37">
            <v>102</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14</v>
          </cell>
        </row>
        <row r="43">
          <cell r="C43" t="str">
            <v/>
          </cell>
          <cell r="G43" t="str">
            <v>入校式等</v>
          </cell>
          <cell r="N43">
            <v>0</v>
          </cell>
          <cell r="O43" t="str">
            <v>09 警備・保安分野</v>
          </cell>
          <cell r="P43"/>
          <cell r="Q43" t="str">
            <v>09</v>
          </cell>
          <cell r="BH43">
            <v>84</v>
          </cell>
        </row>
        <row r="44">
          <cell r="N44">
            <v>0</v>
          </cell>
          <cell r="O44" t="str">
            <v>10 クリエート（企画・創作）分野</v>
          </cell>
          <cell r="P44"/>
          <cell r="Q44" t="str">
            <v>10</v>
          </cell>
        </row>
        <row r="45">
          <cell r="N45" t="str">
            <v>✔</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2</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14</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68">
        <row r="2">
          <cell r="D2">
            <v>52</v>
          </cell>
        </row>
        <row r="3">
          <cell r="T3" t="str">
            <v>祝祭日</v>
          </cell>
        </row>
        <row r="4">
          <cell r="D4">
            <v>45952</v>
          </cell>
          <cell r="T4">
            <v>45658</v>
          </cell>
        </row>
        <row r="5">
          <cell r="D5">
            <v>45980</v>
          </cell>
          <cell r="T5">
            <v>45670</v>
          </cell>
        </row>
        <row r="6">
          <cell r="T6">
            <v>45699</v>
          </cell>
        </row>
        <row r="7">
          <cell r="T7">
            <v>45711</v>
          </cell>
        </row>
        <row r="8">
          <cell r="D8">
            <v>45989</v>
          </cell>
          <cell r="T8">
            <v>45712</v>
          </cell>
        </row>
        <row r="9">
          <cell r="D9">
            <v>45995</v>
          </cell>
          <cell r="T9">
            <v>45736</v>
          </cell>
        </row>
        <row r="10">
          <cell r="D10">
            <v>2</v>
          </cell>
          <cell r="H10" t="str">
            <v>②</v>
          </cell>
          <cell r="T10">
            <v>45776</v>
          </cell>
        </row>
        <row r="11">
          <cell r="D11">
            <v>46058</v>
          </cell>
          <cell r="T11">
            <v>45780</v>
          </cell>
        </row>
        <row r="12">
          <cell r="D12">
            <v>46090</v>
          </cell>
          <cell r="T12">
            <v>45781</v>
          </cell>
        </row>
        <row r="13">
          <cell r="D13">
            <v>46114</v>
          </cell>
          <cell r="T13">
            <v>45782</v>
          </cell>
        </row>
        <row r="14">
          <cell r="D14">
            <v>46149</v>
          </cell>
          <cell r="T14">
            <v>45783</v>
          </cell>
        </row>
        <row r="15">
          <cell r="D15">
            <v>46175</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69"/>
      <sheetData sheetId="7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DX推進"/>
      <sheetName val="様式5ﾁｪｯｸｼｰﾄ"/>
      <sheetName val="様式5ﾁｪｯｸｼｰﾄ一覧表"/>
      <sheetName val="様式6"/>
      <sheetName val="様式7の１(原本)"/>
      <sheetName val="様式7の１(講師)"/>
      <sheetName val="様式7の１（講師②）"/>
      <sheetName val="様式7の１(講師) (0316)"/>
      <sheetName val="様式7の１(助手)"/>
      <sheetName val="様式7の１（キャリコン①）"/>
      <sheetName val="様式7の１（キャリコン②）"/>
      <sheetName val="様式7の１（キャリコン③）"/>
      <sheetName val="様式7の3 (原本)"/>
      <sheetName val="様式7の3 (尾本)"/>
      <sheetName val="様式7の3 (榎)"/>
      <sheetName val="様式7の3 (進村)"/>
      <sheetName val="様式7の3 (橋本)"/>
      <sheetName val="様式7の3 (林田)"/>
      <sheetName val="様式7の3(福本)"/>
      <sheetName val="様式7の3(清水)"/>
      <sheetName val="様式7の１ (事務）"/>
      <sheetName val="様式7の3(村田)"/>
      <sheetName val="様式7の3 (本田)"/>
      <sheetName val="様式7の3 (河道)"/>
      <sheetName val="様式7の3 (篠倉)"/>
      <sheetName val="様式7の3(竹内)"/>
      <sheetName val="様式8"/>
      <sheetName val="様式9"/>
      <sheetName val="様式9 勤務予定表"/>
      <sheetName val="様式10 "/>
      <sheetName val="様式12"/>
      <sheetName val="様式13の1基"/>
      <sheetName val="様式13の2(自己評価)"/>
      <sheetName val="様式13の1実"/>
      <sheetName val="様式15の1基"/>
      <sheetName val="様式15の2基"/>
      <sheetName val="様式14 "/>
      <sheetName val="様式15の1実"/>
      <sheetName val="様式15の2実"/>
      <sheetName val="様式16の２"/>
      <sheetName val="様式18"/>
      <sheetName val="オリエンテーション基"/>
      <sheetName val="オリエンテーション実"/>
      <sheetName val="様式17"/>
      <sheetName val="コース案内(表)"/>
      <sheetName val="コース案内(裏)基"/>
      <sheetName val="コース案内(裏)実"/>
      <sheetName val="独自チラシ"/>
      <sheetName val="新聞広告等"/>
      <sheetName val="機構処理"/>
      <sheetName val="開講スケジュール"/>
      <sheetName val="修正履歴"/>
      <sheetName val="登録用"/>
    </sheetNames>
    <sheetDataSet>
      <sheetData sheetId="0"/>
      <sheetData sheetId="1"/>
      <sheetData sheetId="2">
        <row r="20">
          <cell r="E20"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ow r="4">
          <cell r="D4">
            <v>45995</v>
          </cell>
        </row>
        <row r="7">
          <cell r="D7" t="str">
            <v>株式会社キャリアプログラム</v>
          </cell>
        </row>
        <row r="8">
          <cell r="D8" t="str">
            <v>カブシキガイシャキャリアプログラム</v>
          </cell>
          <cell r="I8">
            <v>45748</v>
          </cell>
          <cell r="J8"/>
          <cell r="K8" t="str">
            <v>令和</v>
          </cell>
          <cell r="L8" t="str">
            <v>07</v>
          </cell>
          <cell r="N8" t="str">
            <v>明治</v>
          </cell>
          <cell r="O8" t="str">
            <v>1</v>
          </cell>
          <cell r="P8" t="str">
            <v>1868</v>
          </cell>
          <cell r="R8" t="str">
            <v>福岡県</v>
          </cell>
          <cell r="S8" t="str">
            <v>40</v>
          </cell>
        </row>
        <row r="9">
          <cell r="D9" t="str">
            <v>代表取締役　林　健児</v>
          </cell>
          <cell r="I9">
            <v>46113</v>
          </cell>
          <cell r="J9"/>
          <cell r="K9" t="str">
            <v>令和</v>
          </cell>
          <cell r="L9" t="str">
            <v>08</v>
          </cell>
          <cell r="N9" t="str">
            <v>大正</v>
          </cell>
          <cell r="O9" t="str">
            <v>2</v>
          </cell>
          <cell r="P9" t="str">
            <v>1912</v>
          </cell>
          <cell r="R9" t="str">
            <v>佐賀県</v>
          </cell>
          <cell r="S9" t="str">
            <v>41</v>
          </cell>
        </row>
        <row r="10">
          <cell r="D10" t="str">
            <v>550-0002</v>
          </cell>
          <cell r="I10">
            <v>46478</v>
          </cell>
          <cell r="J10"/>
          <cell r="K10" t="str">
            <v>令和</v>
          </cell>
          <cell r="L10" t="str">
            <v>09</v>
          </cell>
          <cell r="N10" t="str">
            <v>昭和</v>
          </cell>
          <cell r="O10" t="str">
            <v>3</v>
          </cell>
          <cell r="P10" t="str">
            <v>1926</v>
          </cell>
          <cell r="R10" t="str">
            <v>長崎県</v>
          </cell>
          <cell r="S10" t="str">
            <v>42</v>
          </cell>
        </row>
        <row r="11">
          <cell r="D11" t="str">
            <v>大阪府大阪市西区江戸堀一丁目25番15号</v>
          </cell>
          <cell r="I11">
            <v>46844</v>
          </cell>
          <cell r="J11"/>
          <cell r="K11" t="str">
            <v>令和</v>
          </cell>
          <cell r="L11" t="str">
            <v>10</v>
          </cell>
          <cell r="N11" t="str">
            <v>平成</v>
          </cell>
          <cell r="O11">
            <v>4</v>
          </cell>
          <cell r="P11" t="str">
            <v>1989</v>
          </cell>
          <cell r="R11" t="str">
            <v>熊本県</v>
          </cell>
          <cell r="S11" t="str">
            <v>43</v>
          </cell>
        </row>
        <row r="12">
          <cell r="I12">
            <v>47209</v>
          </cell>
          <cell r="J12"/>
          <cell r="K12" t="str">
            <v>令和</v>
          </cell>
          <cell r="L12" t="str">
            <v>11</v>
          </cell>
          <cell r="N12" t="str">
            <v>令和</v>
          </cell>
          <cell r="O12">
            <v>5</v>
          </cell>
          <cell r="P12" t="str">
            <v>2019</v>
          </cell>
          <cell r="R12" t="str">
            <v>大分県</v>
          </cell>
          <cell r="S12" t="str">
            <v>44</v>
          </cell>
        </row>
        <row r="13">
          <cell r="D13" t="str">
            <v>201800026</v>
          </cell>
          <cell r="N13"/>
          <cell r="O13"/>
          <cell r="P13"/>
          <cell r="R13" t="str">
            <v>宮崎県</v>
          </cell>
          <cell r="S13" t="str">
            <v>45</v>
          </cell>
        </row>
        <row r="14">
          <cell r="D14" t="str">
            <v>7120001200662</v>
          </cell>
          <cell r="N14"/>
          <cell r="O14"/>
          <cell r="P14"/>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cell r="BG24">
            <v>17</v>
          </cell>
        </row>
        <row r="25">
          <cell r="D25" t="str">
            <v>02 ＩＴ分野　</v>
          </cell>
          <cell r="K25" t="str">
            <v>07</v>
          </cell>
          <cell r="BH25">
            <v>84</v>
          </cell>
        </row>
        <row r="26">
          <cell r="D26" t="str">
            <v>基礎から始めるフロントエンドエンジニア養成科</v>
          </cell>
          <cell r="K26" t="str">
            <v>40</v>
          </cell>
          <cell r="N26" t="str">
            <v>07-40-002-02-</v>
          </cell>
          <cell r="BR26" t="str">
            <v/>
          </cell>
        </row>
        <row r="27">
          <cell r="D27">
            <v>46100</v>
          </cell>
          <cell r="K27" t="str">
            <v>002</v>
          </cell>
          <cell r="BR27" t="str">
            <v/>
          </cell>
        </row>
        <row r="28">
          <cell r="D28">
            <v>46283</v>
          </cell>
          <cell r="K28" t="str">
            <v>02</v>
          </cell>
          <cell r="BR28" t="str">
            <v/>
          </cell>
        </row>
        <row r="29">
          <cell r="D29">
            <v>6</v>
          </cell>
          <cell r="K29" t="str">
            <v>0296</v>
          </cell>
          <cell r="BF29">
            <v>2</v>
          </cell>
          <cell r="BR29" t="str">
            <v/>
          </cell>
        </row>
        <row r="30">
          <cell r="D30">
            <v>24</v>
          </cell>
          <cell r="BG30">
            <v>14</v>
          </cell>
          <cell r="BQ30" t="str">
            <v/>
          </cell>
        </row>
        <row r="31">
          <cell r="D31">
            <v>0.43055555555555558</v>
          </cell>
          <cell r="BH31">
            <v>84</v>
          </cell>
          <cell r="BQ31" t="str">
            <v/>
          </cell>
        </row>
        <row r="32">
          <cell r="D32">
            <v>0.70833333333333337</v>
          </cell>
        </row>
        <row r="33">
          <cell r="D33" t="str">
            <v>Web開発の全般的な知識と実践的なスキルを持った、WebサイトやWebアプリケーションを企画・設計・開発・運用できる人材</v>
          </cell>
        </row>
        <row r="34">
          <cell r="D34" t="str">
            <v>フロントエンド開発の土台となるスキル（HTML、CSS、JavaScript）を活用したWebサイト制作だけでなく、デザインとユーザー体験を理解しユーザー視点に立ったUI・UX設計、開発に関する基礎的知識と技術を習得する【DSS対応】</v>
          </cell>
        </row>
        <row r="35">
          <cell r="D35" t="str">
            <v>特になし</v>
          </cell>
          <cell r="I35" t="str">
            <v/>
          </cell>
          <cell r="J35" t="str">
            <v>基礎コース</v>
          </cell>
          <cell r="K35"/>
          <cell r="L35" t="str">
            <v>001</v>
          </cell>
          <cell r="N35" t="str">
            <v/>
          </cell>
          <cell r="O35" t="str">
            <v>00 基礎分野　</v>
          </cell>
          <cell r="P35"/>
          <cell r="Q35" t="str">
            <v>00</v>
          </cell>
          <cell r="BF35">
            <v>0</v>
          </cell>
        </row>
        <row r="36">
          <cell r="D36" t="str">
            <v>540</v>
          </cell>
          <cell r="G36" t="str">
            <v>様式5実</v>
          </cell>
          <cell r="I36" t="str">
            <v>○</v>
          </cell>
          <cell r="J36" t="str">
            <v>実践コース</v>
          </cell>
          <cell r="K36"/>
          <cell r="L36" t="str">
            <v>002</v>
          </cell>
          <cell r="N36" t="str">
            <v>✔</v>
          </cell>
          <cell r="O36" t="str">
            <v>02 ＩＴ分野　</v>
          </cell>
          <cell r="P36"/>
          <cell r="Q36" t="str">
            <v>02</v>
          </cell>
          <cell r="BG36">
            <v>19</v>
          </cell>
        </row>
        <row r="37">
          <cell r="D37" t="str">
            <v>98</v>
          </cell>
          <cell r="G37" t="str">
            <v/>
          </cell>
          <cell r="N37">
            <v>0</v>
          </cell>
          <cell r="O37" t="str">
            <v>03 営業・販売・事務分野</v>
          </cell>
          <cell r="P37"/>
          <cell r="Q37" t="str">
            <v>03</v>
          </cell>
          <cell r="BH37">
            <v>102</v>
          </cell>
        </row>
        <row r="38">
          <cell r="G38" t="str">
            <v/>
          </cell>
          <cell r="N38">
            <v>0</v>
          </cell>
          <cell r="O38" t="str">
            <v>04 医療事務分野</v>
          </cell>
          <cell r="P38"/>
          <cell r="Q38" t="str">
            <v>04</v>
          </cell>
        </row>
        <row r="39">
          <cell r="N39">
            <v>0</v>
          </cell>
          <cell r="O39" t="str">
            <v>05 介護・医療・福祉分野</v>
          </cell>
          <cell r="P39"/>
          <cell r="Q39" t="str">
            <v>05</v>
          </cell>
        </row>
        <row r="40">
          <cell r="N40">
            <v>0</v>
          </cell>
          <cell r="O40" t="str">
            <v>06 農業分野</v>
          </cell>
          <cell r="P40"/>
          <cell r="Q40" t="str">
            <v>06</v>
          </cell>
        </row>
        <row r="41">
          <cell r="N41">
            <v>0</v>
          </cell>
          <cell r="O41" t="str">
            <v>07 林業分野</v>
          </cell>
          <cell r="P41"/>
          <cell r="Q41" t="str">
            <v>07</v>
          </cell>
          <cell r="BF41">
            <v>2</v>
          </cell>
        </row>
        <row r="42">
          <cell r="N42">
            <v>0</v>
          </cell>
          <cell r="O42" t="str">
            <v>08 旅行・観光分野</v>
          </cell>
          <cell r="P42"/>
          <cell r="Q42" t="str">
            <v>08</v>
          </cell>
          <cell r="BG42">
            <v>17</v>
          </cell>
        </row>
        <row r="43">
          <cell r="C43" t="str">
            <v/>
          </cell>
          <cell r="G43" t="str">
            <v>入校式等</v>
          </cell>
          <cell r="N43">
            <v>0</v>
          </cell>
          <cell r="O43" t="str">
            <v>09 警備・保安分野</v>
          </cell>
          <cell r="P43"/>
          <cell r="Q43" t="str">
            <v>09</v>
          </cell>
          <cell r="BH43">
            <v>102</v>
          </cell>
        </row>
        <row r="44">
          <cell r="N44">
            <v>0</v>
          </cell>
          <cell r="O44" t="str">
            <v>10 クリエート（企画・創作）分野</v>
          </cell>
          <cell r="P44"/>
          <cell r="Q44" t="str">
            <v>10</v>
          </cell>
        </row>
        <row r="45">
          <cell r="N45">
            <v>0</v>
          </cell>
          <cell r="O45" t="str">
            <v>11 デザイン分野</v>
          </cell>
          <cell r="P45"/>
          <cell r="Q45" t="str">
            <v>11</v>
          </cell>
        </row>
        <row r="46">
          <cell r="N46">
            <v>0</v>
          </cell>
          <cell r="O46" t="str">
            <v>12 輸送サービス分野</v>
          </cell>
          <cell r="P46"/>
          <cell r="Q46" t="str">
            <v>12</v>
          </cell>
        </row>
        <row r="47">
          <cell r="N47">
            <v>0</v>
          </cell>
          <cell r="O47" t="str">
            <v>13 エコ分野</v>
          </cell>
          <cell r="P47"/>
          <cell r="Q47" t="str">
            <v>13</v>
          </cell>
          <cell r="BF47">
            <v>0</v>
          </cell>
        </row>
        <row r="48">
          <cell r="N48">
            <v>0</v>
          </cell>
          <cell r="O48" t="str">
            <v>14 調理分野</v>
          </cell>
          <cell r="P48"/>
          <cell r="Q48" t="str">
            <v>14</v>
          </cell>
          <cell r="BG48">
            <v>14</v>
          </cell>
        </row>
        <row r="49">
          <cell r="N49">
            <v>0</v>
          </cell>
          <cell r="O49" t="str">
            <v>15 電気関連分野</v>
          </cell>
          <cell r="P49"/>
          <cell r="Q49" t="str">
            <v>15</v>
          </cell>
          <cell r="BH49">
            <v>84</v>
          </cell>
        </row>
        <row r="50">
          <cell r="N50">
            <v>0</v>
          </cell>
          <cell r="O50" t="str">
            <v>16 機械関連分野</v>
          </cell>
          <cell r="P50"/>
          <cell r="Q50" t="str">
            <v>16</v>
          </cell>
        </row>
        <row r="51">
          <cell r="N51">
            <v>0</v>
          </cell>
          <cell r="O51" t="str">
            <v>17 金属関連分野</v>
          </cell>
          <cell r="P51"/>
          <cell r="Q51" t="str">
            <v>17</v>
          </cell>
        </row>
        <row r="52">
          <cell r="N52">
            <v>0</v>
          </cell>
          <cell r="O52" t="str">
            <v>18 建設関連分野</v>
          </cell>
          <cell r="P52"/>
          <cell r="Q52" t="str">
            <v>18</v>
          </cell>
        </row>
        <row r="53">
          <cell r="N53">
            <v>0</v>
          </cell>
          <cell r="O53" t="str">
            <v>19 理容・美容関連分野</v>
          </cell>
          <cell r="P53"/>
          <cell r="Q53" t="str">
            <v>19</v>
          </cell>
          <cell r="BF53">
            <v>0</v>
          </cell>
        </row>
        <row r="54">
          <cell r="N54">
            <v>0</v>
          </cell>
          <cell r="O54" t="str">
            <v>20 その他の分野</v>
          </cell>
          <cell r="P54"/>
          <cell r="Q54" t="str">
            <v>20</v>
          </cell>
          <cell r="BG54">
            <v>17</v>
          </cell>
        </row>
        <row r="55">
          <cell r="BH55">
            <v>84</v>
          </cell>
        </row>
        <row r="59">
          <cell r="BF59">
            <v>2</v>
          </cell>
        </row>
        <row r="62">
          <cell r="BF62">
            <v>540</v>
          </cell>
        </row>
        <row r="72">
          <cell r="BG72">
            <v>0</v>
          </cell>
          <cell r="BI72" t="str">
            <v/>
          </cell>
        </row>
        <row r="77">
          <cell r="BG77">
            <v>0</v>
          </cell>
          <cell r="BI77" t="str">
            <v/>
          </cell>
        </row>
        <row r="81">
          <cell r="BG81">
            <v>0</v>
          </cell>
          <cell r="BI81" t="str">
            <v/>
          </cell>
        </row>
        <row r="85">
          <cell r="BG85">
            <v>0</v>
          </cell>
          <cell r="BI85" t="str">
            <v/>
          </cell>
        </row>
        <row r="89">
          <cell r="BG89">
            <v>0</v>
          </cell>
          <cell r="BI89" t="str">
            <v/>
          </cell>
        </row>
        <row r="93">
          <cell r="BG93">
            <v>0</v>
          </cell>
          <cell r="BI93" t="str">
            <v/>
          </cell>
        </row>
        <row r="130">
          <cell r="B130">
            <v>18</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62">
        <row r="2">
          <cell r="D2">
            <v>64</v>
          </cell>
        </row>
        <row r="3">
          <cell r="T3" t="str">
            <v>祝祭日</v>
          </cell>
        </row>
        <row r="4">
          <cell r="D4">
            <v>46045</v>
          </cell>
          <cell r="T4">
            <v>45658</v>
          </cell>
        </row>
        <row r="5">
          <cell r="D5">
            <v>46073</v>
          </cell>
          <cell r="T5">
            <v>45670</v>
          </cell>
        </row>
        <row r="6">
          <cell r="T6">
            <v>45699</v>
          </cell>
        </row>
        <row r="7">
          <cell r="T7">
            <v>45711</v>
          </cell>
        </row>
        <row r="8">
          <cell r="D8">
            <v>46084</v>
          </cell>
          <cell r="T8">
            <v>45712</v>
          </cell>
        </row>
        <row r="9">
          <cell r="D9">
            <v>46087</v>
          </cell>
          <cell r="T9">
            <v>45736</v>
          </cell>
        </row>
        <row r="10">
          <cell r="D10">
            <v>2</v>
          </cell>
          <cell r="H10" t="str">
            <v>②</v>
          </cell>
          <cell r="T10">
            <v>45776</v>
          </cell>
        </row>
        <row r="11">
          <cell r="D11">
            <v>46140</v>
          </cell>
          <cell r="T11">
            <v>45780</v>
          </cell>
        </row>
        <row r="12">
          <cell r="D12">
            <v>46170</v>
          </cell>
          <cell r="T12">
            <v>45781</v>
          </cell>
        </row>
        <row r="13">
          <cell r="D13">
            <v>46199</v>
          </cell>
          <cell r="T13">
            <v>45782</v>
          </cell>
        </row>
        <row r="14">
          <cell r="D14">
            <v>46231</v>
          </cell>
          <cell r="T14">
            <v>45783</v>
          </cell>
        </row>
        <row r="15">
          <cell r="D15">
            <v>46259</v>
          </cell>
          <cell r="T15">
            <v>45859</v>
          </cell>
        </row>
        <row r="16">
          <cell r="T16">
            <v>45880</v>
          </cell>
        </row>
        <row r="17">
          <cell r="T17">
            <v>45915</v>
          </cell>
        </row>
        <row r="18">
          <cell r="T18">
            <v>45923</v>
          </cell>
        </row>
        <row r="19">
          <cell r="T19">
            <v>45943</v>
          </cell>
        </row>
        <row r="20">
          <cell r="B20">
            <v>45769</v>
          </cell>
          <cell r="T20">
            <v>45964</v>
          </cell>
        </row>
        <row r="21">
          <cell r="B21">
            <v>45769</v>
          </cell>
          <cell r="T21">
            <v>45984</v>
          </cell>
        </row>
        <row r="22">
          <cell r="B22">
            <v>45769</v>
          </cell>
          <cell r="T22">
            <v>45985</v>
          </cell>
        </row>
        <row r="23">
          <cell r="B23">
            <v>45769</v>
          </cell>
          <cell r="T23">
            <v>46023</v>
          </cell>
        </row>
        <row r="24">
          <cell r="B24">
            <v>45798</v>
          </cell>
          <cell r="T24">
            <v>46034</v>
          </cell>
        </row>
        <row r="25">
          <cell r="B25">
            <v>45798</v>
          </cell>
          <cell r="T25">
            <v>46064</v>
          </cell>
        </row>
        <row r="26">
          <cell r="B26">
            <v>45798</v>
          </cell>
          <cell r="T26">
            <v>46076</v>
          </cell>
        </row>
        <row r="27">
          <cell r="B27">
            <v>45798</v>
          </cell>
          <cell r="T27">
            <v>46101</v>
          </cell>
        </row>
        <row r="28">
          <cell r="B28">
            <v>45832</v>
          </cell>
          <cell r="T28">
            <v>46141</v>
          </cell>
        </row>
        <row r="29">
          <cell r="B29">
            <v>45832</v>
          </cell>
          <cell r="T29">
            <v>46145</v>
          </cell>
        </row>
        <row r="30">
          <cell r="B30">
            <v>45832</v>
          </cell>
          <cell r="T30">
            <v>46146</v>
          </cell>
        </row>
        <row r="31">
          <cell r="B31">
            <v>45832</v>
          </cell>
          <cell r="T31">
            <v>46147</v>
          </cell>
        </row>
        <row r="32">
          <cell r="B32">
            <v>45861</v>
          </cell>
          <cell r="T32">
            <v>46148</v>
          </cell>
        </row>
        <row r="33">
          <cell r="B33">
            <v>45861</v>
          </cell>
          <cell r="T33">
            <v>46223</v>
          </cell>
        </row>
        <row r="34">
          <cell r="B34">
            <v>45861</v>
          </cell>
          <cell r="T34">
            <v>46245</v>
          </cell>
        </row>
        <row r="35">
          <cell r="B35">
            <v>45861</v>
          </cell>
          <cell r="T35">
            <v>46286</v>
          </cell>
        </row>
        <row r="36">
          <cell r="B36">
            <v>45890</v>
          </cell>
          <cell r="T36">
            <v>46287</v>
          </cell>
        </row>
        <row r="37">
          <cell r="B37">
            <v>45890</v>
          </cell>
          <cell r="T37">
            <v>46288</v>
          </cell>
        </row>
        <row r="38">
          <cell r="B38">
            <v>45890</v>
          </cell>
          <cell r="T38">
            <v>46307</v>
          </cell>
        </row>
        <row r="39">
          <cell r="B39">
            <v>45890</v>
          </cell>
          <cell r="T39">
            <v>46329</v>
          </cell>
        </row>
        <row r="40">
          <cell r="B40">
            <v>45925</v>
          </cell>
          <cell r="T40">
            <v>46349</v>
          </cell>
        </row>
        <row r="41">
          <cell r="B41">
            <v>45925</v>
          </cell>
          <cell r="T41">
            <v>46388</v>
          </cell>
        </row>
        <row r="42">
          <cell r="B42">
            <v>45925</v>
          </cell>
          <cell r="T42">
            <v>46398</v>
          </cell>
        </row>
        <row r="43">
          <cell r="B43">
            <v>45925</v>
          </cell>
          <cell r="T43">
            <v>46429</v>
          </cell>
        </row>
        <row r="44">
          <cell r="B44">
            <v>45951</v>
          </cell>
          <cell r="T44">
            <v>46441</v>
          </cell>
        </row>
        <row r="45">
          <cell r="B45">
            <v>45951</v>
          </cell>
          <cell r="T45">
            <v>46467</v>
          </cell>
        </row>
        <row r="46">
          <cell r="B46">
            <v>45951</v>
          </cell>
          <cell r="T46">
            <v>46468</v>
          </cell>
        </row>
        <row r="47">
          <cell r="B47">
            <v>45951</v>
          </cell>
          <cell r="T47">
            <v>46506</v>
          </cell>
        </row>
        <row r="48">
          <cell r="B48">
            <v>45982</v>
          </cell>
          <cell r="T48">
            <v>46510</v>
          </cell>
        </row>
        <row r="49">
          <cell r="B49">
            <v>45982</v>
          </cell>
          <cell r="T49">
            <v>46511</v>
          </cell>
        </row>
        <row r="50">
          <cell r="B50">
            <v>45982</v>
          </cell>
          <cell r="T50">
            <v>46512</v>
          </cell>
        </row>
        <row r="51">
          <cell r="B51">
            <v>45982</v>
          </cell>
          <cell r="T51">
            <v>46587</v>
          </cell>
        </row>
        <row r="52">
          <cell r="B52">
            <v>46014</v>
          </cell>
          <cell r="T52">
            <v>46610</v>
          </cell>
        </row>
        <row r="53">
          <cell r="B53">
            <v>46014</v>
          </cell>
          <cell r="T53">
            <v>46650</v>
          </cell>
        </row>
        <row r="54">
          <cell r="B54">
            <v>46014</v>
          </cell>
          <cell r="T54">
            <v>46653</v>
          </cell>
        </row>
        <row r="55">
          <cell r="B55">
            <v>46014</v>
          </cell>
          <cell r="T55">
            <v>46671</v>
          </cell>
        </row>
        <row r="56">
          <cell r="B56">
            <v>46043</v>
          </cell>
          <cell r="T56">
            <v>46694</v>
          </cell>
        </row>
        <row r="57">
          <cell r="B57">
            <v>46043</v>
          </cell>
          <cell r="T57">
            <v>46714</v>
          </cell>
        </row>
        <row r="58">
          <cell r="B58">
            <v>46043</v>
          </cell>
          <cell r="T58">
            <v>46753</v>
          </cell>
        </row>
        <row r="59">
          <cell r="B59">
            <v>46043</v>
          </cell>
          <cell r="T59">
            <v>46762</v>
          </cell>
        </row>
        <row r="60">
          <cell r="B60">
            <v>46078</v>
          </cell>
          <cell r="T60">
            <v>46794</v>
          </cell>
        </row>
        <row r="61">
          <cell r="B61">
            <v>46078</v>
          </cell>
          <cell r="T61">
            <v>46806</v>
          </cell>
        </row>
        <row r="62">
          <cell r="B62">
            <v>46078</v>
          </cell>
          <cell r="T62">
            <v>46832</v>
          </cell>
        </row>
        <row r="63">
          <cell r="B63">
            <v>46078</v>
          </cell>
          <cell r="T63">
            <v>46872</v>
          </cell>
        </row>
        <row r="64">
          <cell r="B64">
            <v>46100</v>
          </cell>
          <cell r="T64">
            <v>46876</v>
          </cell>
        </row>
        <row r="65">
          <cell r="B65">
            <v>46100</v>
          </cell>
          <cell r="T65">
            <v>46877</v>
          </cell>
        </row>
        <row r="66">
          <cell r="B66">
            <v>46100</v>
          </cell>
          <cell r="T66">
            <v>46878</v>
          </cell>
        </row>
        <row r="67">
          <cell r="B67">
            <v>46100</v>
          </cell>
          <cell r="T67">
            <v>46951</v>
          </cell>
        </row>
        <row r="68">
          <cell r="T68">
            <v>46976</v>
          </cell>
        </row>
        <row r="69">
          <cell r="T69">
            <v>47014</v>
          </cell>
        </row>
        <row r="70">
          <cell r="T70">
            <v>47018</v>
          </cell>
        </row>
        <row r="71">
          <cell r="T71">
            <v>47035</v>
          </cell>
        </row>
        <row r="72">
          <cell r="T72">
            <v>47060</v>
          </cell>
        </row>
        <row r="73">
          <cell r="T73">
            <v>47080</v>
          </cell>
        </row>
        <row r="74">
          <cell r="T74">
            <v>47119</v>
          </cell>
        </row>
        <row r="75">
          <cell r="T75">
            <v>47126</v>
          </cell>
        </row>
        <row r="76">
          <cell r="T76">
            <v>47160</v>
          </cell>
        </row>
        <row r="77">
          <cell r="T77">
            <v>47161</v>
          </cell>
        </row>
        <row r="78">
          <cell r="T78">
            <v>47172</v>
          </cell>
        </row>
        <row r="79">
          <cell r="T79">
            <v>47197</v>
          </cell>
        </row>
        <row r="80">
          <cell r="T80">
            <v>47237</v>
          </cell>
        </row>
        <row r="81">
          <cell r="T81">
            <v>47238</v>
          </cell>
        </row>
        <row r="82">
          <cell r="T82">
            <v>47241</v>
          </cell>
        </row>
        <row r="83">
          <cell r="T83">
            <v>47242</v>
          </cell>
        </row>
        <row r="84">
          <cell r="T84">
            <v>47243</v>
          </cell>
        </row>
        <row r="85">
          <cell r="T85">
            <v>47315</v>
          </cell>
        </row>
        <row r="86">
          <cell r="T86">
            <v>47341</v>
          </cell>
        </row>
        <row r="87">
          <cell r="T87">
            <v>47378</v>
          </cell>
        </row>
        <row r="88">
          <cell r="T88">
            <v>47384</v>
          </cell>
        </row>
        <row r="89">
          <cell r="T89">
            <v>47385</v>
          </cell>
        </row>
        <row r="90">
          <cell r="T90">
            <v>47399</v>
          </cell>
        </row>
        <row r="91">
          <cell r="T91">
            <v>47425</v>
          </cell>
        </row>
        <row r="92">
          <cell r="T92">
            <v>47445</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63"/>
      <sheetData sheetId="6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一覧表"/>
      <sheetName val="様式1"/>
      <sheetName val="様式2"/>
      <sheetName val="様式3基"/>
      <sheetName val="様式3実"/>
      <sheetName val="様式4"/>
      <sheetName val="代表者･役員一覧"/>
      <sheetName val="様式5基"/>
      <sheetName val="様式5実"/>
      <sheetName val="様式5計画書"/>
      <sheetName val="様式5企業実習計画書"/>
      <sheetName val="様式5DX推進"/>
      <sheetName val="様式5ﾁｪｯｸｼｰﾄ"/>
      <sheetName val="様式5ﾁｪｯｸｼｰﾄ一覧表"/>
      <sheetName val="様式7の１"/>
      <sheetName val="様式6"/>
      <sheetName val="様式6 (2)"/>
      <sheetName val="様式6 (変更草案0402)"/>
      <sheetName val="様式7の１ (講師①)"/>
      <sheetName val="様式7の１ (講師②)"/>
      <sheetName val="様式7の１ (助手)"/>
      <sheetName val="様式7の１ (キャリコン①)"/>
      <sheetName val="様式7の１ (キャリコン②)"/>
      <sheetName val="様式7の１ (キャリコン③)"/>
      <sheetName val="様式7の１ (事務)"/>
      <sheetName val="様式7の3"/>
      <sheetName val="様式7の3 (古賀)"/>
      <sheetName val="様式7の3（榎）"/>
      <sheetName val="様式7の3 (田代）"/>
      <sheetName val="様式7の3（河道）"/>
      <sheetName val="様式7の3 (道添)"/>
      <sheetName val="様式7の3 (篠倉)"/>
      <sheetName val="様式7の3 (橋本)"/>
      <sheetName val="様式7の3 (福本)"/>
      <sheetName val="様式7の3 (本田)"/>
      <sheetName val="様式7の3(竹内)"/>
      <sheetName val="様式7の3 (林田)"/>
      <sheetName val="様式7の3(坂本)"/>
      <sheetName val="様式7の3(谷口)"/>
      <sheetName val="様式7の3(宮嶋)"/>
      <sheetName val="様式8"/>
      <sheetName val="様式9"/>
      <sheetName val="様式9 勤務予定表"/>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登録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ow r="4">
          <cell r="D4">
            <v>46030</v>
          </cell>
        </row>
        <row r="7">
          <cell r="D7" t="str">
            <v>株式会社キャリアプログラム</v>
          </cell>
        </row>
        <row r="8">
          <cell r="D8" t="str">
            <v>カブシキガイシャキャリアプログラム</v>
          </cell>
          <cell r="I8">
            <v>46113</v>
          </cell>
          <cell r="K8" t="str">
            <v>令和</v>
          </cell>
          <cell r="L8" t="str">
            <v>08</v>
          </cell>
          <cell r="N8" t="str">
            <v>明治</v>
          </cell>
          <cell r="O8" t="str">
            <v>1</v>
          </cell>
          <cell r="P8" t="str">
            <v>1868</v>
          </cell>
          <cell r="R8" t="str">
            <v>福岡県</v>
          </cell>
          <cell r="S8" t="str">
            <v>40</v>
          </cell>
        </row>
        <row r="9">
          <cell r="D9" t="str">
            <v>代表取締役　林　健児</v>
          </cell>
          <cell r="I9">
            <v>46478</v>
          </cell>
          <cell r="K9" t="str">
            <v>令和</v>
          </cell>
          <cell r="L9" t="str">
            <v>09</v>
          </cell>
          <cell r="N9" t="str">
            <v>大正</v>
          </cell>
          <cell r="O9" t="str">
            <v>2</v>
          </cell>
          <cell r="P9" t="str">
            <v>1912</v>
          </cell>
          <cell r="R9" t="str">
            <v>佐賀県</v>
          </cell>
          <cell r="S9" t="str">
            <v>41</v>
          </cell>
        </row>
        <row r="10">
          <cell r="D10" t="str">
            <v>550-0002</v>
          </cell>
          <cell r="I10">
            <v>46844</v>
          </cell>
          <cell r="K10" t="str">
            <v>令和</v>
          </cell>
          <cell r="L10" t="str">
            <v>10</v>
          </cell>
          <cell r="N10" t="str">
            <v>昭和</v>
          </cell>
          <cell r="O10" t="str">
            <v>3</v>
          </cell>
          <cell r="P10" t="str">
            <v>1926</v>
          </cell>
          <cell r="R10" t="str">
            <v>長崎県</v>
          </cell>
          <cell r="S10" t="str">
            <v>42</v>
          </cell>
        </row>
        <row r="11">
          <cell r="D11" t="str">
            <v>大阪府大阪市西区江戸堀一丁目25番15号</v>
          </cell>
          <cell r="I11">
            <v>47209</v>
          </cell>
          <cell r="K11" t="str">
            <v>令和</v>
          </cell>
          <cell r="L11" t="str">
            <v>11</v>
          </cell>
          <cell r="N11" t="str">
            <v>平成</v>
          </cell>
          <cell r="O11">
            <v>4</v>
          </cell>
          <cell r="P11" t="str">
            <v>1989</v>
          </cell>
          <cell r="R11" t="str">
            <v>熊本県</v>
          </cell>
          <cell r="S11" t="str">
            <v>43</v>
          </cell>
        </row>
        <row r="12">
          <cell r="I12">
            <v>47574</v>
          </cell>
          <cell r="K12" t="str">
            <v>令和</v>
          </cell>
          <cell r="L12" t="str">
            <v>12</v>
          </cell>
          <cell r="N12" t="str">
            <v>令和</v>
          </cell>
          <cell r="O12">
            <v>5</v>
          </cell>
          <cell r="P12" t="str">
            <v>2019</v>
          </cell>
          <cell r="R12" t="str">
            <v>大分県</v>
          </cell>
          <cell r="S12" t="str">
            <v>44</v>
          </cell>
        </row>
        <row r="13">
          <cell r="D13" t="str">
            <v>201800026</v>
          </cell>
          <cell r="R13" t="str">
            <v>宮崎県</v>
          </cell>
          <cell r="S13" t="str">
            <v>45</v>
          </cell>
        </row>
        <row r="14">
          <cell r="D14" t="str">
            <v>7120001200662</v>
          </cell>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v>
          </cell>
        </row>
        <row r="21">
          <cell r="D21" t="str">
            <v>092-401-1835</v>
          </cell>
        </row>
        <row r="23">
          <cell r="BD23">
            <v>6</v>
          </cell>
        </row>
        <row r="24">
          <cell r="D24" t="str">
            <v>実践コース</v>
          </cell>
          <cell r="G24" t="str">
            <v>002</v>
          </cell>
          <cell r="K24">
            <v>5</v>
          </cell>
        </row>
        <row r="25">
          <cell r="D25" t="str">
            <v>11 デザイン分野</v>
          </cell>
          <cell r="K25" t="str">
            <v>08</v>
          </cell>
        </row>
        <row r="26">
          <cell r="D26" t="str">
            <v>初歩から学ぶグラフィック・Webデザイナー養成科</v>
          </cell>
          <cell r="K26" t="str">
            <v>40</v>
          </cell>
          <cell r="N26" t="str">
            <v>08-40-002-11-</v>
          </cell>
        </row>
        <row r="27">
          <cell r="D27">
            <v>46133</v>
          </cell>
          <cell r="K27" t="str">
            <v>002</v>
          </cell>
        </row>
        <row r="28">
          <cell r="D28">
            <v>46315</v>
          </cell>
          <cell r="K28" t="str">
            <v>11</v>
          </cell>
        </row>
        <row r="29">
          <cell r="D29">
            <v>6</v>
          </cell>
          <cell r="K29" t="str">
            <v>0017</v>
          </cell>
        </row>
        <row r="30">
          <cell r="D30">
            <v>22</v>
          </cell>
        </row>
        <row r="31">
          <cell r="D31">
            <v>0.41666666666666669</v>
          </cell>
        </row>
        <row r="32">
          <cell r="D32">
            <v>0.69444444444444442</v>
          </cell>
        </row>
        <row r="33">
          <cell r="D33" t="str">
            <v>ホームページを制作する上で必要な制作のルール・基本知識を正しく身につけ、デジタルコンテンツの加工技術や紙面のレイアウト力を基にクライアントの要求するWeb制作が出来るようになる。また、デザイン能力に対するニーズが高まりつつある業界でのバナー広告やデジタルコンテンツ制作力の習得も目標とする。</v>
          </cell>
        </row>
        <row r="34">
          <cell r="D34" t="str">
            <v>ホームページの企画・デザイン手法及びバナー広告、それらに付随するグラフィックデザインに関する制作の知識及び技能・技術を習得する。【WEBデザイン資格・DSS対応】</v>
          </cell>
        </row>
        <row r="35">
          <cell r="D35" t="str">
            <v>特になし</v>
          </cell>
          <cell r="I35" t="str">
            <v/>
          </cell>
          <cell r="J35" t="str">
            <v>基礎コース</v>
          </cell>
          <cell r="L35" t="str">
            <v>001</v>
          </cell>
          <cell r="N35" t="str">
            <v/>
          </cell>
          <cell r="O35" t="str">
            <v>00 基礎分野　</v>
          </cell>
          <cell r="Q35" t="str">
            <v>00</v>
          </cell>
        </row>
        <row r="36">
          <cell r="D36" t="str">
            <v>540</v>
          </cell>
          <cell r="G36" t="str">
            <v>様式5実</v>
          </cell>
          <cell r="I36" t="str">
            <v>○</v>
          </cell>
          <cell r="J36" t="str">
            <v>実践コース</v>
          </cell>
          <cell r="L36" t="str">
            <v>002</v>
          </cell>
          <cell r="N36">
            <v>0</v>
          </cell>
          <cell r="O36" t="str">
            <v>02 ＩＴ分野　</v>
          </cell>
          <cell r="Q36" t="str">
            <v>02</v>
          </cell>
        </row>
        <row r="37">
          <cell r="D37" t="str">
            <v>98</v>
          </cell>
          <cell r="G37" t="str">
            <v/>
          </cell>
          <cell r="N37">
            <v>0</v>
          </cell>
          <cell r="O37" t="str">
            <v>03 営業・販売・事務分野</v>
          </cell>
          <cell r="Q37" t="str">
            <v>03</v>
          </cell>
        </row>
        <row r="38">
          <cell r="G38" t="str">
            <v/>
          </cell>
          <cell r="N38">
            <v>0</v>
          </cell>
          <cell r="O38" t="str">
            <v>04 医療事務分野</v>
          </cell>
          <cell r="Q38" t="str">
            <v>04</v>
          </cell>
        </row>
        <row r="39">
          <cell r="N39">
            <v>0</v>
          </cell>
          <cell r="O39" t="str">
            <v>05 介護・医療・福祉分野</v>
          </cell>
          <cell r="Q39" t="str">
            <v>05</v>
          </cell>
        </row>
        <row r="40">
          <cell r="N40">
            <v>0</v>
          </cell>
          <cell r="O40" t="str">
            <v>06 農業分野</v>
          </cell>
          <cell r="Q40" t="str">
            <v>06</v>
          </cell>
        </row>
        <row r="41">
          <cell r="N41">
            <v>0</v>
          </cell>
          <cell r="O41" t="str">
            <v>07 林業分野</v>
          </cell>
          <cell r="Q41" t="str">
            <v>07</v>
          </cell>
        </row>
        <row r="42">
          <cell r="N42">
            <v>0</v>
          </cell>
          <cell r="O42" t="str">
            <v>08 旅行・観光分野</v>
          </cell>
          <cell r="Q42" t="str">
            <v>08</v>
          </cell>
        </row>
        <row r="43">
          <cell r="C43" t="str">
            <v/>
          </cell>
          <cell r="G43" t="str">
            <v>入校式等</v>
          </cell>
          <cell r="N43">
            <v>0</v>
          </cell>
          <cell r="O43" t="str">
            <v>09 警備・保安分野</v>
          </cell>
          <cell r="Q43" t="str">
            <v>09</v>
          </cell>
        </row>
        <row r="44">
          <cell r="N44">
            <v>0</v>
          </cell>
          <cell r="O44" t="str">
            <v>10 クリエート（企画・創作）分野</v>
          </cell>
          <cell r="Q44" t="str">
            <v>10</v>
          </cell>
        </row>
        <row r="45">
          <cell r="N45" t="str">
            <v>✔</v>
          </cell>
          <cell r="O45" t="str">
            <v>11 デザイン分野</v>
          </cell>
          <cell r="Q45" t="str">
            <v>11</v>
          </cell>
        </row>
        <row r="46">
          <cell r="N46">
            <v>0</v>
          </cell>
          <cell r="O46" t="str">
            <v>12 輸送サービス分野</v>
          </cell>
          <cell r="Q46" t="str">
            <v>12</v>
          </cell>
        </row>
        <row r="47">
          <cell r="N47">
            <v>0</v>
          </cell>
          <cell r="O47" t="str">
            <v>13 エコ分野</v>
          </cell>
          <cell r="Q47" t="str">
            <v>13</v>
          </cell>
        </row>
        <row r="48">
          <cell r="N48">
            <v>0</v>
          </cell>
          <cell r="O48" t="str">
            <v>14 調理分野</v>
          </cell>
          <cell r="Q48" t="str">
            <v>14</v>
          </cell>
        </row>
        <row r="49">
          <cell r="N49">
            <v>0</v>
          </cell>
          <cell r="O49" t="str">
            <v>15 電気関連分野</v>
          </cell>
          <cell r="Q49" t="str">
            <v>15</v>
          </cell>
        </row>
        <row r="50">
          <cell r="N50">
            <v>0</v>
          </cell>
          <cell r="O50" t="str">
            <v>16 機械関連分野</v>
          </cell>
          <cell r="Q50" t="str">
            <v>16</v>
          </cell>
        </row>
        <row r="51">
          <cell r="N51">
            <v>0</v>
          </cell>
          <cell r="O51" t="str">
            <v>17 金属関連分野</v>
          </cell>
          <cell r="Q51" t="str">
            <v>17</v>
          </cell>
        </row>
        <row r="52">
          <cell r="N52">
            <v>0</v>
          </cell>
          <cell r="O52" t="str">
            <v>18 建設関連分野</v>
          </cell>
          <cell r="Q52" t="str">
            <v>18</v>
          </cell>
        </row>
        <row r="53">
          <cell r="N53">
            <v>0</v>
          </cell>
          <cell r="O53" t="str">
            <v>19 理容・美容関連分野</v>
          </cell>
          <cell r="Q53" t="str">
            <v>19</v>
          </cell>
        </row>
        <row r="54">
          <cell r="N54">
            <v>0</v>
          </cell>
          <cell r="O54" t="str">
            <v>20 その他の分野</v>
          </cell>
          <cell r="Q54" t="str">
            <v>20</v>
          </cell>
        </row>
        <row r="62">
          <cell r="BF62">
            <v>540</v>
          </cell>
        </row>
        <row r="130">
          <cell r="B130">
            <v>18</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65">
        <row r="3">
          <cell r="T3" t="str">
            <v>祝祭日</v>
          </cell>
        </row>
        <row r="4">
          <cell r="D4">
            <v>46077</v>
          </cell>
          <cell r="T4">
            <v>46023</v>
          </cell>
        </row>
        <row r="5">
          <cell r="D5">
            <v>46104</v>
          </cell>
          <cell r="T5">
            <v>46034</v>
          </cell>
        </row>
        <row r="6">
          <cell r="T6">
            <v>46064</v>
          </cell>
        </row>
        <row r="7">
          <cell r="T7">
            <v>46076</v>
          </cell>
        </row>
        <row r="8">
          <cell r="D8">
            <v>46114</v>
          </cell>
          <cell r="T8">
            <v>46101</v>
          </cell>
        </row>
        <row r="9">
          <cell r="D9">
            <v>46120</v>
          </cell>
          <cell r="T9">
            <v>46141</v>
          </cell>
        </row>
        <row r="10">
          <cell r="D10">
            <v>2</v>
          </cell>
          <cell r="H10" t="str">
            <v>②</v>
          </cell>
          <cell r="T10">
            <v>46145</v>
          </cell>
        </row>
        <row r="11">
          <cell r="D11">
            <v>46175</v>
          </cell>
          <cell r="T11">
            <v>46146</v>
          </cell>
        </row>
        <row r="12">
          <cell r="D12">
            <v>46210</v>
          </cell>
          <cell r="T12">
            <v>46147</v>
          </cell>
        </row>
        <row r="13">
          <cell r="D13">
            <v>46241</v>
          </cell>
          <cell r="T13">
            <v>46148</v>
          </cell>
        </row>
        <row r="14">
          <cell r="D14">
            <v>46267</v>
          </cell>
          <cell r="T14">
            <v>46223</v>
          </cell>
        </row>
        <row r="15">
          <cell r="D15">
            <v>46297</v>
          </cell>
          <cell r="T15">
            <v>46245</v>
          </cell>
        </row>
        <row r="16">
          <cell r="T16">
            <v>46286</v>
          </cell>
        </row>
        <row r="17">
          <cell r="T17">
            <v>46287</v>
          </cell>
        </row>
        <row r="18">
          <cell r="T18">
            <v>46288</v>
          </cell>
        </row>
        <row r="19">
          <cell r="T19">
            <v>46307</v>
          </cell>
        </row>
        <row r="20">
          <cell r="B20">
            <v>46133</v>
          </cell>
          <cell r="T20">
            <v>46329</v>
          </cell>
        </row>
        <row r="21">
          <cell r="B21">
            <v>46133</v>
          </cell>
          <cell r="T21">
            <v>46349</v>
          </cell>
        </row>
        <row r="22">
          <cell r="B22">
            <v>46133</v>
          </cell>
          <cell r="T22">
            <v>46388</v>
          </cell>
        </row>
        <row r="23">
          <cell r="B23">
            <v>46133</v>
          </cell>
          <cell r="T23">
            <v>46398</v>
          </cell>
        </row>
        <row r="24">
          <cell r="B24">
            <v>46163</v>
          </cell>
          <cell r="T24">
            <v>46429</v>
          </cell>
        </row>
        <row r="25">
          <cell r="B25">
            <v>46163</v>
          </cell>
          <cell r="T25">
            <v>46441</v>
          </cell>
        </row>
        <row r="26">
          <cell r="B26">
            <v>46163</v>
          </cell>
          <cell r="T26">
            <v>46467</v>
          </cell>
        </row>
        <row r="27">
          <cell r="B27">
            <v>46163</v>
          </cell>
          <cell r="T27">
            <v>46468</v>
          </cell>
        </row>
        <row r="28">
          <cell r="B28">
            <v>46196</v>
          </cell>
          <cell r="T28">
            <v>46506</v>
          </cell>
        </row>
        <row r="29">
          <cell r="B29">
            <v>46196</v>
          </cell>
          <cell r="T29">
            <v>46510</v>
          </cell>
        </row>
        <row r="30">
          <cell r="B30">
            <v>46196</v>
          </cell>
          <cell r="T30">
            <v>46511</v>
          </cell>
        </row>
        <row r="31">
          <cell r="B31">
            <v>46196</v>
          </cell>
          <cell r="T31">
            <v>46512</v>
          </cell>
        </row>
        <row r="32">
          <cell r="B32">
            <v>46225</v>
          </cell>
          <cell r="T32">
            <v>46587</v>
          </cell>
        </row>
        <row r="33">
          <cell r="B33">
            <v>46225</v>
          </cell>
          <cell r="T33">
            <v>46610</v>
          </cell>
        </row>
        <row r="34">
          <cell r="B34">
            <v>46225</v>
          </cell>
          <cell r="T34">
            <v>46650</v>
          </cell>
        </row>
        <row r="35">
          <cell r="B35">
            <v>46225</v>
          </cell>
          <cell r="T35">
            <v>46653</v>
          </cell>
        </row>
        <row r="36">
          <cell r="B36">
            <v>46255</v>
          </cell>
          <cell r="T36">
            <v>46671</v>
          </cell>
        </row>
        <row r="37">
          <cell r="B37">
            <v>46255</v>
          </cell>
          <cell r="T37">
            <v>46694</v>
          </cell>
        </row>
        <row r="38">
          <cell r="B38">
            <v>46255</v>
          </cell>
          <cell r="T38">
            <v>46714</v>
          </cell>
        </row>
        <row r="39">
          <cell r="B39">
            <v>46255</v>
          </cell>
          <cell r="T39">
            <v>46753</v>
          </cell>
        </row>
        <row r="40">
          <cell r="B40">
            <v>46290</v>
          </cell>
          <cell r="T40">
            <v>46762</v>
          </cell>
        </row>
        <row r="41">
          <cell r="B41">
            <v>46290</v>
          </cell>
          <cell r="T41">
            <v>46794</v>
          </cell>
        </row>
        <row r="42">
          <cell r="B42">
            <v>46290</v>
          </cell>
          <cell r="T42">
            <v>46806</v>
          </cell>
        </row>
        <row r="43">
          <cell r="B43">
            <v>46290</v>
          </cell>
          <cell r="T43">
            <v>46832</v>
          </cell>
        </row>
        <row r="44">
          <cell r="B44">
            <v>45951</v>
          </cell>
          <cell r="T44">
            <v>46872</v>
          </cell>
        </row>
        <row r="45">
          <cell r="B45">
            <v>45951</v>
          </cell>
          <cell r="T45">
            <v>46876</v>
          </cell>
        </row>
        <row r="46">
          <cell r="B46">
            <v>45951</v>
          </cell>
          <cell r="T46">
            <v>46877</v>
          </cell>
        </row>
        <row r="47">
          <cell r="B47">
            <v>45951</v>
          </cell>
          <cell r="T47">
            <v>46878</v>
          </cell>
        </row>
        <row r="48">
          <cell r="B48">
            <v>45982</v>
          </cell>
          <cell r="T48">
            <v>46951</v>
          </cell>
        </row>
        <row r="49">
          <cell r="B49">
            <v>45982</v>
          </cell>
          <cell r="T49">
            <v>46976</v>
          </cell>
        </row>
        <row r="50">
          <cell r="B50">
            <v>45982</v>
          </cell>
          <cell r="T50">
            <v>47014</v>
          </cell>
        </row>
        <row r="51">
          <cell r="B51">
            <v>45982</v>
          </cell>
          <cell r="T51">
            <v>47018</v>
          </cell>
        </row>
        <row r="52">
          <cell r="B52">
            <v>46014</v>
          </cell>
          <cell r="T52">
            <v>47035</v>
          </cell>
        </row>
        <row r="53">
          <cell r="B53">
            <v>46014</v>
          </cell>
          <cell r="T53">
            <v>47060</v>
          </cell>
        </row>
        <row r="54">
          <cell r="B54">
            <v>46014</v>
          </cell>
          <cell r="T54">
            <v>47080</v>
          </cell>
        </row>
        <row r="55">
          <cell r="B55">
            <v>46014</v>
          </cell>
          <cell r="T55">
            <v>47119</v>
          </cell>
        </row>
        <row r="56">
          <cell r="B56">
            <v>46043</v>
          </cell>
          <cell r="T56">
            <v>47126</v>
          </cell>
        </row>
        <row r="57">
          <cell r="B57">
            <v>46043</v>
          </cell>
          <cell r="T57">
            <v>47160</v>
          </cell>
        </row>
        <row r="58">
          <cell r="B58">
            <v>46043</v>
          </cell>
          <cell r="T58">
            <v>47161</v>
          </cell>
        </row>
        <row r="59">
          <cell r="B59">
            <v>46043</v>
          </cell>
          <cell r="T59">
            <v>47172</v>
          </cell>
        </row>
        <row r="60">
          <cell r="B60">
            <v>46078</v>
          </cell>
          <cell r="T60">
            <v>47197</v>
          </cell>
        </row>
        <row r="61">
          <cell r="B61">
            <v>46078</v>
          </cell>
          <cell r="T61">
            <v>47237</v>
          </cell>
        </row>
        <row r="62">
          <cell r="B62">
            <v>46078</v>
          </cell>
          <cell r="T62">
            <v>47238</v>
          </cell>
        </row>
        <row r="63">
          <cell r="B63">
            <v>46078</v>
          </cell>
          <cell r="T63">
            <v>47241</v>
          </cell>
        </row>
        <row r="64">
          <cell r="B64">
            <v>46100</v>
          </cell>
          <cell r="T64">
            <v>47242</v>
          </cell>
        </row>
        <row r="65">
          <cell r="B65">
            <v>46100</v>
          </cell>
          <cell r="T65">
            <v>47243</v>
          </cell>
        </row>
        <row r="66">
          <cell r="B66">
            <v>46100</v>
          </cell>
          <cell r="T66">
            <v>47315</v>
          </cell>
        </row>
        <row r="67">
          <cell r="B67">
            <v>46100</v>
          </cell>
          <cell r="T67">
            <v>47341</v>
          </cell>
        </row>
        <row r="68">
          <cell r="T68">
            <v>47378</v>
          </cell>
        </row>
        <row r="69">
          <cell r="T69">
            <v>47384</v>
          </cell>
        </row>
        <row r="70">
          <cell r="T70">
            <v>47385</v>
          </cell>
        </row>
        <row r="71">
          <cell r="T71">
            <v>47399</v>
          </cell>
        </row>
        <row r="72">
          <cell r="T72">
            <v>47425</v>
          </cell>
        </row>
        <row r="73">
          <cell r="T73">
            <v>47445</v>
          </cell>
        </row>
        <row r="74">
          <cell r="T74">
            <v>47484</v>
          </cell>
        </row>
        <row r="75">
          <cell r="T75">
            <v>47497</v>
          </cell>
        </row>
        <row r="76">
          <cell r="T76">
            <v>47525</v>
          </cell>
        </row>
        <row r="77">
          <cell r="T77">
            <v>47537</v>
          </cell>
        </row>
        <row r="78">
          <cell r="T78">
            <v>47562</v>
          </cell>
        </row>
        <row r="79">
          <cell r="T79">
            <v>47602</v>
          </cell>
        </row>
        <row r="80">
          <cell r="T80">
            <v>47606</v>
          </cell>
        </row>
        <row r="81">
          <cell r="T81">
            <v>47607</v>
          </cell>
        </row>
        <row r="82">
          <cell r="T82">
            <v>47608</v>
          </cell>
        </row>
        <row r="83">
          <cell r="T83">
            <v>47609</v>
          </cell>
        </row>
        <row r="84">
          <cell r="T84">
            <v>47679</v>
          </cell>
        </row>
        <row r="85">
          <cell r="T85">
            <v>47706</v>
          </cell>
        </row>
        <row r="86">
          <cell r="T86">
            <v>47707</v>
          </cell>
        </row>
        <row r="87">
          <cell r="T87">
            <v>47742</v>
          </cell>
        </row>
        <row r="88">
          <cell r="T88">
            <v>47749</v>
          </cell>
        </row>
        <row r="89">
          <cell r="T89">
            <v>47770</v>
          </cell>
        </row>
        <row r="90">
          <cell r="T90">
            <v>47790</v>
          </cell>
        </row>
        <row r="91">
          <cell r="T91">
            <v>47791</v>
          </cell>
        </row>
        <row r="92">
          <cell r="T92">
            <v>47810</v>
          </cell>
        </row>
        <row r="93">
          <cell r="T93" t="str">
            <v/>
          </cell>
        </row>
        <row r="94">
          <cell r="T94" t="str">
            <v/>
          </cell>
        </row>
        <row r="95">
          <cell r="T95" t="str">
            <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6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修正履歴"/>
      <sheetName val="一覧表"/>
      <sheetName val="様式1"/>
      <sheetName val="様式2"/>
      <sheetName val="様式3基"/>
      <sheetName val="様式3実"/>
      <sheetName val="様式4"/>
      <sheetName val="代表者･役員一覧"/>
      <sheetName val="様式5基"/>
      <sheetName val="様式4 (変更1021)"/>
      <sheetName val="様式4 (変更1113) "/>
      <sheetName val="様式4 (変更0318)"/>
      <sheetName val="様式5実"/>
      <sheetName val="様式5計画書"/>
      <sheetName val="様式5企業実習計画書"/>
      <sheetName val="様式5実 (変更1021)"/>
      <sheetName val="様式5DX推進"/>
      <sheetName val="様式6"/>
      <sheetName val="様式6 (講師名入り)"/>
      <sheetName val="様式6 (変更1021)"/>
      <sheetName val="様式7の１①"/>
      <sheetName val="様式7の１②"/>
      <sheetName val="様式7の１③"/>
      <sheetName val="様式7の3（林田）"/>
      <sheetName val="様式7の3（西村)"/>
      <sheetName val="様式7の１① (変更1021)"/>
      <sheetName val="様式7の１② (変更1021)"/>
      <sheetName val="様式7の１③ (変更1021)"/>
      <sheetName val="様式7の１④ (変更1021) "/>
      <sheetName val="様式7の１ (講師)"/>
      <sheetName val="様式7の１② (講師) "/>
      <sheetName val="様式7の１ (助手)"/>
      <sheetName val="様式7の１① (キャリコン)"/>
      <sheetName val="様式7の１ ②(キャリコン)"/>
      <sheetName val="様式7の１ (職員)"/>
      <sheetName val="様式7の１ (講師) (0216変更)"/>
      <sheetName val="様式7の１② (講師) (0216変更)"/>
      <sheetName val="様式7の１ (助手) (0216変更)"/>
      <sheetName val="様式7の１① (キャリコン) (0216変更)"/>
      <sheetName val="様式7の１ ②(キャリコン) (0216変更)"/>
      <sheetName val="様式7の１ (職員) (0216変更)"/>
      <sheetName val="様式7の１ (講師) (0318変更)"/>
      <sheetName val="様式7の１② (講師) (0318変更)"/>
      <sheetName val="様式7の１ (助手) (0318変更)"/>
      <sheetName val="様式7の１① (キャリコン) (0318変更)"/>
      <sheetName val="様式7の１ ②(キャリコン) (0318変更)"/>
      <sheetName val="様式7の１ (職員) (0318変更)"/>
      <sheetName val="様式7の3追加 (道添)"/>
      <sheetName val="様式7の3追加（進村）"/>
      <sheetName val="様式7の3追加 (河道)"/>
      <sheetName val="様式7の3追加 (篠倉)"/>
      <sheetName val="様式7の3(青木先生)"/>
      <sheetName val="様式7の3(青木先生 補正) "/>
      <sheetName val="様式7の3追加 (加藤先生)"/>
      <sheetName val="様式7の3追加 (橋本先生)"/>
      <sheetName val="様式8"/>
      <sheetName val="様式9"/>
      <sheetName val="様式9 (0318変更)"/>
      <sheetName val="様式10 "/>
      <sheetName val="様式12"/>
      <sheetName val="様式13の1基"/>
      <sheetName val="様式13の2(自己評価)"/>
      <sheetName val="様式13の1実"/>
      <sheetName val="様式13の1実 (0318変更)"/>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登録用"/>
      <sheetName val="様式7の１ ③(キャリコン) (0318変更)"/>
    </sheetNames>
    <sheetDataSet>
      <sheetData sheetId="0"/>
      <sheetData sheetId="1"/>
      <sheetData sheetId="2"/>
      <sheetData sheetId="3">
        <row r="40">
          <cell r="U40" t="str">
            <v>↓所在地文字列の長さチェック</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75">
          <cell r="B175">
            <v>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row r="4">
          <cell r="D4">
            <v>45113</v>
          </cell>
        </row>
        <row r="7">
          <cell r="D7" t="str">
            <v>株式会社キャリアプログラム</v>
          </cell>
        </row>
        <row r="8">
          <cell r="D8" t="str">
            <v>カブシキガイシャキャリアプログラム</v>
          </cell>
          <cell r="I8">
            <v>45017</v>
          </cell>
          <cell r="K8" t="str">
            <v>令和</v>
          </cell>
          <cell r="L8" t="str">
            <v>05</v>
          </cell>
          <cell r="N8" t="str">
            <v>明治</v>
          </cell>
          <cell r="O8" t="str">
            <v>1</v>
          </cell>
          <cell r="P8" t="str">
            <v>1868</v>
          </cell>
          <cell r="R8" t="str">
            <v>福岡県</v>
          </cell>
          <cell r="S8" t="str">
            <v>40</v>
          </cell>
        </row>
        <row r="9">
          <cell r="D9" t="str">
            <v>代表取締役　生地　由一</v>
          </cell>
          <cell r="I9">
            <v>45383</v>
          </cell>
          <cell r="K9" t="str">
            <v>令和</v>
          </cell>
          <cell r="L9" t="str">
            <v>06</v>
          </cell>
          <cell r="N9" t="str">
            <v>大正</v>
          </cell>
          <cell r="O9" t="str">
            <v>2</v>
          </cell>
          <cell r="P9" t="str">
            <v>1912</v>
          </cell>
          <cell r="R9" t="str">
            <v>佐賀県</v>
          </cell>
          <cell r="S9" t="str">
            <v>41</v>
          </cell>
        </row>
        <row r="10">
          <cell r="D10" t="str">
            <v>550-0002</v>
          </cell>
          <cell r="I10">
            <v>45748</v>
          </cell>
          <cell r="K10" t="str">
            <v>令和</v>
          </cell>
          <cell r="L10" t="str">
            <v>07</v>
          </cell>
          <cell r="N10" t="str">
            <v>昭和</v>
          </cell>
          <cell r="O10" t="str">
            <v>3</v>
          </cell>
          <cell r="P10" t="str">
            <v>1926</v>
          </cell>
          <cell r="R10" t="str">
            <v>長崎県</v>
          </cell>
          <cell r="S10" t="str">
            <v>42</v>
          </cell>
        </row>
        <row r="11">
          <cell r="D11" t="str">
            <v>大阪府大阪市西区江戸堀一丁目25番15号</v>
          </cell>
          <cell r="I11">
            <v>46113</v>
          </cell>
          <cell r="K11" t="str">
            <v>令和</v>
          </cell>
          <cell r="L11" t="str">
            <v>08</v>
          </cell>
          <cell r="N11" t="str">
            <v>平成</v>
          </cell>
          <cell r="O11">
            <v>4</v>
          </cell>
          <cell r="P11" t="str">
            <v>1989</v>
          </cell>
          <cell r="R11" t="str">
            <v>熊本県</v>
          </cell>
          <cell r="S11" t="str">
            <v>43</v>
          </cell>
        </row>
        <row r="12">
          <cell r="I12">
            <v>46478</v>
          </cell>
          <cell r="K12" t="str">
            <v>令和</v>
          </cell>
          <cell r="L12" t="str">
            <v>09</v>
          </cell>
          <cell r="N12" t="str">
            <v>令和</v>
          </cell>
          <cell r="O12">
            <v>5</v>
          </cell>
          <cell r="P12" t="str">
            <v>2019</v>
          </cell>
          <cell r="R12" t="str">
            <v>大分県</v>
          </cell>
          <cell r="S12" t="str">
            <v>44</v>
          </cell>
        </row>
        <row r="13">
          <cell r="D13" t="str">
            <v>201800026</v>
          </cell>
          <cell r="R13" t="str">
            <v>宮崎県</v>
          </cell>
          <cell r="S13" t="str">
            <v>45</v>
          </cell>
        </row>
        <row r="14">
          <cell r="D14" t="str">
            <v>7120001200662</v>
          </cell>
          <cell r="R14" t="str">
            <v>鹿児島県</v>
          </cell>
          <cell r="S14" t="str">
            <v>46</v>
          </cell>
        </row>
        <row r="15">
          <cell r="R15" t="str">
            <v>沖縄県</v>
          </cell>
          <cell r="S15" t="str">
            <v>47</v>
          </cell>
        </row>
        <row r="17">
          <cell r="D17" t="str">
            <v>創造社リカレントスクール福岡校</v>
          </cell>
        </row>
        <row r="18">
          <cell r="D18" t="str">
            <v>810-0072</v>
          </cell>
        </row>
        <row r="19">
          <cell r="D19" t="str">
            <v>福岡県福岡市中央区長浜一丁目4番13号</v>
          </cell>
        </row>
        <row r="20">
          <cell r="D20" t="str">
            <v>SF福岡ビル6階</v>
          </cell>
        </row>
        <row r="21">
          <cell r="D21" t="str">
            <v>092-401-1835</v>
          </cell>
        </row>
        <row r="23">
          <cell r="BD23">
            <v>12</v>
          </cell>
        </row>
        <row r="24">
          <cell r="D24" t="str">
            <v>実践コース</v>
          </cell>
          <cell r="G24" t="str">
            <v>002</v>
          </cell>
          <cell r="K24">
            <v>5</v>
          </cell>
        </row>
        <row r="25">
          <cell r="D25" t="str">
            <v>11 デザイン分野</v>
          </cell>
          <cell r="K25" t="str">
            <v>05</v>
          </cell>
        </row>
        <row r="26">
          <cell r="D26" t="str">
            <v>これから始める！Ｗｅｂ動画編集＆ホームページデザイン科</v>
          </cell>
          <cell r="K26" t="str">
            <v>40</v>
          </cell>
          <cell r="N26" t="str">
            <v>05-40-002-11-</v>
          </cell>
        </row>
        <row r="27">
          <cell r="D27">
            <v>45223</v>
          </cell>
          <cell r="K27" t="str">
            <v>002</v>
          </cell>
        </row>
        <row r="28">
          <cell r="D28">
            <v>45405</v>
          </cell>
          <cell r="K28" t="str">
            <v>11</v>
          </cell>
        </row>
        <row r="29">
          <cell r="D29">
            <v>6</v>
          </cell>
          <cell r="K29" t="str">
            <v>0156</v>
          </cell>
        </row>
        <row r="30">
          <cell r="D30">
            <v>22</v>
          </cell>
        </row>
        <row r="31">
          <cell r="D31">
            <v>0.43055555555555558</v>
          </cell>
        </row>
        <row r="32">
          <cell r="D32">
            <v>0.70833333333333337</v>
          </cell>
        </row>
        <row r="33">
          <cell r="D33" t="str">
            <v>動画の編集スキルを習得し、かつYoutubeの活用方法も学び、それらの知識・技術をもって訴求効果の高いホームページの企画・提案・デザイン・メンテナンス等の業務ができる実践的な人材。</v>
          </cell>
        </row>
        <row r="34">
          <cell r="D34" t="str">
            <v>ホームページ制作現場で必要な一連のプロセス（コンテンツ企画、提案、制作、保守、運用）を習得した上で、さらにWeb動画の編集やYoutubeの活用を学習できる。【WEBデザイン資格・DSS対応】</v>
          </cell>
        </row>
        <row r="35">
          <cell r="D35" t="str">
            <v>特になし</v>
          </cell>
          <cell r="I35" t="str">
            <v/>
          </cell>
          <cell r="J35" t="str">
            <v>基礎コース</v>
          </cell>
          <cell r="L35" t="str">
            <v>001</v>
          </cell>
          <cell r="N35" t="str">
            <v/>
          </cell>
          <cell r="O35" t="str">
            <v>00 基礎分野　</v>
          </cell>
          <cell r="Q35" t="str">
            <v>00</v>
          </cell>
        </row>
        <row r="36">
          <cell r="D36" t="str">
            <v>612</v>
          </cell>
          <cell r="G36" t="str">
            <v>様式5実</v>
          </cell>
          <cell r="I36" t="str">
            <v>○</v>
          </cell>
          <cell r="J36" t="str">
            <v>実践コース</v>
          </cell>
          <cell r="L36" t="str">
            <v>002</v>
          </cell>
          <cell r="N36">
            <v>0</v>
          </cell>
          <cell r="O36" t="str">
            <v>02 ＩＴ分野　</v>
          </cell>
          <cell r="Q36" t="str">
            <v>02</v>
          </cell>
        </row>
        <row r="37">
          <cell r="D37" t="str">
            <v>116</v>
          </cell>
          <cell r="G37" t="str">
            <v/>
          </cell>
          <cell r="N37">
            <v>0</v>
          </cell>
          <cell r="O37" t="str">
            <v>03 営業・販売・事務分野</v>
          </cell>
          <cell r="Q37" t="str">
            <v>03</v>
          </cell>
        </row>
        <row r="38">
          <cell r="G38" t="str">
            <v/>
          </cell>
          <cell r="N38">
            <v>0</v>
          </cell>
          <cell r="O38" t="str">
            <v>04 医療事務分野</v>
          </cell>
          <cell r="Q38" t="str">
            <v>04</v>
          </cell>
        </row>
        <row r="39">
          <cell r="N39">
            <v>0</v>
          </cell>
          <cell r="O39" t="str">
            <v>05 介護・医療・福祉分野</v>
          </cell>
          <cell r="Q39" t="str">
            <v>05</v>
          </cell>
        </row>
        <row r="40">
          <cell r="N40">
            <v>0</v>
          </cell>
          <cell r="O40" t="str">
            <v>06 農業分野</v>
          </cell>
          <cell r="Q40" t="str">
            <v>06</v>
          </cell>
        </row>
        <row r="41">
          <cell r="N41">
            <v>0</v>
          </cell>
          <cell r="O41" t="str">
            <v>07 林業分野</v>
          </cell>
          <cell r="Q41" t="str">
            <v>07</v>
          </cell>
        </row>
        <row r="42">
          <cell r="N42">
            <v>0</v>
          </cell>
          <cell r="O42" t="str">
            <v>08 旅行・観光分野</v>
          </cell>
          <cell r="Q42" t="str">
            <v>08</v>
          </cell>
        </row>
        <row r="43">
          <cell r="C43" t="str">
            <v/>
          </cell>
          <cell r="G43" t="str">
            <v>入校式等</v>
          </cell>
          <cell r="N43">
            <v>0</v>
          </cell>
          <cell r="O43" t="str">
            <v>09 警備・保安分野</v>
          </cell>
          <cell r="Q43" t="str">
            <v>09</v>
          </cell>
        </row>
        <row r="44">
          <cell r="N44">
            <v>0</v>
          </cell>
          <cell r="O44" t="str">
            <v>10 クリエート（企画・創作）分野</v>
          </cell>
          <cell r="Q44" t="str">
            <v>10</v>
          </cell>
        </row>
        <row r="45">
          <cell r="N45" t="str">
            <v>✔</v>
          </cell>
          <cell r="O45" t="str">
            <v>11 デザイン分野</v>
          </cell>
          <cell r="Q45" t="str">
            <v>11</v>
          </cell>
        </row>
        <row r="46">
          <cell r="N46">
            <v>0</v>
          </cell>
          <cell r="O46" t="str">
            <v>12 輸送サービス分野</v>
          </cell>
          <cell r="Q46" t="str">
            <v>12</v>
          </cell>
        </row>
        <row r="47">
          <cell r="N47">
            <v>0</v>
          </cell>
          <cell r="O47" t="str">
            <v>13 エコ分野</v>
          </cell>
          <cell r="Q47" t="str">
            <v>13</v>
          </cell>
        </row>
        <row r="48">
          <cell r="N48">
            <v>0</v>
          </cell>
          <cell r="O48" t="str">
            <v>14 調理分野</v>
          </cell>
          <cell r="Q48" t="str">
            <v>14</v>
          </cell>
        </row>
        <row r="49">
          <cell r="N49">
            <v>0</v>
          </cell>
          <cell r="O49" t="str">
            <v>15 電気関連分野</v>
          </cell>
          <cell r="Q49" t="str">
            <v>15</v>
          </cell>
        </row>
        <row r="50">
          <cell r="N50">
            <v>0</v>
          </cell>
          <cell r="O50" t="str">
            <v>16 機械関連分野</v>
          </cell>
          <cell r="Q50" t="str">
            <v>16</v>
          </cell>
        </row>
        <row r="51">
          <cell r="N51">
            <v>0</v>
          </cell>
          <cell r="O51" t="str">
            <v>17 金属関連分野</v>
          </cell>
          <cell r="Q51" t="str">
            <v>17</v>
          </cell>
        </row>
        <row r="52">
          <cell r="N52">
            <v>0</v>
          </cell>
          <cell r="O52" t="str">
            <v>18 建設関連分野</v>
          </cell>
          <cell r="Q52" t="str">
            <v>18</v>
          </cell>
        </row>
        <row r="53">
          <cell r="N53">
            <v>0</v>
          </cell>
          <cell r="O53" t="str">
            <v>19 理容・美容関連分野</v>
          </cell>
          <cell r="Q53" t="str">
            <v>19</v>
          </cell>
        </row>
        <row r="54">
          <cell r="N54">
            <v>0</v>
          </cell>
          <cell r="O54" t="str">
            <v>20 その他の分野</v>
          </cell>
          <cell r="Q54" t="str">
            <v>20</v>
          </cell>
        </row>
        <row r="62">
          <cell r="BF62">
            <v>612</v>
          </cell>
        </row>
        <row r="130">
          <cell r="B130">
            <v>14</v>
          </cell>
          <cell r="C130" t="str">
            <v>キャリアコンサルティング</v>
          </cell>
        </row>
        <row r="134">
          <cell r="C134" t="str">
            <v>*受験*</v>
          </cell>
        </row>
        <row r="135">
          <cell r="C135" t="str">
            <v>*任意*</v>
          </cell>
        </row>
        <row r="136">
          <cell r="C136" t="str">
            <v>*試験*</v>
          </cell>
        </row>
        <row r="137">
          <cell r="C137" t="str">
            <v>*検定*</v>
          </cell>
        </row>
        <row r="140">
          <cell r="C140" t="str">
            <v>*入校*</v>
          </cell>
        </row>
        <row r="141">
          <cell r="C141" t="str">
            <v>*修了*</v>
          </cell>
        </row>
        <row r="142">
          <cell r="C142" t="str">
            <v>*入校*修了*</v>
          </cell>
        </row>
      </sheetData>
      <sheetData sheetId="81">
        <row r="2">
          <cell r="D2">
            <v>44</v>
          </cell>
        </row>
        <row r="3">
          <cell r="T3" t="str">
            <v>祝祭日</v>
          </cell>
        </row>
        <row r="4">
          <cell r="D4">
            <v>45162</v>
          </cell>
          <cell r="T4">
            <v>44927</v>
          </cell>
        </row>
        <row r="5">
          <cell r="D5">
            <v>45191</v>
          </cell>
          <cell r="T5">
            <v>44928</v>
          </cell>
        </row>
        <row r="6">
          <cell r="T6">
            <v>44935</v>
          </cell>
        </row>
        <row r="7">
          <cell r="T7">
            <v>44968</v>
          </cell>
        </row>
        <row r="8">
          <cell r="D8">
            <v>45202</v>
          </cell>
          <cell r="T8">
            <v>44980</v>
          </cell>
        </row>
        <row r="9">
          <cell r="D9">
            <v>45209</v>
          </cell>
          <cell r="T9">
            <v>45006</v>
          </cell>
        </row>
        <row r="10">
          <cell r="D10">
            <v>2</v>
          </cell>
          <cell r="H10" t="str">
            <v>②</v>
          </cell>
          <cell r="T10">
            <v>45045</v>
          </cell>
        </row>
        <row r="11">
          <cell r="D11">
            <v>45267</v>
          </cell>
          <cell r="T11">
            <v>45049</v>
          </cell>
        </row>
        <row r="12">
          <cell r="D12">
            <v>45302</v>
          </cell>
          <cell r="T12">
            <v>45050</v>
          </cell>
        </row>
        <row r="13">
          <cell r="D13">
            <v>45329</v>
          </cell>
          <cell r="T13">
            <v>45051</v>
          </cell>
        </row>
        <row r="14">
          <cell r="D14">
            <v>45358</v>
          </cell>
          <cell r="T14">
            <v>45124</v>
          </cell>
        </row>
        <row r="15">
          <cell r="D15">
            <v>45387</v>
          </cell>
          <cell r="T15">
            <v>45149</v>
          </cell>
        </row>
        <row r="16">
          <cell r="T16">
            <v>45187</v>
          </cell>
        </row>
        <row r="17">
          <cell r="T17">
            <v>45192</v>
          </cell>
        </row>
        <row r="18">
          <cell r="T18">
            <v>45208</v>
          </cell>
        </row>
        <row r="19">
          <cell r="T19">
            <v>45233</v>
          </cell>
        </row>
        <row r="20">
          <cell r="B20">
            <v>45037</v>
          </cell>
          <cell r="T20">
            <v>45253</v>
          </cell>
        </row>
        <row r="21">
          <cell r="B21">
            <v>45037</v>
          </cell>
          <cell r="T21">
            <v>45292</v>
          </cell>
        </row>
        <row r="22">
          <cell r="B22">
            <v>45037</v>
          </cell>
          <cell r="T22">
            <v>45299</v>
          </cell>
        </row>
        <row r="23">
          <cell r="B23">
            <v>45037</v>
          </cell>
          <cell r="T23">
            <v>45333</v>
          </cell>
        </row>
        <row r="24">
          <cell r="B24">
            <v>45069</v>
          </cell>
          <cell r="T24">
            <v>45334</v>
          </cell>
        </row>
        <row r="25">
          <cell r="B25">
            <v>45069</v>
          </cell>
          <cell r="T25">
            <v>45345</v>
          </cell>
        </row>
        <row r="26">
          <cell r="B26">
            <v>45069</v>
          </cell>
          <cell r="T26">
            <v>45371</v>
          </cell>
        </row>
        <row r="27">
          <cell r="B27">
            <v>45069</v>
          </cell>
          <cell r="T27">
            <v>45411</v>
          </cell>
        </row>
        <row r="28">
          <cell r="B28">
            <v>45098</v>
          </cell>
          <cell r="T28">
            <v>45415</v>
          </cell>
        </row>
        <row r="29">
          <cell r="B29">
            <v>45098</v>
          </cell>
          <cell r="T29">
            <v>45416</v>
          </cell>
        </row>
        <row r="30">
          <cell r="B30">
            <v>45098</v>
          </cell>
          <cell r="T30">
            <v>45417</v>
          </cell>
        </row>
        <row r="31">
          <cell r="B31">
            <v>45098</v>
          </cell>
          <cell r="T31">
            <v>45418</v>
          </cell>
        </row>
        <row r="32">
          <cell r="B32">
            <v>45128</v>
          </cell>
          <cell r="T32">
            <v>45488</v>
          </cell>
        </row>
        <row r="33">
          <cell r="B33">
            <v>45128</v>
          </cell>
          <cell r="T33">
            <v>45515</v>
          </cell>
        </row>
        <row r="34">
          <cell r="B34">
            <v>45128</v>
          </cell>
          <cell r="T34">
            <v>45516</v>
          </cell>
        </row>
        <row r="35">
          <cell r="B35">
            <v>45128</v>
          </cell>
          <cell r="T35">
            <v>45551</v>
          </cell>
        </row>
        <row r="36">
          <cell r="B36">
            <v>45160</v>
          </cell>
          <cell r="T36">
            <v>45557</v>
          </cell>
        </row>
        <row r="37">
          <cell r="B37">
            <v>45160</v>
          </cell>
          <cell r="T37">
            <v>45558</v>
          </cell>
        </row>
        <row r="38">
          <cell r="B38">
            <v>45160</v>
          </cell>
          <cell r="T38">
            <v>45579</v>
          </cell>
        </row>
        <row r="39">
          <cell r="B39">
            <v>45160</v>
          </cell>
          <cell r="T39">
            <v>45599</v>
          </cell>
        </row>
        <row r="40">
          <cell r="B40">
            <v>45190</v>
          </cell>
          <cell r="T40">
            <v>45600</v>
          </cell>
        </row>
        <row r="41">
          <cell r="B41">
            <v>45190</v>
          </cell>
          <cell r="T41">
            <v>45619</v>
          </cell>
        </row>
        <row r="42">
          <cell r="B42">
            <v>45190</v>
          </cell>
          <cell r="T42">
            <v>45658</v>
          </cell>
        </row>
        <row r="43">
          <cell r="B43">
            <v>45190</v>
          </cell>
          <cell r="T43">
            <v>45670</v>
          </cell>
        </row>
        <row r="44">
          <cell r="B44">
            <v>45223</v>
          </cell>
          <cell r="T44">
            <v>45699</v>
          </cell>
        </row>
        <row r="45">
          <cell r="B45">
            <v>45223</v>
          </cell>
          <cell r="T45">
            <v>45711</v>
          </cell>
        </row>
        <row r="46">
          <cell r="B46">
            <v>45223</v>
          </cell>
          <cell r="T46">
            <v>45712</v>
          </cell>
        </row>
        <row r="47">
          <cell r="B47">
            <v>45223</v>
          </cell>
          <cell r="T47">
            <v>45736</v>
          </cell>
        </row>
        <row r="48">
          <cell r="B48">
            <v>45251</v>
          </cell>
          <cell r="T48">
            <v>45776</v>
          </cell>
        </row>
        <row r="49">
          <cell r="B49">
            <v>45251</v>
          </cell>
          <cell r="T49">
            <v>45780</v>
          </cell>
        </row>
        <row r="50">
          <cell r="B50">
            <v>45251</v>
          </cell>
          <cell r="T50">
            <v>45781</v>
          </cell>
        </row>
        <row r="51">
          <cell r="B51">
            <v>45251</v>
          </cell>
          <cell r="T51">
            <v>45782</v>
          </cell>
        </row>
        <row r="52">
          <cell r="B52">
            <v>45281</v>
          </cell>
          <cell r="T52">
            <v>45783</v>
          </cell>
        </row>
        <row r="53">
          <cell r="B53">
            <v>45281</v>
          </cell>
          <cell r="T53">
            <v>45859</v>
          </cell>
        </row>
        <row r="54">
          <cell r="B54">
            <v>45281</v>
          </cell>
          <cell r="T54">
            <v>45880</v>
          </cell>
        </row>
        <row r="55">
          <cell r="B55">
            <v>45281</v>
          </cell>
          <cell r="T55">
            <v>45915</v>
          </cell>
        </row>
        <row r="56">
          <cell r="B56">
            <v>45314</v>
          </cell>
          <cell r="T56">
            <v>45923</v>
          </cell>
        </row>
        <row r="57">
          <cell r="B57">
            <v>45314</v>
          </cell>
          <cell r="T57">
            <v>45943</v>
          </cell>
        </row>
        <row r="58">
          <cell r="B58">
            <v>45314</v>
          </cell>
          <cell r="T58">
            <v>45964</v>
          </cell>
        </row>
        <row r="59">
          <cell r="B59">
            <v>45314</v>
          </cell>
          <cell r="T59">
            <v>45984</v>
          </cell>
        </row>
        <row r="60">
          <cell r="B60">
            <v>45343</v>
          </cell>
          <cell r="T60">
            <v>45985</v>
          </cell>
        </row>
        <row r="61">
          <cell r="B61">
            <v>45343</v>
          </cell>
          <cell r="T61">
            <v>46023</v>
          </cell>
        </row>
        <row r="62">
          <cell r="B62">
            <v>45343</v>
          </cell>
          <cell r="T62">
            <v>46034</v>
          </cell>
        </row>
        <row r="63">
          <cell r="B63">
            <v>45343</v>
          </cell>
          <cell r="T63">
            <v>46064</v>
          </cell>
        </row>
        <row r="64">
          <cell r="B64">
            <v>45373</v>
          </cell>
          <cell r="T64">
            <v>46076</v>
          </cell>
        </row>
        <row r="65">
          <cell r="B65">
            <v>45373</v>
          </cell>
          <cell r="T65">
            <v>46101</v>
          </cell>
        </row>
        <row r="66">
          <cell r="B66">
            <v>45373</v>
          </cell>
          <cell r="T66">
            <v>46141</v>
          </cell>
        </row>
        <row r="67">
          <cell r="B67">
            <v>45373</v>
          </cell>
          <cell r="T67">
            <v>46145</v>
          </cell>
        </row>
        <row r="68">
          <cell r="T68">
            <v>46146</v>
          </cell>
        </row>
        <row r="69">
          <cell r="T69">
            <v>46147</v>
          </cell>
        </row>
        <row r="70">
          <cell r="T70">
            <v>46148</v>
          </cell>
        </row>
        <row r="71">
          <cell r="T71">
            <v>46223</v>
          </cell>
        </row>
        <row r="72">
          <cell r="T72">
            <v>46245</v>
          </cell>
        </row>
        <row r="73">
          <cell r="T73">
            <v>46286</v>
          </cell>
        </row>
        <row r="74">
          <cell r="T74">
            <v>46287</v>
          </cell>
        </row>
        <row r="75">
          <cell r="T75">
            <v>46288</v>
          </cell>
        </row>
        <row r="76">
          <cell r="T76">
            <v>46307</v>
          </cell>
        </row>
        <row r="77">
          <cell r="T77">
            <v>46329</v>
          </cell>
        </row>
        <row r="78">
          <cell r="T78">
            <v>46349</v>
          </cell>
        </row>
        <row r="79">
          <cell r="T79">
            <v>46388</v>
          </cell>
        </row>
        <row r="80">
          <cell r="T80">
            <v>46398</v>
          </cell>
        </row>
        <row r="81">
          <cell r="T81">
            <v>46429</v>
          </cell>
        </row>
        <row r="82">
          <cell r="T82">
            <v>46441</v>
          </cell>
        </row>
        <row r="83">
          <cell r="T83">
            <v>46467</v>
          </cell>
        </row>
        <row r="84">
          <cell r="T84">
            <v>46468</v>
          </cell>
        </row>
        <row r="85">
          <cell r="T85">
            <v>46506</v>
          </cell>
        </row>
        <row r="86">
          <cell r="T86">
            <v>46510</v>
          </cell>
        </row>
        <row r="87">
          <cell r="T87">
            <v>46511</v>
          </cell>
        </row>
        <row r="88">
          <cell r="T88">
            <v>46512</v>
          </cell>
        </row>
        <row r="89">
          <cell r="T89">
            <v>46587</v>
          </cell>
        </row>
        <row r="90">
          <cell r="T90">
            <v>46610</v>
          </cell>
        </row>
        <row r="91">
          <cell r="T91">
            <v>46650</v>
          </cell>
        </row>
        <row r="92">
          <cell r="T92">
            <v>46653</v>
          </cell>
        </row>
        <row r="93">
          <cell r="T93">
            <v>46671</v>
          </cell>
        </row>
        <row r="94">
          <cell r="T94">
            <v>46694</v>
          </cell>
        </row>
        <row r="95">
          <cell r="T95">
            <v>46714</v>
          </cell>
        </row>
        <row r="96">
          <cell r="T96" t="str">
            <v/>
          </cell>
        </row>
        <row r="97">
          <cell r="T97" t="str">
            <v/>
          </cell>
        </row>
        <row r="98">
          <cell r="T98" t="str">
            <v/>
          </cell>
        </row>
        <row r="99">
          <cell r="T99" t="str">
            <v/>
          </cell>
        </row>
        <row r="100">
          <cell r="T100" t="str">
            <v/>
          </cell>
        </row>
        <row r="101">
          <cell r="T101" t="str">
            <v/>
          </cell>
        </row>
        <row r="102">
          <cell r="T102" t="str">
            <v/>
          </cell>
        </row>
        <row r="103">
          <cell r="T103" t="str">
            <v/>
          </cell>
        </row>
        <row r="104">
          <cell r="T104" t="str">
            <v/>
          </cell>
        </row>
        <row r="105">
          <cell r="T105" t="str">
            <v/>
          </cell>
        </row>
        <row r="106">
          <cell r="T106" t="str">
            <v/>
          </cell>
        </row>
        <row r="107">
          <cell r="T107" t="str">
            <v/>
          </cell>
        </row>
        <row r="108">
          <cell r="T108" t="str">
            <v/>
          </cell>
        </row>
        <row r="109">
          <cell r="T109" t="str">
            <v/>
          </cell>
        </row>
        <row r="110">
          <cell r="T110" t="str">
            <v/>
          </cell>
        </row>
        <row r="111">
          <cell r="T111" t="str">
            <v/>
          </cell>
        </row>
        <row r="112">
          <cell r="T112" t="str">
            <v/>
          </cell>
        </row>
        <row r="113">
          <cell r="T113" t="str">
            <v/>
          </cell>
        </row>
      </sheetData>
      <sheetData sheetId="82"/>
      <sheetData sheetId="8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様式5"/>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一覧表"/>
      <sheetName val="様式1"/>
      <sheetName val="様式2"/>
      <sheetName val="様式3"/>
      <sheetName val="様式4"/>
      <sheetName val="様式5"/>
      <sheetName val="様式6"/>
      <sheetName val="様式6 (記入例)"/>
      <sheetName val="様式7の1"/>
      <sheetName val="様式7の2"/>
      <sheetName val="様式7の3"/>
      <sheetName val="様式8"/>
      <sheetName val="様式9"/>
      <sheetName val="様式10"/>
      <sheetName val="様式11"/>
      <sheetName val="様式12"/>
      <sheetName val="様式13の１"/>
      <sheetName val="様式13の２(自己評価)"/>
      <sheetName val="様式14 "/>
      <sheetName val="様式15の１"/>
      <sheetName val="様式15の２"/>
      <sheetName val="様式16の１"/>
      <sheetName val="様式16の２"/>
      <sheetName val="様式17"/>
      <sheetName val="様式18"/>
      <sheetName val="登録用"/>
      <sheetName val="まとめ"/>
      <sheetName val="土日出勤"/>
      <sheetName val="新カリキュラム"/>
      <sheetName val="◎申請予定"/>
      <sheetName val="基本（作成用）"/>
      <sheetName val="作成用様式6"/>
      <sheetName val="基本 (保存用)"/>
      <sheetName val="Sheet1"/>
      <sheetName val="Sheet2"/>
    </sheetNames>
    <sheetDataSet>
      <sheetData sheetId="0" refreshError="1"/>
      <sheetData sheetId="1"/>
      <sheetData sheetId="2"/>
      <sheetData sheetId="3" refreshError="1"/>
      <sheetData sheetId="4" refreshError="1"/>
      <sheetData sheetId="5">
        <row r="1">
          <cell r="AO1" t="str">
            <v>00 基礎分野</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様式5"/>
    </sheetNames>
    <sheetDataSet>
      <sheetData sheetId="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改正点"/>
      <sheetName val="修正履歴"/>
      <sheetName val="一覧表"/>
      <sheetName val="様式1"/>
      <sheetName val="様式2"/>
      <sheetName val="様式3基"/>
      <sheetName val="様式3実"/>
      <sheetName val="様式4"/>
      <sheetName val="代表者･役員一覧"/>
      <sheetName val="様式5基"/>
      <sheetName val="様式4 (変更1117)"/>
      <sheetName val="様式5実"/>
      <sheetName val="様式5計画書"/>
      <sheetName val="様式5企業実習計画書"/>
      <sheetName val="様式5実 (変更1117)"/>
      <sheetName val="様式5DX推進"/>
      <sheetName val="様式6"/>
      <sheetName val="様式6 (講師名入り)"/>
      <sheetName val="様式6 (変更1117)"/>
      <sheetName val="様式6 (変更0116)"/>
      <sheetName val="様式7の１①"/>
      <sheetName val="様式7の１②"/>
      <sheetName val="様式7の１③"/>
      <sheetName val="様式7の１④"/>
      <sheetName val="様式7の１ (講師)"/>
      <sheetName val="様式7の１② (講師) "/>
      <sheetName val="様式7の１ (助手)"/>
      <sheetName val="様式7の１① (キャリコン)"/>
      <sheetName val="様式7の１ ②(キャリコン)"/>
      <sheetName val="様式7の１ (講師) (0216変更)"/>
      <sheetName val="様式7の１② (講師) (0216変更)"/>
      <sheetName val="様式7の１ (助手) (0216変更)"/>
      <sheetName val="様式7の１① (キャリコン) (0216変更)"/>
      <sheetName val="様式7の１ ②(キャリコン) (0216変更)"/>
      <sheetName val="様式7の１ (職員) (0216変更)"/>
      <sheetName val="様式7の１ (職員)"/>
      <sheetName val="様式7の3（道添）"/>
      <sheetName val="様式7の3（進村）"/>
      <sheetName val="様式7の3（尾本）"/>
      <sheetName val="様式7の3追加 (田代珠実)  "/>
      <sheetName val="様式7の3追加 (河道)"/>
      <sheetName val="様式7の3追加 (篠倉)"/>
      <sheetName val="様式7の3(青木先生)"/>
      <sheetName val="様式7の3追加 (加藤先生)"/>
      <sheetName val="様式7の3追加 (橋本先生)"/>
      <sheetName val="様式8"/>
      <sheetName val="様式9"/>
      <sheetName val="様式10 "/>
      <sheetName val="様式12"/>
      <sheetName val="様式13の1基"/>
      <sheetName val="様式13の2(自己評価)"/>
      <sheetName val="様式13の1実"/>
      <sheetName val="様式14 "/>
      <sheetName val="様式15の1基"/>
      <sheetName val="様式15の2基"/>
      <sheetName val="様式15の1実"/>
      <sheetName val="様式15の2実"/>
      <sheetName val="様式16の２"/>
      <sheetName val="様式17"/>
      <sheetName val="様式18"/>
      <sheetName val="オリエンテーション基"/>
      <sheetName val="オリエンテーション実"/>
      <sheetName val="コース案内(表)"/>
      <sheetName val="コース案内(裏)基"/>
      <sheetName val="コース案内(裏)実"/>
      <sheetName val="独自チラシ"/>
      <sheetName val="新聞広告等"/>
      <sheetName val="機構処理"/>
      <sheetName val="開講スケジュール"/>
      <sheetName val="登録用"/>
      <sheetName val="様式6 (講師名入り）"/>
    </sheetNames>
    <sheetDataSet>
      <sheetData sheetId="0"/>
      <sheetData sheetId="1"/>
      <sheetData sheetId="2"/>
      <sheetData sheetId="3"/>
      <sheetData sheetId="4"/>
      <sheetData sheetId="5"/>
      <sheetData sheetId="6"/>
      <sheetData sheetId="7"/>
      <sheetData sheetId="8"/>
      <sheetData sheetId="9">
        <row r="124">
          <cell r="H124">
            <v>0</v>
          </cell>
        </row>
      </sheetData>
      <sheetData sheetId="10"/>
      <sheetData sheetId="11">
        <row r="124">
          <cell r="H124">
            <v>612</v>
          </cell>
        </row>
      </sheetData>
      <sheetData sheetId="12"/>
      <sheetData sheetId="13"/>
      <sheetData sheetId="14"/>
      <sheetData sheetId="15"/>
      <sheetData sheetId="16">
        <row r="180">
          <cell r="AC180">
            <v>612</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4">
          <cell r="D4">
            <v>45146</v>
          </cell>
        </row>
      </sheetData>
      <sheetData sheetId="68">
        <row r="3">
          <cell r="T3" t="str">
            <v>祝祭日</v>
          </cell>
        </row>
      </sheetData>
      <sheetData sheetId="69"/>
      <sheetData sheetId="7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4.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5.bin"/><Relationship Id="rId5" Type="http://schemas.openxmlformats.org/officeDocument/2006/relationships/comments" Target="../comments6.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9.bin"/><Relationship Id="rId5" Type="http://schemas.openxmlformats.org/officeDocument/2006/relationships/comments" Target="../comments10.xml"/><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omments" Target="../comments11.xml"/><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omments" Target="../comments12.xml"/><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outlinePr summaryBelow="0" summaryRight="0"/>
  </sheetPr>
  <dimension ref="A1:CP500"/>
  <sheetViews>
    <sheetView zoomScaleNormal="100" zoomScaleSheetLayoutView="85" workbookViewId="0">
      <pane xSplit="2" ySplit="4" topLeftCell="AW5" activePane="bottomRight" state="frozen"/>
      <selection pane="topRight" activeCell="C1" sqref="C1"/>
      <selection pane="bottomLeft" activeCell="A6" sqref="A6"/>
      <selection pane="bottomRight" activeCell="B39" sqref="B39"/>
    </sheetView>
  </sheetViews>
  <sheetFormatPr defaultColWidth="12.5546875" defaultRowHeight="15.75" customHeight="1"/>
  <cols>
    <col min="1" max="1" width="2.5546875" customWidth="1"/>
    <col min="2" max="2" width="11.5546875" style="4" bestFit="1" customWidth="1"/>
    <col min="3" max="48" width="4.5546875" style="4" hidden="1" customWidth="1"/>
    <col min="49" max="94" width="4.5546875" style="4" customWidth="1"/>
    <col min="95" max="16384" width="12.5546875" style="13"/>
  </cols>
  <sheetData>
    <row r="1" spans="1:94" ht="12.6" customHeight="1">
      <c r="A1" s="13"/>
      <c r="M1" s="250"/>
      <c r="AT1" s="283" t="s">
        <v>306</v>
      </c>
      <c r="AU1" s="281"/>
      <c r="AV1" s="281"/>
      <c r="AW1" s="281"/>
      <c r="AX1" s="281"/>
      <c r="AY1" s="282" t="s">
        <v>370</v>
      </c>
      <c r="AZ1" s="245"/>
      <c r="BA1" s="245"/>
      <c r="BG1" s="4" t="s">
        <v>379</v>
      </c>
      <c r="BJ1" s="284" t="s">
        <v>412</v>
      </c>
      <c r="BL1" s="245" t="s">
        <v>380</v>
      </c>
    </row>
    <row r="2" spans="1:94" ht="15" customHeight="1">
      <c r="A2" s="13"/>
      <c r="B2" s="150" t="s">
        <v>120</v>
      </c>
      <c r="C2" s="13"/>
      <c r="D2" s="13"/>
      <c r="E2" s="13"/>
      <c r="F2" s="245" t="s">
        <v>263</v>
      </c>
      <c r="G2" s="13"/>
      <c r="H2" s="13"/>
      <c r="I2" s="13"/>
      <c r="J2" s="13"/>
      <c r="K2" s="13"/>
      <c r="L2" s="13"/>
      <c r="M2" s="13"/>
      <c r="N2" s="13" t="s">
        <v>271</v>
      </c>
      <c r="O2" s="13"/>
      <c r="P2" s="13" t="s">
        <v>267</v>
      </c>
      <c r="Q2" s="13" t="s">
        <v>274</v>
      </c>
      <c r="R2" s="13" t="s">
        <v>266</v>
      </c>
      <c r="S2" s="13" t="s">
        <v>274</v>
      </c>
      <c r="T2" s="13"/>
      <c r="U2" s="13"/>
      <c r="V2" s="13"/>
      <c r="W2" s="13"/>
      <c r="X2" s="245" t="s">
        <v>276</v>
      </c>
      <c r="Y2" s="13"/>
      <c r="Z2" s="245" t="s">
        <v>276</v>
      </c>
      <c r="AA2" s="13"/>
      <c r="AB2" s="13"/>
      <c r="AC2" s="13"/>
      <c r="AD2" s="13"/>
      <c r="AE2" s="13"/>
      <c r="AF2" s="13"/>
      <c r="AG2" s="13"/>
      <c r="AH2" s="13"/>
      <c r="AI2" s="13"/>
      <c r="AJ2" s="245" t="s">
        <v>276</v>
      </c>
      <c r="AK2" s="245"/>
      <c r="AL2" s="245"/>
      <c r="AM2" s="245"/>
      <c r="AN2" s="245" t="s">
        <v>276</v>
      </c>
      <c r="AO2" s="245"/>
      <c r="AP2" s="13"/>
      <c r="AQ2" s="13"/>
      <c r="AR2" s="13"/>
      <c r="AS2" s="13" t="s">
        <v>313</v>
      </c>
      <c r="AT2" s="283" t="s">
        <v>312</v>
      </c>
      <c r="AU2" s="282"/>
      <c r="AV2" s="282"/>
      <c r="AW2" s="282"/>
      <c r="AX2" s="282"/>
      <c r="AY2" s="282" t="s">
        <v>311</v>
      </c>
      <c r="AZ2" s="245"/>
      <c r="BA2" s="245"/>
      <c r="BB2" s="13"/>
      <c r="BC2" s="13" t="s">
        <v>375</v>
      </c>
      <c r="BD2" s="13" t="s">
        <v>375</v>
      </c>
      <c r="BE2" s="13"/>
      <c r="BF2" s="13" t="s">
        <v>376</v>
      </c>
      <c r="BG2" s="13" t="s">
        <v>375</v>
      </c>
      <c r="BH2" s="13"/>
      <c r="BI2" s="13"/>
      <c r="BJ2" s="13" t="s">
        <v>379</v>
      </c>
      <c r="BK2" s="13"/>
      <c r="BL2" s="13" t="s">
        <v>375</v>
      </c>
      <c r="BM2" s="245" t="s">
        <v>378</v>
      </c>
      <c r="BN2" s="245"/>
      <c r="BO2" s="245"/>
      <c r="BP2" s="13" t="s">
        <v>379</v>
      </c>
      <c r="BQ2" s="13" t="s">
        <v>375</v>
      </c>
      <c r="BR2" s="13"/>
      <c r="BS2" s="13"/>
      <c r="BT2" s="13"/>
      <c r="BU2" s="13" t="s">
        <v>379</v>
      </c>
      <c r="BV2" s="245" t="s">
        <v>378</v>
      </c>
      <c r="BW2" s="13" t="s">
        <v>379</v>
      </c>
      <c r="BX2" s="13"/>
      <c r="BY2" s="13"/>
      <c r="BZ2" s="13"/>
      <c r="CA2" s="13"/>
      <c r="CB2" s="13"/>
      <c r="CC2" s="13"/>
      <c r="CD2" s="13"/>
      <c r="CE2" s="13"/>
      <c r="CF2" s="13"/>
      <c r="CG2" s="13"/>
      <c r="CH2" s="13"/>
      <c r="CI2" s="13"/>
      <c r="CJ2" s="13"/>
      <c r="CK2" s="13"/>
      <c r="CL2" s="13"/>
      <c r="CM2" s="13"/>
      <c r="CN2" s="13"/>
      <c r="CO2" s="13"/>
      <c r="CP2" s="13"/>
    </row>
    <row r="3" spans="1:94" ht="13.2">
      <c r="A3" s="13"/>
      <c r="B3" s="8">
        <f>COUNTA(B19:B41)</f>
        <v>20</v>
      </c>
      <c r="C3" s="7">
        <v>45815</v>
      </c>
      <c r="D3" s="237">
        <v>45817</v>
      </c>
      <c r="E3" s="7">
        <v>45822</v>
      </c>
      <c r="F3" s="7">
        <v>45829</v>
      </c>
      <c r="G3" s="237">
        <v>45831</v>
      </c>
      <c r="H3" s="237">
        <v>45832</v>
      </c>
      <c r="I3" s="7">
        <v>45836</v>
      </c>
      <c r="J3" s="7">
        <v>45843</v>
      </c>
      <c r="K3" s="237">
        <v>45845</v>
      </c>
      <c r="L3" s="249">
        <v>45850</v>
      </c>
      <c r="M3" s="237">
        <v>45856</v>
      </c>
      <c r="N3" s="7">
        <v>45857</v>
      </c>
      <c r="O3" s="237">
        <v>45864</v>
      </c>
      <c r="P3" s="7">
        <v>45871</v>
      </c>
      <c r="Q3" s="251">
        <v>45873</v>
      </c>
      <c r="R3" s="7">
        <v>45878</v>
      </c>
      <c r="S3" s="251">
        <v>45888</v>
      </c>
      <c r="T3" s="7">
        <v>45885</v>
      </c>
      <c r="U3" s="237">
        <v>45889</v>
      </c>
      <c r="V3" s="237">
        <v>45892</v>
      </c>
      <c r="W3" s="237">
        <v>45896</v>
      </c>
      <c r="X3" s="7">
        <v>45899</v>
      </c>
      <c r="Y3" s="7">
        <v>45906</v>
      </c>
      <c r="Z3" s="7">
        <v>45913</v>
      </c>
      <c r="AA3" s="237">
        <v>45920</v>
      </c>
      <c r="AB3" s="237">
        <v>45922</v>
      </c>
      <c r="AC3" s="237">
        <v>45924</v>
      </c>
      <c r="AD3" s="7">
        <v>45927</v>
      </c>
      <c r="AE3" s="7">
        <v>45934</v>
      </c>
      <c r="AF3" s="260">
        <v>45941</v>
      </c>
      <c r="AG3" s="242">
        <v>45947</v>
      </c>
      <c r="AH3" s="260">
        <v>45948</v>
      </c>
      <c r="AI3" s="242">
        <v>45954</v>
      </c>
      <c r="AJ3" s="242">
        <v>45955</v>
      </c>
      <c r="AK3" s="257">
        <v>45962</v>
      </c>
      <c r="AL3" s="257">
        <v>45965</v>
      </c>
      <c r="AM3" s="257">
        <v>45969</v>
      </c>
      <c r="AN3" s="257">
        <v>45976</v>
      </c>
      <c r="AO3" s="257">
        <v>45983</v>
      </c>
      <c r="AP3" s="242">
        <v>45986</v>
      </c>
      <c r="AQ3" s="257">
        <v>45990</v>
      </c>
      <c r="AR3" s="257">
        <v>45997</v>
      </c>
      <c r="AS3" s="257">
        <v>45999</v>
      </c>
      <c r="AT3" s="242">
        <v>46004</v>
      </c>
      <c r="AU3" s="260">
        <v>46011</v>
      </c>
      <c r="AV3" s="260">
        <v>46018</v>
      </c>
      <c r="AW3" s="260">
        <v>45663</v>
      </c>
      <c r="AX3" s="260">
        <v>45666</v>
      </c>
      <c r="AY3" s="278">
        <v>46032</v>
      </c>
      <c r="AZ3" s="257">
        <v>45670</v>
      </c>
      <c r="BA3" s="257">
        <v>45672</v>
      </c>
      <c r="BB3" s="278">
        <v>46039</v>
      </c>
      <c r="BC3" s="278">
        <v>46046</v>
      </c>
      <c r="BD3" s="278">
        <v>46053</v>
      </c>
      <c r="BE3" s="278">
        <v>45695</v>
      </c>
      <c r="BF3" s="278">
        <v>45702</v>
      </c>
      <c r="BG3" s="278">
        <v>45709</v>
      </c>
      <c r="BH3" s="278">
        <v>45716</v>
      </c>
      <c r="BI3" s="278">
        <v>45723</v>
      </c>
      <c r="BJ3" s="278">
        <v>45730</v>
      </c>
      <c r="BK3" s="278">
        <v>45737</v>
      </c>
      <c r="BL3" s="278">
        <v>45744</v>
      </c>
      <c r="BM3" s="260">
        <v>46116</v>
      </c>
      <c r="BN3" s="260">
        <v>46119</v>
      </c>
      <c r="BO3" s="260">
        <v>46123</v>
      </c>
      <c r="BP3" s="257">
        <v>45765</v>
      </c>
      <c r="BQ3" s="257">
        <v>45772</v>
      </c>
      <c r="BR3" s="257">
        <v>45779</v>
      </c>
      <c r="BS3" s="257">
        <v>45786</v>
      </c>
      <c r="BT3" s="257">
        <v>45793</v>
      </c>
      <c r="BU3" s="257">
        <v>45800</v>
      </c>
      <c r="BV3" s="257">
        <v>46172</v>
      </c>
      <c r="BW3" s="257">
        <v>46544</v>
      </c>
      <c r="BX3" s="257">
        <v>46186</v>
      </c>
      <c r="BY3" s="257">
        <v>45828</v>
      </c>
      <c r="BZ3" s="257">
        <v>45470</v>
      </c>
      <c r="CA3" s="257">
        <v>45112</v>
      </c>
      <c r="CB3" s="257">
        <v>44754</v>
      </c>
      <c r="CC3" s="257">
        <v>44396</v>
      </c>
      <c r="CD3" s="257">
        <v>44038</v>
      </c>
      <c r="CE3" s="257">
        <v>43680</v>
      </c>
      <c r="CF3" s="257">
        <v>43322</v>
      </c>
      <c r="CG3" s="257">
        <v>42964</v>
      </c>
      <c r="CH3" s="257"/>
      <c r="CI3" s="257"/>
      <c r="CJ3" s="257"/>
      <c r="CK3" s="257"/>
      <c r="CL3" s="257"/>
      <c r="CM3" s="257"/>
      <c r="CN3" s="7"/>
      <c r="CO3" s="7"/>
      <c r="CP3" s="7"/>
    </row>
    <row r="4" spans="1:94" ht="13.8" thickBot="1">
      <c r="A4" s="13"/>
      <c r="B4" s="8"/>
      <c r="C4" s="228" t="s">
        <v>236</v>
      </c>
      <c r="D4" s="238" t="s">
        <v>241</v>
      </c>
      <c r="E4" s="228" t="s">
        <v>236</v>
      </c>
      <c r="F4" s="228" t="s">
        <v>202</v>
      </c>
      <c r="G4" s="238" t="s">
        <v>241</v>
      </c>
      <c r="H4" s="238" t="s">
        <v>237</v>
      </c>
      <c r="I4" s="240" t="s">
        <v>202</v>
      </c>
      <c r="J4" s="240" t="s">
        <v>202</v>
      </c>
      <c r="K4" s="239" t="s">
        <v>241</v>
      </c>
      <c r="L4" s="240" t="s">
        <v>202</v>
      </c>
      <c r="M4" s="239" t="s">
        <v>250</v>
      </c>
      <c r="N4" s="248" t="s">
        <v>202</v>
      </c>
      <c r="O4" s="239" t="s">
        <v>252</v>
      </c>
      <c r="P4" s="248" t="s">
        <v>202</v>
      </c>
      <c r="Q4" s="252" t="s">
        <v>272</v>
      </c>
      <c r="R4" s="248" t="s">
        <v>202</v>
      </c>
      <c r="S4" s="252" t="s">
        <v>275</v>
      </c>
      <c r="T4" s="248" t="s">
        <v>202</v>
      </c>
      <c r="U4" s="239" t="s">
        <v>251</v>
      </c>
      <c r="V4" s="239" t="s">
        <v>252</v>
      </c>
      <c r="W4" s="239" t="s">
        <v>251</v>
      </c>
      <c r="X4" s="261" t="s">
        <v>202</v>
      </c>
      <c r="Y4" s="261" t="s">
        <v>202</v>
      </c>
      <c r="Z4" s="261" t="s">
        <v>202</v>
      </c>
      <c r="AA4" s="239" t="s">
        <v>252</v>
      </c>
      <c r="AB4" s="239" t="s">
        <v>241</v>
      </c>
      <c r="AC4" s="239" t="s">
        <v>251</v>
      </c>
      <c r="AD4" s="261" t="s">
        <v>202</v>
      </c>
      <c r="AE4" s="261" t="s">
        <v>202</v>
      </c>
      <c r="AF4" s="261" t="s">
        <v>202</v>
      </c>
      <c r="AG4" s="239" t="s">
        <v>250</v>
      </c>
      <c r="AH4" s="261" t="s">
        <v>202</v>
      </c>
      <c r="AI4" s="239" t="s">
        <v>250</v>
      </c>
      <c r="AJ4" s="239" t="s">
        <v>252</v>
      </c>
      <c r="AK4" s="262" t="s">
        <v>202</v>
      </c>
      <c r="AL4" s="262" t="s">
        <v>275</v>
      </c>
      <c r="AM4" s="262" t="s">
        <v>202</v>
      </c>
      <c r="AN4" s="262" t="s">
        <v>202</v>
      </c>
      <c r="AO4" s="262" t="s">
        <v>202</v>
      </c>
      <c r="AP4" s="241" t="s">
        <v>237</v>
      </c>
      <c r="AQ4" s="258" t="s">
        <v>202</v>
      </c>
      <c r="AR4" s="258" t="s">
        <v>202</v>
      </c>
      <c r="AS4" s="258" t="s">
        <v>272</v>
      </c>
      <c r="AT4" s="241" t="s">
        <v>252</v>
      </c>
      <c r="AU4" s="228" t="s">
        <v>202</v>
      </c>
      <c r="AV4" s="9" t="s">
        <v>202</v>
      </c>
      <c r="AW4" s="228" t="s">
        <v>275</v>
      </c>
      <c r="AX4" s="228" t="s">
        <v>371</v>
      </c>
      <c r="AY4" s="279" t="s">
        <v>202</v>
      </c>
      <c r="AZ4" s="258" t="s">
        <v>275</v>
      </c>
      <c r="BA4" s="258" t="s">
        <v>372</v>
      </c>
      <c r="BB4" s="279" t="s">
        <v>202</v>
      </c>
      <c r="BC4" s="279" t="s">
        <v>202</v>
      </c>
      <c r="BD4" s="279" t="s">
        <v>202</v>
      </c>
      <c r="BE4" s="279" t="s">
        <v>308</v>
      </c>
      <c r="BF4" s="279" t="s">
        <v>308</v>
      </c>
      <c r="BG4" s="279" t="s">
        <v>308</v>
      </c>
      <c r="BH4" s="279" t="s">
        <v>308</v>
      </c>
      <c r="BI4" s="279" t="s">
        <v>308</v>
      </c>
      <c r="BJ4" s="279" t="s">
        <v>308</v>
      </c>
      <c r="BK4" s="279" t="s">
        <v>308</v>
      </c>
      <c r="BL4" s="279" t="s">
        <v>308</v>
      </c>
      <c r="BM4" s="228" t="s">
        <v>202</v>
      </c>
      <c r="BN4" s="228" t="s">
        <v>275</v>
      </c>
      <c r="BO4" s="228" t="s">
        <v>202</v>
      </c>
      <c r="BP4" s="258" t="s">
        <v>202</v>
      </c>
      <c r="BQ4" s="258" t="s">
        <v>202</v>
      </c>
      <c r="BR4" s="258" t="s">
        <v>202</v>
      </c>
      <c r="BS4" s="258" t="s">
        <v>202</v>
      </c>
      <c r="BT4" s="258" t="s">
        <v>202</v>
      </c>
      <c r="BU4" s="258" t="s">
        <v>202</v>
      </c>
      <c r="BV4" s="258" t="s">
        <v>202</v>
      </c>
      <c r="BW4" s="258" t="s">
        <v>202</v>
      </c>
      <c r="BX4" s="258" t="s">
        <v>202</v>
      </c>
      <c r="BY4" s="258" t="s">
        <v>202</v>
      </c>
      <c r="BZ4" s="258" t="s">
        <v>202</v>
      </c>
      <c r="CA4" s="258" t="s">
        <v>202</v>
      </c>
      <c r="CB4" s="258" t="s">
        <v>202</v>
      </c>
      <c r="CC4" s="258" t="s">
        <v>202</v>
      </c>
      <c r="CD4" s="258" t="s">
        <v>202</v>
      </c>
      <c r="CE4" s="258" t="s">
        <v>202</v>
      </c>
      <c r="CF4" s="258" t="s">
        <v>202</v>
      </c>
      <c r="CG4" s="258" t="s">
        <v>202</v>
      </c>
      <c r="CH4" s="258"/>
      <c r="CI4" s="258"/>
      <c r="CJ4" s="258"/>
      <c r="CK4" s="258"/>
      <c r="CL4" s="258"/>
      <c r="CM4" s="258"/>
      <c r="CN4" s="228"/>
      <c r="CO4" s="228"/>
      <c r="CP4" s="228"/>
    </row>
    <row r="5" spans="1:94" ht="13.8" thickTop="1">
      <c r="A5" s="13"/>
      <c r="B5" s="9" t="s">
        <v>223</v>
      </c>
      <c r="C5" s="235" t="s">
        <v>5</v>
      </c>
      <c r="D5" s="235"/>
      <c r="E5" s="235" t="s">
        <v>235</v>
      </c>
      <c r="F5" s="235" t="s">
        <v>1</v>
      </c>
      <c r="G5" s="235" t="s">
        <v>6</v>
      </c>
      <c r="H5" s="235" t="s">
        <v>8</v>
      </c>
      <c r="I5" s="235" t="s">
        <v>11</v>
      </c>
      <c r="J5" s="235" t="s">
        <v>7</v>
      </c>
      <c r="K5" s="235" t="s">
        <v>3</v>
      </c>
      <c r="L5" s="235" t="s">
        <v>9</v>
      </c>
      <c r="M5" s="235" t="s">
        <v>6</v>
      </c>
      <c r="N5" s="235" t="s">
        <v>9</v>
      </c>
      <c r="O5" s="235" t="s">
        <v>8</v>
      </c>
      <c r="P5" s="235" t="s">
        <v>4</v>
      </c>
      <c r="Q5" s="235"/>
      <c r="R5" s="235" t="s">
        <v>9</v>
      </c>
      <c r="S5" s="235"/>
      <c r="T5" s="235" t="s">
        <v>9</v>
      </c>
      <c r="U5" s="235" t="s">
        <v>6</v>
      </c>
      <c r="V5" s="235" t="s">
        <v>0</v>
      </c>
      <c r="W5" s="235" t="s">
        <v>8</v>
      </c>
      <c r="X5" s="235" t="s">
        <v>7</v>
      </c>
      <c r="Y5" s="235" t="s">
        <v>4</v>
      </c>
      <c r="Z5" s="235" t="s">
        <v>9</v>
      </c>
      <c r="AA5" s="235" t="s">
        <v>0</v>
      </c>
      <c r="AB5" s="235" t="s">
        <v>8</v>
      </c>
      <c r="AC5" s="235" t="s">
        <v>6</v>
      </c>
      <c r="AD5" s="235" t="s">
        <v>4</v>
      </c>
      <c r="AE5" s="235" t="s">
        <v>7</v>
      </c>
      <c r="AF5" s="235" t="s">
        <v>9</v>
      </c>
      <c r="AG5" s="235" t="s">
        <v>6</v>
      </c>
      <c r="AH5" s="235" t="s">
        <v>9</v>
      </c>
      <c r="AI5" s="235" t="s">
        <v>3</v>
      </c>
      <c r="AJ5" s="235" t="s">
        <v>8</v>
      </c>
      <c r="AK5" s="235" t="s">
        <v>7</v>
      </c>
      <c r="AL5" s="235"/>
      <c r="AM5" s="235" t="s">
        <v>9</v>
      </c>
      <c r="AN5" s="235" t="s">
        <v>9</v>
      </c>
      <c r="AO5" s="235" t="s">
        <v>10</v>
      </c>
      <c r="AP5" s="235" t="s">
        <v>8</v>
      </c>
      <c r="AQ5" s="235" t="s">
        <v>9</v>
      </c>
      <c r="AR5" s="235" t="s">
        <v>9</v>
      </c>
      <c r="AS5" s="235" t="s">
        <v>41</v>
      </c>
      <c r="AT5" s="235" t="s">
        <v>8</v>
      </c>
      <c r="AU5" s="235"/>
      <c r="AV5" s="274" t="s">
        <v>119</v>
      </c>
      <c r="AW5" s="273" t="s">
        <v>41</v>
      </c>
      <c r="AX5" s="273" t="s">
        <v>41</v>
      </c>
      <c r="AY5" s="273" t="s">
        <v>3</v>
      </c>
      <c r="AZ5" s="273" t="s">
        <v>41</v>
      </c>
      <c r="BA5" s="273" t="s">
        <v>41</v>
      </c>
      <c r="BB5" s="270" t="s">
        <v>10</v>
      </c>
      <c r="BC5" s="235" t="s">
        <v>5</v>
      </c>
      <c r="BD5" s="235" t="s">
        <v>7</v>
      </c>
      <c r="BE5" s="235" t="s">
        <v>7</v>
      </c>
      <c r="BF5" s="235" t="s">
        <v>11</v>
      </c>
      <c r="BG5" s="235" t="s">
        <v>1</v>
      </c>
      <c r="BH5" s="280" t="s">
        <v>119</v>
      </c>
      <c r="BI5" s="235" t="s">
        <v>10</v>
      </c>
      <c r="BJ5" s="235" t="s">
        <v>10</v>
      </c>
      <c r="BK5" s="235" t="s">
        <v>119</v>
      </c>
      <c r="BL5" s="235" t="s">
        <v>4</v>
      </c>
      <c r="BM5" s="235" t="s">
        <v>11</v>
      </c>
      <c r="BN5" s="235" t="s">
        <v>41</v>
      </c>
      <c r="BO5" s="235" t="s">
        <v>11</v>
      </c>
      <c r="BP5" s="235" t="s">
        <v>374</v>
      </c>
      <c r="BQ5" s="235" t="s">
        <v>13</v>
      </c>
      <c r="BR5" s="235"/>
      <c r="BS5" s="235" t="s">
        <v>7</v>
      </c>
      <c r="BT5" s="235" t="s">
        <v>10</v>
      </c>
      <c r="BU5" s="235" t="s">
        <v>374</v>
      </c>
      <c r="BV5" s="235" t="s">
        <v>235</v>
      </c>
      <c r="BW5" s="235" t="s">
        <v>235</v>
      </c>
      <c r="BX5" s="235" t="s">
        <v>1</v>
      </c>
      <c r="BY5" s="235"/>
      <c r="BZ5" s="235" t="s">
        <v>374</v>
      </c>
      <c r="CA5" s="235"/>
      <c r="CB5" s="235"/>
      <c r="CC5" s="235"/>
      <c r="CD5" s="235"/>
      <c r="CE5" s="235"/>
      <c r="CF5" s="235"/>
      <c r="CG5" s="235"/>
      <c r="CH5" s="235"/>
      <c r="CI5" s="235"/>
      <c r="CJ5" s="235"/>
      <c r="CK5" s="235"/>
      <c r="CL5" s="235"/>
      <c r="CM5" s="235"/>
      <c r="CN5" s="235"/>
      <c r="CO5" s="235"/>
      <c r="CP5" s="235"/>
    </row>
    <row r="6" spans="1:94" ht="13.2">
      <c r="A6" s="13"/>
      <c r="B6" s="226"/>
      <c r="C6" s="229" t="s">
        <v>235</v>
      </c>
      <c r="D6" s="229"/>
      <c r="E6" s="229" t="s">
        <v>1</v>
      </c>
      <c r="F6" s="229" t="s">
        <v>1</v>
      </c>
      <c r="G6" s="229"/>
      <c r="H6" s="229"/>
      <c r="I6" s="229" t="s">
        <v>4</v>
      </c>
      <c r="J6" s="229" t="s">
        <v>11</v>
      </c>
      <c r="K6" s="229"/>
      <c r="L6" s="229" t="s">
        <v>7</v>
      </c>
      <c r="M6" s="229"/>
      <c r="N6" s="229" t="s">
        <v>235</v>
      </c>
      <c r="O6" s="229" t="s">
        <v>0</v>
      </c>
      <c r="P6" s="229" t="s">
        <v>5</v>
      </c>
      <c r="Q6" s="229"/>
      <c r="R6" s="229" t="s">
        <v>7</v>
      </c>
      <c r="S6" s="229"/>
      <c r="T6" s="229" t="s">
        <v>235</v>
      </c>
      <c r="U6" s="229" t="s">
        <v>3</v>
      </c>
      <c r="V6" s="229" t="s">
        <v>7</v>
      </c>
      <c r="W6" s="229"/>
      <c r="X6" s="229" t="s">
        <v>4</v>
      </c>
      <c r="Y6" s="229" t="s">
        <v>11</v>
      </c>
      <c r="Z6" s="229" t="s">
        <v>235</v>
      </c>
      <c r="AA6" s="229" t="s">
        <v>235</v>
      </c>
      <c r="AB6" s="229"/>
      <c r="AC6" s="229" t="s">
        <v>3</v>
      </c>
      <c r="AD6" s="229" t="s">
        <v>7</v>
      </c>
      <c r="AE6" s="229" t="s">
        <v>4</v>
      </c>
      <c r="AF6" s="229" t="s">
        <v>10</v>
      </c>
      <c r="AG6" s="229"/>
      <c r="AH6" s="229" t="s">
        <v>10</v>
      </c>
      <c r="AI6" s="229"/>
      <c r="AJ6" s="229" t="s">
        <v>7</v>
      </c>
      <c r="AK6" s="229" t="s">
        <v>10</v>
      </c>
      <c r="AL6" s="229"/>
      <c r="AM6" s="229" t="s">
        <v>10</v>
      </c>
      <c r="AN6" s="229" t="s">
        <v>235</v>
      </c>
      <c r="AO6" s="229"/>
      <c r="AP6" s="229" t="s">
        <v>3</v>
      </c>
      <c r="AQ6" s="229" t="s">
        <v>10</v>
      </c>
      <c r="AR6" s="229" t="s">
        <v>11</v>
      </c>
      <c r="AS6" s="229"/>
      <c r="AT6" s="229" t="s">
        <v>1</v>
      </c>
      <c r="AU6" s="229"/>
      <c r="AV6" s="275" t="s">
        <v>119</v>
      </c>
      <c r="AW6" s="8"/>
      <c r="AX6" s="8"/>
      <c r="AY6" s="8" t="s">
        <v>10</v>
      </c>
      <c r="AZ6" s="8"/>
      <c r="BA6" s="224"/>
      <c r="BB6" s="224" t="s">
        <v>11</v>
      </c>
      <c r="BC6" s="229" t="s">
        <v>41</v>
      </c>
      <c r="BD6" s="229" t="s">
        <v>10</v>
      </c>
      <c r="BE6" s="229" t="s">
        <v>10</v>
      </c>
      <c r="BF6" s="229" t="s">
        <v>1</v>
      </c>
      <c r="BG6" s="229" t="s">
        <v>41</v>
      </c>
      <c r="BH6" s="229"/>
      <c r="BI6" s="229" t="s">
        <v>235</v>
      </c>
      <c r="BJ6" s="229" t="s">
        <v>235</v>
      </c>
      <c r="BK6" s="229"/>
      <c r="BL6" s="229" t="s">
        <v>1</v>
      </c>
      <c r="BM6" s="229" t="s">
        <v>4</v>
      </c>
      <c r="BN6" s="229"/>
      <c r="BO6" s="229" t="s">
        <v>8</v>
      </c>
      <c r="BP6" s="229" t="s">
        <v>119</v>
      </c>
      <c r="BQ6" s="229" t="s">
        <v>374</v>
      </c>
      <c r="BR6" s="229"/>
      <c r="BS6" s="229" t="s">
        <v>10</v>
      </c>
      <c r="BT6" s="229" t="s">
        <v>41</v>
      </c>
      <c r="BU6" s="229"/>
      <c r="BV6" s="229"/>
      <c r="BW6" s="229" t="s">
        <v>1</v>
      </c>
      <c r="BX6" s="229" t="s">
        <v>3</v>
      </c>
      <c r="BY6" s="229"/>
      <c r="BZ6" s="229" t="s">
        <v>41</v>
      </c>
      <c r="CA6" s="229"/>
      <c r="CB6" s="229"/>
      <c r="CC6" s="229"/>
      <c r="CD6" s="229"/>
      <c r="CE6" s="229"/>
      <c r="CF6" s="229"/>
      <c r="CG6" s="229"/>
      <c r="CH6" s="229"/>
      <c r="CI6" s="229"/>
      <c r="CJ6" s="229"/>
      <c r="CK6" s="229"/>
      <c r="CL6" s="229"/>
      <c r="CM6" s="229"/>
      <c r="CN6" s="229"/>
      <c r="CO6" s="229"/>
      <c r="CP6" s="229"/>
    </row>
    <row r="7" spans="1:94" ht="13.2">
      <c r="A7" s="13"/>
      <c r="B7" s="226"/>
      <c r="C7" s="229" t="s">
        <v>1</v>
      </c>
      <c r="D7" s="229"/>
      <c r="E7" s="229" t="s">
        <v>9</v>
      </c>
      <c r="F7" s="229" t="s">
        <v>1</v>
      </c>
      <c r="G7" s="229"/>
      <c r="H7" s="229"/>
      <c r="I7" s="229" t="s">
        <v>5</v>
      </c>
      <c r="J7" s="229" t="s">
        <v>4</v>
      </c>
      <c r="K7" s="229"/>
      <c r="L7" s="229" t="s">
        <v>235</v>
      </c>
      <c r="M7" s="229"/>
      <c r="N7" s="229"/>
      <c r="O7" s="229" t="s">
        <v>4</v>
      </c>
      <c r="P7" s="229" t="s">
        <v>1</v>
      </c>
      <c r="Q7" s="229"/>
      <c r="R7" s="229" t="s">
        <v>235</v>
      </c>
      <c r="S7" s="229"/>
      <c r="T7" s="229"/>
      <c r="U7" s="229"/>
      <c r="V7" s="229"/>
      <c r="W7" s="229"/>
      <c r="X7" s="229" t="s">
        <v>1</v>
      </c>
      <c r="Y7" s="229" t="s">
        <v>1</v>
      </c>
      <c r="Z7" s="229" t="s">
        <v>11</v>
      </c>
      <c r="AA7" s="229" t="s">
        <v>9</v>
      </c>
      <c r="AB7" s="229"/>
      <c r="AC7" s="229"/>
      <c r="AD7" s="229"/>
      <c r="AE7" s="229" t="s">
        <v>5</v>
      </c>
      <c r="AF7" s="229" t="s">
        <v>11</v>
      </c>
      <c r="AG7" s="229"/>
      <c r="AH7" s="229" t="s">
        <v>11</v>
      </c>
      <c r="AI7" s="229"/>
      <c r="AJ7" s="229"/>
      <c r="AK7" s="229" t="s">
        <v>11</v>
      </c>
      <c r="AL7" s="229"/>
      <c r="AM7" s="229" t="s">
        <v>11</v>
      </c>
      <c r="AN7" s="266" t="s">
        <v>1</v>
      </c>
      <c r="AO7" s="229"/>
      <c r="AP7" s="229"/>
      <c r="AQ7" s="229" t="s">
        <v>11</v>
      </c>
      <c r="AR7" s="229" t="s">
        <v>5</v>
      </c>
      <c r="AS7" s="229"/>
      <c r="AT7" s="266" t="s">
        <v>7</v>
      </c>
      <c r="AU7" s="229"/>
      <c r="AV7" s="275" t="s">
        <v>119</v>
      </c>
      <c r="AW7" s="8"/>
      <c r="AX7" s="8"/>
      <c r="AY7" s="8" t="s">
        <v>11</v>
      </c>
      <c r="AZ7" s="8"/>
      <c r="BA7" s="224"/>
      <c r="BB7" s="224" t="s">
        <v>4</v>
      </c>
      <c r="BC7" s="229" t="s">
        <v>41</v>
      </c>
      <c r="BD7" s="229" t="s">
        <v>5</v>
      </c>
      <c r="BE7" s="229" t="s">
        <v>11</v>
      </c>
      <c r="BF7" s="229" t="s">
        <v>8</v>
      </c>
      <c r="BG7" s="229"/>
      <c r="BH7" s="229"/>
      <c r="BI7" s="229" t="s">
        <v>1</v>
      </c>
      <c r="BJ7" s="229" t="s">
        <v>1</v>
      </c>
      <c r="BK7" s="229"/>
      <c r="BL7" s="229" t="s">
        <v>41</v>
      </c>
      <c r="BM7" s="229" t="s">
        <v>1</v>
      </c>
      <c r="BN7" s="229"/>
      <c r="BO7" s="229"/>
      <c r="BP7" s="229"/>
      <c r="BQ7" s="229"/>
      <c r="BR7" s="229"/>
      <c r="BS7" s="229"/>
      <c r="BT7" s="229" t="s">
        <v>4</v>
      </c>
      <c r="BU7" s="229"/>
      <c r="BV7" s="229"/>
      <c r="BW7" s="229" t="s">
        <v>3</v>
      </c>
      <c r="BX7" s="229"/>
      <c r="BY7" s="229"/>
      <c r="BZ7" s="229" t="s">
        <v>41</v>
      </c>
      <c r="CA7" s="229"/>
      <c r="CB7" s="229"/>
      <c r="CC7" s="229"/>
      <c r="CD7" s="229"/>
      <c r="CE7" s="229"/>
      <c r="CF7" s="229"/>
      <c r="CG7" s="229"/>
      <c r="CH7" s="229"/>
      <c r="CI7" s="229"/>
      <c r="CJ7" s="229"/>
      <c r="CK7" s="229"/>
      <c r="CL7" s="229"/>
      <c r="CM7" s="229"/>
      <c r="CN7" s="229"/>
      <c r="CO7" s="229"/>
      <c r="CP7" s="229"/>
    </row>
    <row r="8" spans="1:94" ht="13.2">
      <c r="A8" s="13"/>
      <c r="B8" s="226"/>
      <c r="C8" s="229" t="s">
        <v>9</v>
      </c>
      <c r="D8" s="229"/>
      <c r="E8" s="229" t="s">
        <v>7</v>
      </c>
      <c r="F8" s="229" t="s">
        <v>41</v>
      </c>
      <c r="G8" s="229"/>
      <c r="H8" s="229"/>
      <c r="I8" s="229"/>
      <c r="J8" s="229" t="s">
        <v>5</v>
      </c>
      <c r="K8" s="229"/>
      <c r="L8" s="229" t="s">
        <v>1</v>
      </c>
      <c r="M8" s="229"/>
      <c r="N8" s="229"/>
      <c r="O8" s="229" t="s">
        <v>5</v>
      </c>
      <c r="P8" s="229" t="s">
        <v>11</v>
      </c>
      <c r="Q8" s="229"/>
      <c r="R8" s="229" t="s">
        <v>11</v>
      </c>
      <c r="S8" s="229"/>
      <c r="T8" s="229"/>
      <c r="U8" s="229"/>
      <c r="V8" s="229"/>
      <c r="W8" s="229"/>
      <c r="X8" s="229"/>
      <c r="Y8" s="265" t="s">
        <v>10</v>
      </c>
      <c r="Z8" s="259" t="s">
        <v>10</v>
      </c>
      <c r="AA8" s="259"/>
      <c r="AB8" s="229"/>
      <c r="AC8" s="229"/>
      <c r="AD8" s="229"/>
      <c r="AE8" s="229"/>
      <c r="AF8" s="229" t="s">
        <v>5</v>
      </c>
      <c r="AG8" s="229"/>
      <c r="AH8" s="229" t="s">
        <v>235</v>
      </c>
      <c r="AI8" s="229"/>
      <c r="AJ8" s="229"/>
      <c r="AK8" s="229" t="s">
        <v>5</v>
      </c>
      <c r="AL8" s="229"/>
      <c r="AM8" s="229" t="s">
        <v>5</v>
      </c>
      <c r="AN8" s="229" t="s">
        <v>4</v>
      </c>
      <c r="AO8" s="229"/>
      <c r="AP8" s="229"/>
      <c r="AQ8" s="229" t="s">
        <v>5</v>
      </c>
      <c r="AR8" s="229" t="s">
        <v>235</v>
      </c>
      <c r="AS8" s="229"/>
      <c r="AT8" s="229"/>
      <c r="AU8" s="229"/>
      <c r="AV8" s="275" t="s">
        <v>119</v>
      </c>
      <c r="AW8" s="8"/>
      <c r="AX8" s="8"/>
      <c r="AY8" s="8" t="s">
        <v>4</v>
      </c>
      <c r="AZ8" s="8"/>
      <c r="BA8" s="224"/>
      <c r="BB8" s="224" t="s">
        <v>5</v>
      </c>
      <c r="BC8" s="229" t="s">
        <v>41</v>
      </c>
      <c r="BD8" s="229" t="s">
        <v>41</v>
      </c>
      <c r="BE8" s="229" t="s">
        <v>8</v>
      </c>
      <c r="BF8" s="229" t="s">
        <v>41</v>
      </c>
      <c r="BG8" s="229"/>
      <c r="BH8" s="229"/>
      <c r="BI8" s="229" t="s">
        <v>3</v>
      </c>
      <c r="BJ8" s="229" t="s">
        <v>3</v>
      </c>
      <c r="BK8" s="229"/>
      <c r="BL8" s="229" t="s">
        <v>41</v>
      </c>
      <c r="BM8" s="229" t="s">
        <v>8</v>
      </c>
      <c r="BN8" s="229"/>
      <c r="BO8" s="229"/>
      <c r="BP8" s="229"/>
      <c r="BQ8" s="229"/>
      <c r="BR8" s="229"/>
      <c r="BS8" s="229"/>
      <c r="BT8" s="229" t="s">
        <v>4</v>
      </c>
      <c r="BU8" s="229"/>
      <c r="BV8" s="229"/>
      <c r="BW8" s="229"/>
      <c r="BX8" s="229"/>
      <c r="BY8" s="229"/>
      <c r="BZ8" s="229" t="s">
        <v>41</v>
      </c>
      <c r="CA8" s="229"/>
      <c r="CB8" s="229"/>
      <c r="CC8" s="229"/>
      <c r="CD8" s="229"/>
      <c r="CE8" s="229"/>
      <c r="CF8" s="229"/>
      <c r="CG8" s="229"/>
      <c r="CH8" s="229"/>
      <c r="CI8" s="229"/>
      <c r="CJ8" s="229"/>
      <c r="CK8" s="229"/>
      <c r="CL8" s="229"/>
      <c r="CM8" s="229"/>
      <c r="CN8" s="229"/>
      <c r="CO8" s="229"/>
      <c r="CP8" s="229"/>
    </row>
    <row r="9" spans="1:94" ht="13.2">
      <c r="A9" s="13"/>
      <c r="B9" s="226"/>
      <c r="C9" s="229" t="s">
        <v>41</v>
      </c>
      <c r="D9" s="229"/>
      <c r="E9" s="229" t="s">
        <v>41</v>
      </c>
      <c r="F9" s="229" t="s">
        <v>41</v>
      </c>
      <c r="G9" s="229"/>
      <c r="H9" s="229"/>
      <c r="I9" s="229"/>
      <c r="J9" s="229" t="s">
        <v>1</v>
      </c>
      <c r="K9" s="229"/>
      <c r="L9" s="229"/>
      <c r="M9" s="229"/>
      <c r="N9" s="229"/>
      <c r="O9" s="229" t="s">
        <v>41</v>
      </c>
      <c r="P9" s="229"/>
      <c r="Q9" s="229"/>
      <c r="R9" s="229" t="s">
        <v>1</v>
      </c>
      <c r="S9" s="229"/>
      <c r="T9" s="229"/>
      <c r="U9" s="229"/>
      <c r="V9" s="229"/>
      <c r="W9" s="229"/>
      <c r="X9" s="229"/>
      <c r="Y9" s="265" t="s">
        <v>5</v>
      </c>
      <c r="Z9" s="259" t="s">
        <v>5</v>
      </c>
      <c r="AA9" s="259"/>
      <c r="AB9" s="229"/>
      <c r="AC9" s="229"/>
      <c r="AD9" s="229"/>
      <c r="AE9" s="229"/>
      <c r="AF9" s="229" t="s">
        <v>235</v>
      </c>
      <c r="AG9" s="229"/>
      <c r="AH9" s="229"/>
      <c r="AI9" s="229"/>
      <c r="AJ9" s="229"/>
      <c r="AK9" s="229"/>
      <c r="AL9" s="229"/>
      <c r="AM9" s="229" t="s">
        <v>235</v>
      </c>
      <c r="AN9" s="229"/>
      <c r="AO9" s="229"/>
      <c r="AP9" s="229"/>
      <c r="AQ9" s="229" t="s">
        <v>235</v>
      </c>
      <c r="AR9" s="229" t="s">
        <v>1</v>
      </c>
      <c r="AS9" s="229"/>
      <c r="AT9" s="229"/>
      <c r="AU9" s="229"/>
      <c r="AV9" s="275" t="s">
        <v>119</v>
      </c>
      <c r="AW9" s="8"/>
      <c r="AX9" s="8"/>
      <c r="AY9" s="8" t="s">
        <v>5</v>
      </c>
      <c r="AZ9" s="8"/>
      <c r="BA9" s="224"/>
      <c r="BB9" s="224" t="s">
        <v>235</v>
      </c>
      <c r="BC9" s="229" t="s">
        <v>41</v>
      </c>
      <c r="BD9" s="229" t="s">
        <v>41</v>
      </c>
      <c r="BE9" s="229" t="s">
        <v>41</v>
      </c>
      <c r="BF9" s="229"/>
      <c r="BG9" s="229"/>
      <c r="BH9" s="229"/>
      <c r="BI9" s="229" t="s">
        <v>41</v>
      </c>
      <c r="BJ9" s="229" t="s">
        <v>41</v>
      </c>
      <c r="BK9" s="229"/>
      <c r="BL9" s="229"/>
      <c r="BM9" s="229"/>
      <c r="BN9" s="229"/>
      <c r="BO9" s="229"/>
      <c r="BP9" s="229"/>
      <c r="BQ9" s="229"/>
      <c r="BR9" s="229"/>
      <c r="BS9" s="229"/>
      <c r="BT9" s="229" t="s">
        <v>4</v>
      </c>
      <c r="BU9" s="229"/>
      <c r="BV9" s="229"/>
      <c r="BW9" s="229"/>
      <c r="BX9" s="229"/>
      <c r="BY9" s="229"/>
      <c r="BZ9" s="229" t="s">
        <v>4</v>
      </c>
      <c r="CA9" s="229"/>
      <c r="CB9" s="229"/>
      <c r="CC9" s="229"/>
      <c r="CD9" s="229"/>
      <c r="CE9" s="229"/>
      <c r="CF9" s="229"/>
      <c r="CG9" s="229"/>
      <c r="CH9" s="229"/>
      <c r="CI9" s="229"/>
      <c r="CJ9" s="229"/>
      <c r="CK9" s="229"/>
      <c r="CL9" s="229"/>
      <c r="CM9" s="229"/>
      <c r="CN9" s="229"/>
      <c r="CO9" s="229"/>
      <c r="CP9" s="229"/>
    </row>
    <row r="10" spans="1:94" ht="13.2">
      <c r="A10" s="13"/>
      <c r="B10" s="226"/>
      <c r="C10" s="229" t="s">
        <v>11</v>
      </c>
      <c r="D10" s="229"/>
      <c r="E10" s="229"/>
      <c r="F10" s="229"/>
      <c r="G10" s="229"/>
      <c r="H10" s="229"/>
      <c r="I10" s="229"/>
      <c r="J10" s="229" t="s">
        <v>41</v>
      </c>
      <c r="K10" s="229"/>
      <c r="L10" s="229"/>
      <c r="M10" s="229"/>
      <c r="N10" s="229"/>
      <c r="O10" s="229"/>
      <c r="P10" s="229"/>
      <c r="Q10" s="229"/>
      <c r="R10" s="229"/>
      <c r="S10" s="229"/>
      <c r="T10" s="229"/>
      <c r="U10" s="229"/>
      <c r="V10" s="229"/>
      <c r="W10" s="229"/>
      <c r="X10" s="229"/>
      <c r="Y10" s="229"/>
      <c r="Z10" s="229"/>
      <c r="AA10" s="229"/>
      <c r="AB10" s="229"/>
      <c r="AC10" s="229"/>
      <c r="AD10" s="229"/>
      <c r="AE10" s="229"/>
      <c r="AF10" s="229" t="s">
        <v>1</v>
      </c>
      <c r="AG10" s="229"/>
      <c r="AH10" s="229"/>
      <c r="AI10" s="229"/>
      <c r="AJ10" s="229"/>
      <c r="AK10" s="229"/>
      <c r="AL10" s="229"/>
      <c r="AM10" s="266" t="s">
        <v>1</v>
      </c>
      <c r="AN10" s="229"/>
      <c r="AO10" s="229"/>
      <c r="AP10" s="229"/>
      <c r="AQ10" s="229"/>
      <c r="AR10" s="229" t="s">
        <v>41</v>
      </c>
      <c r="AS10" s="229"/>
      <c r="AT10" s="229"/>
      <c r="AU10" s="229"/>
      <c r="AV10" s="275" t="s">
        <v>119</v>
      </c>
      <c r="AW10" s="8"/>
      <c r="AX10" s="8"/>
      <c r="AY10" s="8" t="s">
        <v>235</v>
      </c>
      <c r="AZ10" s="8"/>
      <c r="BA10" s="224"/>
      <c r="BB10" s="224" t="s">
        <v>1</v>
      </c>
      <c r="BC10" s="229" t="s">
        <v>41</v>
      </c>
      <c r="BD10" s="229"/>
      <c r="BE10" s="229"/>
      <c r="BF10" s="229"/>
      <c r="BG10" s="229"/>
      <c r="BH10" s="229"/>
      <c r="BI10" s="229" t="s">
        <v>41</v>
      </c>
      <c r="BJ10" s="229" t="s">
        <v>41</v>
      </c>
      <c r="BK10" s="229"/>
      <c r="BL10" s="229"/>
      <c r="BM10" s="229"/>
      <c r="BN10" s="229"/>
      <c r="BO10" s="229"/>
      <c r="BP10" s="229"/>
      <c r="BQ10" s="229"/>
      <c r="BR10" s="229"/>
      <c r="BS10" s="229"/>
      <c r="BT10" s="229" t="s">
        <v>4</v>
      </c>
      <c r="BU10" s="229"/>
      <c r="BV10" s="229"/>
      <c r="BW10" s="229"/>
      <c r="BX10" s="229"/>
      <c r="BY10" s="229"/>
      <c r="BZ10" s="229" t="s">
        <v>4</v>
      </c>
      <c r="CA10" s="229"/>
      <c r="CB10" s="229"/>
      <c r="CC10" s="229"/>
      <c r="CD10" s="229"/>
      <c r="CE10" s="229"/>
      <c r="CF10" s="229"/>
      <c r="CG10" s="229"/>
      <c r="CH10" s="229"/>
      <c r="CI10" s="229"/>
      <c r="CJ10" s="229"/>
      <c r="CK10" s="229"/>
      <c r="CL10" s="229"/>
      <c r="CM10" s="229"/>
      <c r="CN10" s="229"/>
      <c r="CO10" s="229"/>
      <c r="CP10" s="229"/>
    </row>
    <row r="11" spans="1:94" ht="13.8" thickBot="1">
      <c r="A11" s="13"/>
      <c r="B11" s="228"/>
      <c r="C11" s="230" t="s">
        <v>4</v>
      </c>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t="s">
        <v>4</v>
      </c>
      <c r="AN11" s="230"/>
      <c r="AO11" s="230"/>
      <c r="AP11" s="230"/>
      <c r="AQ11" s="230"/>
      <c r="AR11" s="269" t="s">
        <v>7</v>
      </c>
      <c r="AS11" s="230"/>
      <c r="AT11" s="230"/>
      <c r="AU11" s="229"/>
      <c r="AV11" s="276" t="s">
        <v>119</v>
      </c>
      <c r="AW11" s="9"/>
      <c r="AX11" s="9"/>
      <c r="AY11" s="9" t="s">
        <v>1</v>
      </c>
      <c r="AZ11" s="9"/>
      <c r="BA11" s="229"/>
      <c r="BB11" s="229" t="s">
        <v>3</v>
      </c>
      <c r="BC11" s="229"/>
      <c r="BD11" s="229"/>
      <c r="BE11" s="230"/>
      <c r="BF11" s="230"/>
      <c r="BG11" s="230"/>
      <c r="BH11" s="230"/>
      <c r="BI11" s="230"/>
      <c r="BJ11" s="230"/>
      <c r="BK11" s="230"/>
      <c r="BL11" s="230"/>
      <c r="BM11" s="230"/>
      <c r="BN11" s="230"/>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row>
    <row r="12" spans="1:94" ht="13.8" thickTop="1">
      <c r="A12" s="13"/>
      <c r="B12" s="227" t="s">
        <v>115</v>
      </c>
      <c r="C12" s="140" t="str">
        <f t="shared" ref="C12:CP12" si="0">IF(C16&gt;=14,"調整","OK")</f>
        <v>調整</v>
      </c>
      <c r="D12" s="140" t="s">
        <v>238</v>
      </c>
      <c r="E12" s="140" t="str">
        <f t="shared" si="0"/>
        <v>OK</v>
      </c>
      <c r="F12" s="140"/>
      <c r="G12" s="140" t="s">
        <v>243</v>
      </c>
      <c r="H12" s="140" t="s">
        <v>243</v>
      </c>
      <c r="I12" s="140"/>
      <c r="J12" s="140"/>
      <c r="K12" s="140" t="s">
        <v>243</v>
      </c>
      <c r="L12" s="140"/>
      <c r="M12" s="140" t="s">
        <v>243</v>
      </c>
      <c r="N12" s="140"/>
      <c r="O12" s="140" t="s">
        <v>238</v>
      </c>
      <c r="P12" s="140"/>
      <c r="Q12" s="140"/>
      <c r="R12" s="140"/>
      <c r="S12" s="140"/>
      <c r="T12" s="140"/>
      <c r="U12" s="140" t="s">
        <v>243</v>
      </c>
      <c r="V12" s="140" t="s">
        <v>243</v>
      </c>
      <c r="W12" s="140" t="s">
        <v>243</v>
      </c>
      <c r="X12" s="140"/>
      <c r="Y12" s="140"/>
      <c r="Z12" s="140"/>
      <c r="AA12" s="140" t="s">
        <v>243</v>
      </c>
      <c r="AB12" s="140" t="s">
        <v>243</v>
      </c>
      <c r="AC12" s="140" t="s">
        <v>243</v>
      </c>
      <c r="AD12" s="140"/>
      <c r="AE12" s="140"/>
      <c r="AF12" s="140"/>
      <c r="AG12" s="140" t="s">
        <v>243</v>
      </c>
      <c r="AH12" s="140"/>
      <c r="AI12" s="140"/>
      <c r="AJ12" s="140" t="s">
        <v>243</v>
      </c>
      <c r="AK12" s="140"/>
      <c r="AL12" s="140"/>
      <c r="AM12" s="140"/>
      <c r="AN12" s="140"/>
      <c r="AO12" s="140"/>
      <c r="AP12" s="140" t="s">
        <v>243</v>
      </c>
      <c r="AQ12" s="140"/>
      <c r="AR12" s="140"/>
      <c r="AS12" s="140"/>
      <c r="AT12" s="140" t="s">
        <v>243</v>
      </c>
      <c r="AU12" s="273"/>
      <c r="AV12" s="274" t="s">
        <v>119</v>
      </c>
      <c r="AW12" s="273"/>
      <c r="AX12" s="273"/>
      <c r="AY12" s="273"/>
      <c r="AZ12" s="273"/>
      <c r="BA12" s="273"/>
      <c r="BB12" s="273"/>
      <c r="BC12" s="273"/>
      <c r="BD12" s="273"/>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t="str">
        <f t="shared" si="0"/>
        <v>調整</v>
      </c>
      <c r="CO12" s="140" t="str">
        <f t="shared" si="0"/>
        <v>調整</v>
      </c>
      <c r="CP12" s="140" t="str">
        <f t="shared" si="0"/>
        <v>調整</v>
      </c>
    </row>
    <row r="13" spans="1:94" ht="13.8" thickBot="1">
      <c r="A13" s="13"/>
      <c r="B13" s="143" t="s">
        <v>44</v>
      </c>
      <c r="C13" s="210">
        <f>$B3-(COUNTIF(C19:C41,"不可")+COUNTIF(C19:C41,"CL"))</f>
        <v>14</v>
      </c>
      <c r="D13" s="210"/>
      <c r="E13" s="210">
        <f>$B3-(COUNTIF(E19:E41,"不可")+COUNTIF(E19:E41,"CL"))</f>
        <v>9</v>
      </c>
      <c r="F13" s="210"/>
      <c r="G13" s="210"/>
      <c r="H13" s="210"/>
      <c r="I13" s="210"/>
      <c r="J13" s="210" t="s">
        <v>268</v>
      </c>
      <c r="K13" s="210"/>
      <c r="L13" s="210" t="s">
        <v>268</v>
      </c>
      <c r="M13" s="210"/>
      <c r="N13" s="210"/>
      <c r="O13" s="210" t="s">
        <v>269</v>
      </c>
      <c r="P13" s="210" t="s">
        <v>268</v>
      </c>
      <c r="Q13" s="210" t="s">
        <v>273</v>
      </c>
      <c r="R13" s="210" t="s">
        <v>268</v>
      </c>
      <c r="S13" s="210" t="s">
        <v>273</v>
      </c>
      <c r="T13" s="210"/>
      <c r="U13" s="210"/>
      <c r="V13" s="210" t="s">
        <v>269</v>
      </c>
      <c r="W13" s="210"/>
      <c r="X13" s="210" t="s">
        <v>270</v>
      </c>
      <c r="Y13" s="210" t="s">
        <v>268</v>
      </c>
      <c r="Z13" s="210" t="s">
        <v>269</v>
      </c>
      <c r="AA13" s="210"/>
      <c r="AB13" s="210"/>
      <c r="AC13" s="210"/>
      <c r="AD13" s="210" t="s">
        <v>269</v>
      </c>
      <c r="AE13" s="210" t="s">
        <v>270</v>
      </c>
      <c r="AF13" s="210" t="s">
        <v>269</v>
      </c>
      <c r="AG13" s="210"/>
      <c r="AH13" s="210"/>
      <c r="AI13" s="210"/>
      <c r="AJ13" s="210" t="s">
        <v>269</v>
      </c>
      <c r="AK13" s="210" t="s">
        <v>269</v>
      </c>
      <c r="AL13" s="210" t="s">
        <v>270</v>
      </c>
      <c r="AM13" s="210"/>
      <c r="AN13" s="210"/>
      <c r="AO13" s="210" t="s">
        <v>269</v>
      </c>
      <c r="AP13" s="210"/>
      <c r="AQ13" s="210" t="s">
        <v>269</v>
      </c>
      <c r="AR13" s="210" t="s">
        <v>268</v>
      </c>
      <c r="AS13" s="210" t="s">
        <v>270</v>
      </c>
      <c r="AT13" s="210" t="s">
        <v>310</v>
      </c>
      <c r="AU13" s="210"/>
      <c r="AV13" s="275" t="s">
        <v>119</v>
      </c>
      <c r="AW13" s="8"/>
      <c r="AX13" s="8"/>
      <c r="AY13" s="271"/>
      <c r="AZ13" s="271"/>
      <c r="BA13" s="271"/>
      <c r="BB13" s="271"/>
      <c r="BC13" s="268" t="s">
        <v>310</v>
      </c>
      <c r="BD13" s="268" t="s">
        <v>269</v>
      </c>
      <c r="BE13" s="268"/>
      <c r="BF13" s="268" t="s">
        <v>270</v>
      </c>
      <c r="BG13" s="268" t="s">
        <v>270</v>
      </c>
      <c r="BH13" s="268" t="s">
        <v>309</v>
      </c>
      <c r="BI13" s="268"/>
      <c r="BJ13" s="268" t="s">
        <v>269</v>
      </c>
      <c r="BK13" s="268"/>
      <c r="BL13" s="268" t="s">
        <v>309</v>
      </c>
      <c r="BM13" s="268"/>
      <c r="BN13" s="268"/>
      <c r="BO13" s="268"/>
      <c r="BP13" s="268" t="s">
        <v>309</v>
      </c>
      <c r="BQ13" s="268"/>
      <c r="BR13" s="268"/>
      <c r="BS13" s="268"/>
      <c r="BT13" s="268"/>
      <c r="BU13" s="268" t="s">
        <v>309</v>
      </c>
      <c r="BV13" s="268"/>
      <c r="BW13" s="268" t="s">
        <v>309</v>
      </c>
      <c r="BX13" s="268"/>
      <c r="BY13" s="210"/>
      <c r="BZ13" s="210"/>
      <c r="CA13" s="210"/>
      <c r="CB13" s="210"/>
      <c r="CC13" s="210"/>
      <c r="CD13" s="210"/>
      <c r="CE13" s="210"/>
      <c r="CF13" s="210"/>
      <c r="CG13" s="210"/>
      <c r="CH13" s="210"/>
      <c r="CI13" s="210"/>
      <c r="CJ13" s="210"/>
      <c r="CK13" s="210"/>
      <c r="CL13" s="210"/>
      <c r="CM13" s="210"/>
      <c r="CN13" s="210">
        <f>$B3-(COUNTIF(CN19:CN41,"不可")+COUNTIF(CN19:CN41,"CL"))</f>
        <v>20</v>
      </c>
      <c r="CO13" s="210">
        <f>$B3-(COUNTIF(CO19:CO41,"不可")+COUNTIF(CO19:CO41,"CL"))</f>
        <v>20</v>
      </c>
      <c r="CP13" s="210">
        <f>$B3-(COUNTIF(CP19:CP41,"不可")+COUNTIF(CP19:CP41,"CL"))</f>
        <v>20</v>
      </c>
    </row>
    <row r="14" spans="1:94" ht="13.8" thickTop="1">
      <c r="A14" s="13"/>
      <c r="B14" s="141" t="s">
        <v>45</v>
      </c>
      <c r="C14" s="140">
        <f t="shared" ref="C14:CP14" si="1">C13*6</f>
        <v>84</v>
      </c>
      <c r="D14" s="140" t="s">
        <v>239</v>
      </c>
      <c r="E14" s="140">
        <f t="shared" si="1"/>
        <v>54</v>
      </c>
      <c r="F14" s="140"/>
      <c r="G14" s="140" t="s">
        <v>249</v>
      </c>
      <c r="H14" s="140" t="s">
        <v>242</v>
      </c>
      <c r="I14" s="140"/>
      <c r="J14" s="140"/>
      <c r="K14" s="8" t="s">
        <v>240</v>
      </c>
      <c r="L14" s="140"/>
      <c r="M14" s="140" t="s">
        <v>249</v>
      </c>
      <c r="N14" s="140"/>
      <c r="O14" s="140" t="s">
        <v>253</v>
      </c>
      <c r="P14" s="140"/>
      <c r="Q14" s="140"/>
      <c r="R14" s="140"/>
      <c r="S14" s="140"/>
      <c r="T14" s="140"/>
      <c r="U14" s="140" t="s">
        <v>249</v>
      </c>
      <c r="V14" s="140" t="s">
        <v>257</v>
      </c>
      <c r="W14" s="140" t="s">
        <v>253</v>
      </c>
      <c r="X14" s="140"/>
      <c r="Y14" s="140"/>
      <c r="Z14" s="140"/>
      <c r="AA14" s="140" t="s">
        <v>257</v>
      </c>
      <c r="AB14" s="140" t="s">
        <v>253</v>
      </c>
      <c r="AC14" s="140" t="s">
        <v>249</v>
      </c>
      <c r="AD14" s="140"/>
      <c r="AE14" s="140"/>
      <c r="AF14" s="140"/>
      <c r="AG14" s="140" t="s">
        <v>249</v>
      </c>
      <c r="AH14" s="140"/>
      <c r="AI14" s="247" t="s">
        <v>265</v>
      </c>
      <c r="AJ14" s="140" t="s">
        <v>253</v>
      </c>
      <c r="AK14" s="140"/>
      <c r="AL14" s="140"/>
      <c r="AM14" s="140"/>
      <c r="AN14" s="140"/>
      <c r="AO14" s="140"/>
      <c r="AP14" s="140" t="s">
        <v>253</v>
      </c>
      <c r="AQ14" s="140"/>
      <c r="AR14" s="140"/>
      <c r="AS14" s="140"/>
      <c r="AT14" s="140" t="s">
        <v>253</v>
      </c>
      <c r="AU14" s="140"/>
      <c r="AV14" s="275" t="s">
        <v>119</v>
      </c>
      <c r="AW14" s="8"/>
      <c r="AX14" s="8"/>
      <c r="AY14" s="8"/>
      <c r="AZ14" s="8"/>
      <c r="BA14" s="8"/>
      <c r="BB14" s="8"/>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f t="shared" si="1"/>
        <v>120</v>
      </c>
      <c r="CO14" s="140">
        <f t="shared" si="1"/>
        <v>120</v>
      </c>
      <c r="CP14" s="140">
        <f t="shared" si="1"/>
        <v>120</v>
      </c>
    </row>
    <row r="15" spans="1:94" ht="13.2">
      <c r="A15" s="13"/>
      <c r="B15" s="141" t="s">
        <v>43</v>
      </c>
      <c r="C15" s="8">
        <f>COUNTIF(C19:C41,"修了")</f>
        <v>1</v>
      </c>
      <c r="D15" s="8" t="s">
        <v>240</v>
      </c>
      <c r="E15" s="8">
        <f>COUNTIF(E19:E41,"修了")</f>
        <v>2</v>
      </c>
      <c r="F15" s="8"/>
      <c r="G15" s="8"/>
      <c r="H15" s="8"/>
      <c r="I15" s="8"/>
      <c r="J15" s="8"/>
      <c r="K15" s="8"/>
      <c r="L15" s="8"/>
      <c r="M15" s="8"/>
      <c r="N15" s="8"/>
      <c r="O15" s="8" t="s">
        <v>257</v>
      </c>
      <c r="P15" s="8"/>
      <c r="Q15" s="8"/>
      <c r="R15" s="8"/>
      <c r="S15" s="8"/>
      <c r="T15" s="8"/>
      <c r="U15" s="246" t="s">
        <v>265</v>
      </c>
      <c r="V15" s="8"/>
      <c r="W15" s="8"/>
      <c r="X15" s="8"/>
      <c r="Y15" s="8"/>
      <c r="Z15" s="8"/>
      <c r="AA15" s="8"/>
      <c r="AB15" s="8"/>
      <c r="AC15" s="246" t="s">
        <v>264</v>
      </c>
      <c r="AD15" s="8"/>
      <c r="AE15" s="8"/>
      <c r="AF15" s="8"/>
      <c r="AG15" s="8"/>
      <c r="AH15" s="8"/>
      <c r="AI15" s="8"/>
      <c r="AJ15" s="8"/>
      <c r="AK15" s="8"/>
      <c r="AL15" s="8"/>
      <c r="AM15" s="8"/>
      <c r="AN15" s="8"/>
      <c r="AO15" s="8"/>
      <c r="AP15" s="246" t="s">
        <v>265</v>
      </c>
      <c r="AQ15" s="236"/>
      <c r="AR15" s="236"/>
      <c r="AS15" s="236"/>
      <c r="AT15" s="8"/>
      <c r="AU15" s="8"/>
      <c r="AV15" s="275" t="s">
        <v>119</v>
      </c>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f>COUNTIF(CN19:CN41,"修了")</f>
        <v>0</v>
      </c>
      <c r="CO15" s="8">
        <f>COUNTIF(CO19:CO41,"修了")</f>
        <v>0</v>
      </c>
      <c r="CP15" s="8">
        <f>COUNTIF(CP19:CP41,"修了")</f>
        <v>0</v>
      </c>
    </row>
    <row r="16" spans="1:94" ht="13.2">
      <c r="A16" s="13"/>
      <c r="B16" s="142" t="s">
        <v>42</v>
      </c>
      <c r="C16" s="9">
        <f>$B3-(COUNTIF(C19:C41,"不可")+COUNTIF(C19:C41,"CL"))</f>
        <v>14</v>
      </c>
      <c r="D16" s="9"/>
      <c r="E16" s="9">
        <f>$B3-(COUNTIF(E19:E41,"不可")+COUNTIF(E19:E41,"CL"))</f>
        <v>9</v>
      </c>
      <c r="F16" s="9"/>
      <c r="G16" s="9"/>
      <c r="H16" s="9"/>
      <c r="I16" s="9"/>
      <c r="J16" s="9"/>
      <c r="K16" s="9"/>
      <c r="L16" s="9"/>
      <c r="M16" s="9"/>
      <c r="N16" s="9"/>
      <c r="O16" s="9"/>
      <c r="P16" s="9"/>
      <c r="Q16" s="9"/>
      <c r="R16" s="9"/>
      <c r="S16" s="9"/>
      <c r="T16" s="9"/>
      <c r="U16" s="9"/>
      <c r="V16" s="9"/>
      <c r="W16" s="9"/>
      <c r="X16" s="9"/>
      <c r="Y16" s="9"/>
      <c r="Z16" s="9"/>
      <c r="AA16" s="9"/>
      <c r="AB16" s="9"/>
      <c r="AC16" s="9"/>
      <c r="AD16" s="9"/>
      <c r="AE16" s="9"/>
      <c r="AF16" s="9">
        <f t="shared" ref="AF16:AS16" si="2">$B3-(COUNTIF(AF19:AF41,"不可")+COUNTIF(AF19:AF41,"CL")+COUNTIF(AF19:AF41,""))</f>
        <v>8</v>
      </c>
      <c r="AG16" s="9">
        <f t="shared" si="2"/>
        <v>0</v>
      </c>
      <c r="AH16" s="9">
        <f t="shared" si="2"/>
        <v>4</v>
      </c>
      <c r="AI16" s="9">
        <f t="shared" si="2"/>
        <v>0</v>
      </c>
      <c r="AJ16" s="9">
        <f t="shared" si="2"/>
        <v>4</v>
      </c>
      <c r="AK16" s="9">
        <f t="shared" si="2"/>
        <v>5</v>
      </c>
      <c r="AL16" s="9">
        <f t="shared" si="2"/>
        <v>-2</v>
      </c>
      <c r="AM16" s="9">
        <f t="shared" si="2"/>
        <v>7</v>
      </c>
      <c r="AN16" s="9">
        <f t="shared" si="2"/>
        <v>5</v>
      </c>
      <c r="AO16" s="9">
        <f t="shared" si="2"/>
        <v>1</v>
      </c>
      <c r="AP16" s="9">
        <f t="shared" si="2"/>
        <v>3</v>
      </c>
      <c r="AQ16" s="9">
        <f t="shared" si="2"/>
        <v>5</v>
      </c>
      <c r="AR16" s="9">
        <f t="shared" si="2"/>
        <v>8</v>
      </c>
      <c r="AS16" s="9">
        <f t="shared" si="2"/>
        <v>-2</v>
      </c>
      <c r="AT16" s="9">
        <f t="shared" ref="AT16:CM16" si="3">$B3-(COUNTIF(AT19:AT41,"不可")+COUNTIF(AT19:AT41,"CL")+COUNTIF(AT19:AT41,""))</f>
        <v>7</v>
      </c>
      <c r="AU16" s="9">
        <f t="shared" si="3"/>
        <v>-3</v>
      </c>
      <c r="AV16" s="275" t="s">
        <v>119</v>
      </c>
      <c r="AW16" s="9">
        <f t="shared" si="3"/>
        <v>-2</v>
      </c>
      <c r="AX16" s="9">
        <f t="shared" si="3"/>
        <v>-2</v>
      </c>
      <c r="AY16" s="8">
        <f t="shared" si="3"/>
        <v>8</v>
      </c>
      <c r="AZ16" s="8">
        <f t="shared" si="3"/>
        <v>-2</v>
      </c>
      <c r="BA16" s="8">
        <f t="shared" si="3"/>
        <v>-2</v>
      </c>
      <c r="BB16" s="8">
        <f t="shared" si="3"/>
        <v>8</v>
      </c>
      <c r="BC16" s="9">
        <f t="shared" si="3"/>
        <v>5</v>
      </c>
      <c r="BD16" s="9">
        <f t="shared" si="3"/>
        <v>5</v>
      </c>
      <c r="BE16" s="9">
        <f t="shared" si="3"/>
        <v>4</v>
      </c>
      <c r="BF16" s="9">
        <f t="shared" si="3"/>
        <v>3</v>
      </c>
      <c r="BG16" s="9">
        <f t="shared" si="3"/>
        <v>1</v>
      </c>
      <c r="BH16" s="9">
        <f t="shared" si="3"/>
        <v>16</v>
      </c>
      <c r="BI16" s="9">
        <f t="shared" si="3"/>
        <v>6</v>
      </c>
      <c r="BJ16" s="9">
        <f t="shared" si="3"/>
        <v>6</v>
      </c>
      <c r="BK16" s="9">
        <f t="shared" si="3"/>
        <v>18</v>
      </c>
      <c r="BL16" s="9">
        <f t="shared" si="3"/>
        <v>6</v>
      </c>
      <c r="BM16" s="9">
        <f t="shared" si="3"/>
        <v>8</v>
      </c>
      <c r="BN16" s="9">
        <f t="shared" si="3"/>
        <v>-2</v>
      </c>
      <c r="BO16" s="9">
        <f t="shared" si="3"/>
        <v>3</v>
      </c>
      <c r="BP16" s="9">
        <f t="shared" si="3"/>
        <v>7</v>
      </c>
      <c r="BQ16" s="9">
        <f t="shared" si="3"/>
        <v>4</v>
      </c>
      <c r="BR16" s="9">
        <f t="shared" si="3"/>
        <v>9</v>
      </c>
      <c r="BS16" s="9">
        <f t="shared" si="3"/>
        <v>0</v>
      </c>
      <c r="BT16" s="9">
        <f t="shared" si="3"/>
        <v>3</v>
      </c>
      <c r="BU16" s="9">
        <f t="shared" si="3"/>
        <v>0</v>
      </c>
      <c r="BV16" s="9">
        <f t="shared" si="3"/>
        <v>2</v>
      </c>
      <c r="BW16" s="9">
        <f t="shared" si="3"/>
        <v>7</v>
      </c>
      <c r="BX16" s="9">
        <f t="shared" si="3"/>
        <v>7</v>
      </c>
      <c r="BY16" s="9">
        <f t="shared" si="3"/>
        <v>10</v>
      </c>
      <c r="BZ16" s="9">
        <f t="shared" si="3"/>
        <v>4</v>
      </c>
      <c r="CA16" s="9">
        <f t="shared" si="3"/>
        <v>-3</v>
      </c>
      <c r="CB16" s="9">
        <f t="shared" si="3"/>
        <v>-3</v>
      </c>
      <c r="CC16" s="9">
        <f t="shared" si="3"/>
        <v>-3</v>
      </c>
      <c r="CD16" s="9">
        <f t="shared" si="3"/>
        <v>-3</v>
      </c>
      <c r="CE16" s="9">
        <f t="shared" si="3"/>
        <v>-3</v>
      </c>
      <c r="CF16" s="9">
        <f t="shared" si="3"/>
        <v>-3</v>
      </c>
      <c r="CG16" s="9">
        <f t="shared" si="3"/>
        <v>-3</v>
      </c>
      <c r="CH16" s="9">
        <f t="shared" si="3"/>
        <v>-3</v>
      </c>
      <c r="CI16" s="9"/>
      <c r="CJ16" s="9"/>
      <c r="CK16" s="9"/>
      <c r="CL16" s="9"/>
      <c r="CM16" s="9">
        <f t="shared" si="3"/>
        <v>-3</v>
      </c>
      <c r="CN16" s="9">
        <f>$B3-(COUNTIF(CN19:CN41,"不可")+COUNTIF(CN19:CN41,"CL"))</f>
        <v>20</v>
      </c>
      <c r="CO16" s="9">
        <f>$B3-(COUNTIF(CO19:CO41,"不可")+COUNTIF(CO19:CO41,"CL"))</f>
        <v>20</v>
      </c>
      <c r="CP16" s="9">
        <f>$B3-(COUNTIF(CP19:CP41,"不可")+COUNTIF(CP19:CP41,"CL"))</f>
        <v>20</v>
      </c>
    </row>
    <row r="17" spans="1:94" ht="13.2">
      <c r="A17" s="13"/>
      <c r="B17" s="142" t="s">
        <v>162</v>
      </c>
      <c r="C17" s="144">
        <f t="shared" ref="C17:CP17" si="4">SUM(C55:C65)</f>
        <v>0</v>
      </c>
      <c r="D17" s="144"/>
      <c r="E17" s="144">
        <f t="shared" si="4"/>
        <v>0</v>
      </c>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c r="AD17" s="144"/>
      <c r="AE17" s="144">
        <f t="shared" ref="AE17:AT17" si="5">SUM(AE55:AE65)</f>
        <v>0</v>
      </c>
      <c r="AF17" s="144">
        <f t="shared" si="5"/>
        <v>0</v>
      </c>
      <c r="AG17" s="144">
        <f t="shared" si="5"/>
        <v>0</v>
      </c>
      <c r="AH17" s="144"/>
      <c r="AI17" s="144">
        <f t="shared" si="5"/>
        <v>0</v>
      </c>
      <c r="AJ17" s="144">
        <f t="shared" si="5"/>
        <v>0</v>
      </c>
      <c r="AK17" s="144">
        <f t="shared" si="5"/>
        <v>0</v>
      </c>
      <c r="AL17" s="144"/>
      <c r="AM17" s="144">
        <f t="shared" si="5"/>
        <v>0</v>
      </c>
      <c r="AN17" s="144"/>
      <c r="AO17" s="144"/>
      <c r="AP17" s="144">
        <f t="shared" si="5"/>
        <v>0</v>
      </c>
      <c r="AQ17" s="144">
        <f t="shared" si="5"/>
        <v>0</v>
      </c>
      <c r="AR17" s="144">
        <f t="shared" ref="AR17" si="6">SUM(AR55:AR65)</f>
        <v>12</v>
      </c>
      <c r="AS17" s="144"/>
      <c r="AT17" s="144">
        <f t="shared" si="5"/>
        <v>12</v>
      </c>
      <c r="AU17" s="144"/>
      <c r="AV17" s="275" t="s">
        <v>119</v>
      </c>
      <c r="AW17" s="9"/>
      <c r="AX17" s="9"/>
      <c r="AY17" s="9"/>
      <c r="AZ17" s="9"/>
      <c r="BA17" s="144"/>
      <c r="BB17" s="144"/>
      <c r="BC17" s="144"/>
      <c r="BD17" s="144"/>
      <c r="BE17" s="144"/>
      <c r="BF17" s="144"/>
      <c r="BG17" s="144"/>
      <c r="BH17" s="144"/>
      <c r="BI17" s="144"/>
      <c r="BJ17" s="144"/>
      <c r="BK17" s="144"/>
      <c r="BL17" s="144"/>
      <c r="BM17" s="144">
        <v>24</v>
      </c>
      <c r="BN17" s="144"/>
      <c r="BO17" s="144">
        <v>17</v>
      </c>
      <c r="BP17" s="144"/>
      <c r="BQ17" s="144">
        <v>10</v>
      </c>
      <c r="BR17" s="144"/>
      <c r="BS17" s="144">
        <v>16</v>
      </c>
      <c r="BT17" s="144">
        <v>5</v>
      </c>
      <c r="BU17" s="144"/>
      <c r="BV17" s="144">
        <v>5</v>
      </c>
      <c r="BW17" s="144"/>
      <c r="BX17" s="144"/>
      <c r="BY17" s="144"/>
      <c r="BZ17" s="144"/>
      <c r="CA17" s="144"/>
      <c r="CB17" s="144"/>
      <c r="CC17" s="144"/>
      <c r="CD17" s="144"/>
      <c r="CE17" s="144"/>
      <c r="CF17" s="144"/>
      <c r="CG17" s="144"/>
      <c r="CH17" s="144"/>
      <c r="CI17" s="144"/>
      <c r="CJ17" s="144"/>
      <c r="CK17" s="144"/>
      <c r="CL17" s="144"/>
      <c r="CM17" s="144"/>
      <c r="CN17" s="144">
        <f t="shared" si="4"/>
        <v>0</v>
      </c>
      <c r="CO17" s="144">
        <f t="shared" si="4"/>
        <v>0</v>
      </c>
      <c r="CP17" s="144">
        <f t="shared" si="4"/>
        <v>0</v>
      </c>
    </row>
    <row r="18" spans="1:94" ht="13.8" thickBot="1">
      <c r="A18" s="13"/>
      <c r="B18" s="142"/>
      <c r="C18" s="144" t="str">
        <f t="shared" ref="C18:CP18" si="7">IF(C17&lt;C14,"少","多")</f>
        <v>少</v>
      </c>
      <c r="D18" s="144"/>
      <c r="E18" s="144" t="str">
        <f t="shared" si="7"/>
        <v>少</v>
      </c>
      <c r="F18" s="144"/>
      <c r="G18" s="144"/>
      <c r="H18" s="144"/>
      <c r="I18" s="144"/>
      <c r="J18" s="144"/>
      <c r="K18" s="144"/>
      <c r="L18" s="144"/>
      <c r="M18" s="144"/>
      <c r="N18" s="144"/>
      <c r="O18" s="144"/>
      <c r="P18" s="144"/>
      <c r="Q18" s="144"/>
      <c r="R18" s="144"/>
      <c r="S18" s="144"/>
      <c r="T18" s="144"/>
      <c r="U18" s="144"/>
      <c r="V18" s="144"/>
      <c r="W18" s="144"/>
      <c r="X18" s="144"/>
      <c r="Y18" s="144"/>
      <c r="Z18" s="144"/>
      <c r="AA18" s="144"/>
      <c r="AB18" s="144"/>
      <c r="AC18" s="144"/>
      <c r="AD18" s="144"/>
      <c r="AE18" s="144" t="str">
        <f t="shared" ref="AE18:AT18" si="8">IF(AE17&lt;AE14,"少","多")</f>
        <v>多</v>
      </c>
      <c r="AF18" s="144" t="str">
        <f t="shared" si="8"/>
        <v>多</v>
      </c>
      <c r="AG18" s="144" t="str">
        <f t="shared" si="8"/>
        <v>少</v>
      </c>
      <c r="AH18" s="144"/>
      <c r="AI18" s="144" t="str">
        <f t="shared" si="8"/>
        <v>少</v>
      </c>
      <c r="AJ18" s="144" t="str">
        <f t="shared" si="8"/>
        <v>少</v>
      </c>
      <c r="AK18" s="144" t="str">
        <f t="shared" si="8"/>
        <v>多</v>
      </c>
      <c r="AL18" s="144"/>
      <c r="AM18" s="144" t="str">
        <f t="shared" si="8"/>
        <v>多</v>
      </c>
      <c r="AN18" s="144"/>
      <c r="AO18" s="144"/>
      <c r="AP18" s="144" t="str">
        <f t="shared" si="8"/>
        <v>少</v>
      </c>
      <c r="AQ18" s="144" t="str">
        <f t="shared" si="8"/>
        <v>多</v>
      </c>
      <c r="AR18" s="144" t="str">
        <f t="shared" ref="AR18" si="9">IF(AR17&lt;AR14,"少","多")</f>
        <v>多</v>
      </c>
      <c r="AS18" s="144"/>
      <c r="AT18" s="144" t="str">
        <f t="shared" si="8"/>
        <v>少</v>
      </c>
      <c r="AU18" s="144"/>
      <c r="AV18" s="276" t="s">
        <v>119</v>
      </c>
      <c r="AW18" s="9"/>
      <c r="AX18" s="9"/>
      <c r="AY18" s="9"/>
      <c r="AZ18" s="9"/>
      <c r="BA18" s="144"/>
      <c r="BB18" s="144"/>
      <c r="BC18" s="144"/>
      <c r="BD18" s="144"/>
      <c r="BE18" s="144"/>
      <c r="BF18" s="144"/>
      <c r="BG18" s="144"/>
      <c r="BH18" s="144"/>
      <c r="BI18" s="144"/>
      <c r="BJ18" s="144"/>
      <c r="BK18" s="144"/>
      <c r="BL18" s="144"/>
      <c r="BM18" s="144"/>
      <c r="BN18" s="144"/>
      <c r="BO18" s="144"/>
      <c r="BP18" s="144"/>
      <c r="BQ18" s="144"/>
      <c r="BR18" s="144"/>
      <c r="BS18" s="144"/>
      <c r="BT18" s="144"/>
      <c r="BU18" s="144"/>
      <c r="BV18" s="144"/>
      <c r="BW18" s="144"/>
      <c r="BX18" s="144"/>
      <c r="BY18" s="144"/>
      <c r="BZ18" s="144"/>
      <c r="CA18" s="144"/>
      <c r="CB18" s="144"/>
      <c r="CC18" s="144"/>
      <c r="CD18" s="144"/>
      <c r="CE18" s="144"/>
      <c r="CF18" s="144"/>
      <c r="CG18" s="144"/>
      <c r="CH18" s="144"/>
      <c r="CI18" s="144"/>
      <c r="CJ18" s="144"/>
      <c r="CK18" s="144"/>
      <c r="CL18" s="144"/>
      <c r="CM18" s="144"/>
      <c r="CN18" s="144" t="str">
        <f t="shared" si="7"/>
        <v>少</v>
      </c>
      <c r="CO18" s="144" t="str">
        <f t="shared" si="7"/>
        <v>少</v>
      </c>
      <c r="CP18" s="144" t="str">
        <f t="shared" si="7"/>
        <v>少</v>
      </c>
    </row>
    <row r="19" spans="1:94" ht="13.8" thickTop="1">
      <c r="A19" s="13"/>
      <c r="B19" s="225" t="s">
        <v>426</v>
      </c>
      <c r="C19" s="10"/>
      <c r="D19" s="10" t="s">
        <v>24</v>
      </c>
      <c r="E19" s="10" t="s">
        <v>24</v>
      </c>
      <c r="F19" s="10"/>
      <c r="G19" s="10" t="s">
        <v>24</v>
      </c>
      <c r="H19" s="10" t="s">
        <v>24</v>
      </c>
      <c r="I19" s="10" t="s">
        <v>24</v>
      </c>
      <c r="J19" s="10"/>
      <c r="K19" s="10" t="s">
        <v>24</v>
      </c>
      <c r="L19" s="10" t="s">
        <v>24</v>
      </c>
      <c r="M19" s="10"/>
      <c r="N19" s="10" t="s">
        <v>24</v>
      </c>
      <c r="O19" s="10" t="s">
        <v>24</v>
      </c>
      <c r="P19" s="10" t="s">
        <v>24</v>
      </c>
      <c r="Q19" s="10"/>
      <c r="R19" s="10"/>
      <c r="S19" s="10"/>
      <c r="T19" s="10" t="s">
        <v>24</v>
      </c>
      <c r="U19" s="10" t="s">
        <v>24</v>
      </c>
      <c r="V19" s="10" t="s">
        <v>24</v>
      </c>
      <c r="W19" s="10" t="s">
        <v>24</v>
      </c>
      <c r="X19" s="10"/>
      <c r="Y19" s="10" t="s">
        <v>24</v>
      </c>
      <c r="Z19" s="10"/>
      <c r="AA19" s="10"/>
      <c r="AB19" s="10" t="s">
        <v>24</v>
      </c>
      <c r="AC19" s="10" t="s">
        <v>24</v>
      </c>
      <c r="AD19" s="10" t="s">
        <v>24</v>
      </c>
      <c r="AE19" s="10" t="s">
        <v>24</v>
      </c>
      <c r="AF19" s="10" t="s">
        <v>24</v>
      </c>
      <c r="AG19" s="10"/>
      <c r="AH19" s="10" t="s">
        <v>24</v>
      </c>
      <c r="AI19" s="10" t="s">
        <v>24</v>
      </c>
      <c r="AJ19" s="10"/>
      <c r="AK19" s="10"/>
      <c r="AL19" s="10"/>
      <c r="AM19" s="10"/>
      <c r="AN19" s="10"/>
      <c r="AO19" s="10" t="s">
        <v>24</v>
      </c>
      <c r="AP19" s="10" t="s">
        <v>24</v>
      </c>
      <c r="AQ19" s="10"/>
      <c r="AR19" s="10"/>
      <c r="AS19" s="10"/>
      <c r="AT19" s="272" t="s">
        <v>24</v>
      </c>
      <c r="AU19" s="272"/>
      <c r="AV19" s="277" t="s">
        <v>119</v>
      </c>
      <c r="AW19" s="272"/>
      <c r="AX19" s="272"/>
      <c r="AY19" s="272"/>
      <c r="AZ19" s="272"/>
      <c r="BA19" s="272"/>
      <c r="BB19" s="272" t="s">
        <v>24</v>
      </c>
      <c r="BC19" s="272"/>
      <c r="BD19" s="272"/>
      <c r="BE19" s="272"/>
      <c r="BF19" s="10" t="s">
        <v>24</v>
      </c>
      <c r="BG19" s="10"/>
      <c r="BH19" s="272" t="s">
        <v>119</v>
      </c>
      <c r="BI19" s="10"/>
      <c r="BJ19" s="10"/>
      <c r="BK19" s="10" t="s">
        <v>119</v>
      </c>
      <c r="BL19" s="10"/>
      <c r="BM19" s="10" t="s">
        <v>0</v>
      </c>
      <c r="BN19" s="10" t="s">
        <v>24</v>
      </c>
      <c r="BO19" s="10"/>
      <c r="BP19" s="10" t="s">
        <v>24</v>
      </c>
      <c r="BQ19" s="10"/>
      <c r="BR19" s="10" t="s">
        <v>119</v>
      </c>
      <c r="BS19" s="10"/>
      <c r="BT19" s="10"/>
      <c r="BU19" s="10" t="s">
        <v>24</v>
      </c>
      <c r="BV19" s="10" t="s">
        <v>24</v>
      </c>
      <c r="BW19" s="10" t="s">
        <v>24</v>
      </c>
      <c r="BX19" s="10" t="s">
        <v>24</v>
      </c>
      <c r="BY19" s="10" t="s">
        <v>119</v>
      </c>
      <c r="BZ19" s="10"/>
      <c r="CA19" s="10"/>
      <c r="CB19" s="10"/>
      <c r="CC19" s="10"/>
      <c r="CD19" s="10"/>
      <c r="CE19" s="10"/>
      <c r="CF19" s="10"/>
      <c r="CG19" s="10"/>
      <c r="CH19" s="10"/>
      <c r="CI19" s="10"/>
      <c r="CJ19" s="10"/>
      <c r="CK19" s="10"/>
      <c r="CL19" s="10"/>
      <c r="CM19" s="10"/>
      <c r="CN19" s="10"/>
      <c r="CO19" s="10"/>
      <c r="CP19" s="10"/>
    </row>
    <row r="20" spans="1:94" ht="13.2">
      <c r="A20" s="13"/>
      <c r="B20" s="224" t="s">
        <v>427</v>
      </c>
      <c r="C20" s="8" t="s">
        <v>7</v>
      </c>
      <c r="D20" s="8" t="s">
        <v>24</v>
      </c>
      <c r="E20" s="8" t="s">
        <v>24</v>
      </c>
      <c r="F20" s="8"/>
      <c r="G20" s="8" t="s">
        <v>24</v>
      </c>
      <c r="H20" s="8" t="s">
        <v>24</v>
      </c>
      <c r="I20" s="8" t="s">
        <v>24</v>
      </c>
      <c r="J20" s="8" t="s">
        <v>5</v>
      </c>
      <c r="K20" s="8" t="s">
        <v>24</v>
      </c>
      <c r="L20" s="8" t="s">
        <v>24</v>
      </c>
      <c r="M20" s="8" t="s">
        <v>24</v>
      </c>
      <c r="N20" s="8"/>
      <c r="O20" s="8" t="s">
        <v>24</v>
      </c>
      <c r="P20" s="8" t="s">
        <v>4</v>
      </c>
      <c r="Q20" s="8"/>
      <c r="R20" s="8" t="s">
        <v>24</v>
      </c>
      <c r="S20" s="8"/>
      <c r="T20" s="8"/>
      <c r="U20" s="8" t="s">
        <v>24</v>
      </c>
      <c r="V20" s="8"/>
      <c r="W20" s="8" t="s">
        <v>24</v>
      </c>
      <c r="X20" s="8" t="s">
        <v>24</v>
      </c>
      <c r="Y20" s="8" t="s">
        <v>10</v>
      </c>
      <c r="Z20" s="8" t="s">
        <v>24</v>
      </c>
      <c r="AA20" s="8"/>
      <c r="AB20" s="8"/>
      <c r="AC20" s="8" t="s">
        <v>24</v>
      </c>
      <c r="AD20" s="8" t="s">
        <v>24</v>
      </c>
      <c r="AE20" s="8" t="s">
        <v>5</v>
      </c>
      <c r="AF20" s="8" t="s">
        <v>24</v>
      </c>
      <c r="AG20" s="8" t="s">
        <v>6</v>
      </c>
      <c r="AH20" s="8" t="s">
        <v>9</v>
      </c>
      <c r="AI20" s="8" t="s">
        <v>24</v>
      </c>
      <c r="AJ20" s="8" t="s">
        <v>24</v>
      </c>
      <c r="AK20" s="8" t="s">
        <v>10</v>
      </c>
      <c r="AL20" s="8"/>
      <c r="AM20" s="8" t="s">
        <v>24</v>
      </c>
      <c r="AN20" s="8" t="s">
        <v>24</v>
      </c>
      <c r="AO20" s="8" t="s">
        <v>24</v>
      </c>
      <c r="AP20" s="8" t="s">
        <v>3</v>
      </c>
      <c r="AQ20" s="8" t="s">
        <v>5</v>
      </c>
      <c r="AR20" s="8" t="s">
        <v>5</v>
      </c>
      <c r="AS20" s="8"/>
      <c r="AT20" s="8" t="s">
        <v>24</v>
      </c>
      <c r="AU20" s="8"/>
      <c r="AV20" s="275" t="s">
        <v>119</v>
      </c>
      <c r="AW20" s="8"/>
      <c r="AX20" s="8"/>
      <c r="AY20" s="8" t="s">
        <v>24</v>
      </c>
      <c r="AZ20" s="8"/>
      <c r="BA20" s="8"/>
      <c r="BB20" s="8" t="s">
        <v>235</v>
      </c>
      <c r="BC20" s="8" t="s">
        <v>24</v>
      </c>
      <c r="BD20" s="8" t="s">
        <v>24</v>
      </c>
      <c r="BE20" s="8" t="s">
        <v>7</v>
      </c>
      <c r="BF20" s="8" t="s">
        <v>24</v>
      </c>
      <c r="BG20" s="8"/>
      <c r="BH20" s="8" t="s">
        <v>119</v>
      </c>
      <c r="BI20" s="8" t="s">
        <v>235</v>
      </c>
      <c r="BJ20" s="8" t="s">
        <v>24</v>
      </c>
      <c r="BK20" s="8" t="s">
        <v>119</v>
      </c>
      <c r="BL20" s="8" t="s">
        <v>24</v>
      </c>
      <c r="BM20" s="8" t="s">
        <v>4</v>
      </c>
      <c r="BN20" s="8"/>
      <c r="BO20" s="8" t="s">
        <v>24</v>
      </c>
      <c r="BP20" s="8" t="s">
        <v>119</v>
      </c>
      <c r="BQ20" s="8" t="s">
        <v>24</v>
      </c>
      <c r="BR20" s="8" t="s">
        <v>119</v>
      </c>
      <c r="BS20" s="8"/>
      <c r="BT20" s="8" t="s">
        <v>24</v>
      </c>
      <c r="BU20" s="8"/>
      <c r="BV20" s="8" t="s">
        <v>24</v>
      </c>
      <c r="BW20" s="8" t="s">
        <v>235</v>
      </c>
      <c r="BX20" s="8" t="s">
        <v>1</v>
      </c>
      <c r="BY20" s="8" t="s">
        <v>119</v>
      </c>
      <c r="BZ20" s="8" t="s">
        <v>24</v>
      </c>
      <c r="CA20" s="8"/>
      <c r="CB20" s="8"/>
      <c r="CC20" s="8"/>
      <c r="CD20" s="8"/>
      <c r="CE20" s="8"/>
      <c r="CF20" s="8"/>
      <c r="CG20" s="8"/>
      <c r="CH20" s="8"/>
      <c r="CI20" s="8"/>
      <c r="CJ20" s="8"/>
      <c r="CK20" s="8"/>
      <c r="CL20" s="8"/>
      <c r="CM20" s="8"/>
      <c r="CN20" s="8"/>
      <c r="CO20" s="8"/>
      <c r="CP20" s="8"/>
    </row>
    <row r="21" spans="1:94" ht="12.6" customHeight="1">
      <c r="A21" s="13" t="s">
        <v>234</v>
      </c>
      <c r="B21" s="224" t="s">
        <v>165</v>
      </c>
      <c r="C21" s="8" t="s">
        <v>11</v>
      </c>
      <c r="D21" s="8" t="s">
        <v>24</v>
      </c>
      <c r="E21" s="8" t="s">
        <v>235</v>
      </c>
      <c r="F21" s="8" t="s">
        <v>1</v>
      </c>
      <c r="G21" s="8" t="s">
        <v>24</v>
      </c>
      <c r="H21" s="8" t="s">
        <v>8</v>
      </c>
      <c r="I21" s="8" t="s">
        <v>5</v>
      </c>
      <c r="J21" s="8" t="s">
        <v>11</v>
      </c>
      <c r="K21" s="8" t="s">
        <v>3</v>
      </c>
      <c r="L21" s="8" t="s">
        <v>9</v>
      </c>
      <c r="M21" s="8" t="s">
        <v>6</v>
      </c>
      <c r="N21" s="8"/>
      <c r="O21" s="8" t="s">
        <v>0</v>
      </c>
      <c r="P21" s="8" t="s">
        <v>41</v>
      </c>
      <c r="Q21" s="8" t="s">
        <v>41</v>
      </c>
      <c r="R21" s="8" t="s">
        <v>41</v>
      </c>
      <c r="S21" s="8" t="s">
        <v>41</v>
      </c>
      <c r="T21" s="8"/>
      <c r="U21" s="8" t="s">
        <v>3</v>
      </c>
      <c r="V21" s="8" t="s">
        <v>0</v>
      </c>
      <c r="W21" s="8" t="s">
        <v>24</v>
      </c>
      <c r="X21" s="8" t="s">
        <v>4</v>
      </c>
      <c r="Y21" s="8" t="s">
        <v>1</v>
      </c>
      <c r="Z21" s="8" t="s">
        <v>235</v>
      </c>
      <c r="AA21" s="8" t="s">
        <v>235</v>
      </c>
      <c r="AB21" s="8" t="s">
        <v>8</v>
      </c>
      <c r="AC21" s="8" t="s">
        <v>24</v>
      </c>
      <c r="AD21" s="8" t="s">
        <v>4</v>
      </c>
      <c r="AE21" s="8" t="s">
        <v>7</v>
      </c>
      <c r="AF21" s="8" t="s">
        <v>235</v>
      </c>
      <c r="AG21" s="8" t="s">
        <v>24</v>
      </c>
      <c r="AH21" s="8" t="s">
        <v>9</v>
      </c>
      <c r="AI21" s="8" t="s">
        <v>24</v>
      </c>
      <c r="AJ21" s="8" t="s">
        <v>8</v>
      </c>
      <c r="AK21" s="8" t="s">
        <v>7</v>
      </c>
      <c r="AL21" s="8"/>
      <c r="AM21" s="8" t="s">
        <v>9</v>
      </c>
      <c r="AN21" s="8" t="s">
        <v>9</v>
      </c>
      <c r="AO21" s="8" t="s">
        <v>24</v>
      </c>
      <c r="AP21" s="8" t="s">
        <v>24</v>
      </c>
      <c r="AQ21" s="8" t="s">
        <v>9</v>
      </c>
      <c r="AR21" s="8" t="s">
        <v>41</v>
      </c>
      <c r="AS21" s="8"/>
      <c r="AT21" s="8" t="s">
        <v>8</v>
      </c>
      <c r="AU21" s="8"/>
      <c r="AV21" s="275" t="s">
        <v>119</v>
      </c>
      <c r="AW21" s="8" t="s">
        <v>41</v>
      </c>
      <c r="AX21" s="8" t="s">
        <v>41</v>
      </c>
      <c r="AY21" s="8" t="s">
        <v>10</v>
      </c>
      <c r="AZ21" s="8" t="s">
        <v>41</v>
      </c>
      <c r="BA21" s="8" t="s">
        <v>41</v>
      </c>
      <c r="BB21" s="8" t="s">
        <v>11</v>
      </c>
      <c r="BC21" s="8" t="s">
        <v>374</v>
      </c>
      <c r="BD21" s="8" t="s">
        <v>10</v>
      </c>
      <c r="BE21" s="8" t="s">
        <v>24</v>
      </c>
      <c r="BF21" s="8" t="s">
        <v>24</v>
      </c>
      <c r="BG21" s="8" t="s">
        <v>374</v>
      </c>
      <c r="BH21" s="8" t="s">
        <v>24</v>
      </c>
      <c r="BI21" s="8" t="s">
        <v>1</v>
      </c>
      <c r="BJ21" s="8" t="s">
        <v>1</v>
      </c>
      <c r="BK21" s="8" t="s">
        <v>119</v>
      </c>
      <c r="BL21" s="8" t="s">
        <v>374</v>
      </c>
      <c r="BM21" s="8" t="s">
        <v>41</v>
      </c>
      <c r="BN21" s="8"/>
      <c r="BO21" s="8" t="s">
        <v>11</v>
      </c>
      <c r="BP21" s="8" t="s">
        <v>119</v>
      </c>
      <c r="BQ21" s="8" t="s">
        <v>7</v>
      </c>
      <c r="BR21" s="8" t="s">
        <v>119</v>
      </c>
      <c r="BS21" s="8" t="s">
        <v>7</v>
      </c>
      <c r="BT21" s="8" t="s">
        <v>10</v>
      </c>
      <c r="BU21" s="8" t="s">
        <v>24</v>
      </c>
      <c r="BV21" s="8" t="s">
        <v>235</v>
      </c>
      <c r="BW21" s="8" t="s">
        <v>235</v>
      </c>
      <c r="BX21" s="8" t="s">
        <v>24</v>
      </c>
      <c r="BY21" s="8" t="s">
        <v>119</v>
      </c>
      <c r="BZ21" s="8" t="s">
        <v>374</v>
      </c>
      <c r="CA21" s="8"/>
      <c r="CB21" s="8"/>
      <c r="CC21" s="8"/>
      <c r="CD21" s="8"/>
      <c r="CE21" s="8"/>
      <c r="CF21" s="8"/>
      <c r="CG21" s="8"/>
      <c r="CH21" s="8"/>
      <c r="CI21" s="8"/>
      <c r="CJ21" s="8"/>
      <c r="CK21" s="8"/>
      <c r="CL21" s="8"/>
      <c r="CM21" s="8"/>
      <c r="CN21" s="8"/>
      <c r="CO21" s="8"/>
      <c r="CP21" s="8"/>
    </row>
    <row r="22" spans="1:94" ht="13.2">
      <c r="A22" s="13" t="s">
        <v>234</v>
      </c>
      <c r="B22" s="224" t="s">
        <v>428</v>
      </c>
      <c r="C22" s="8" t="s">
        <v>11</v>
      </c>
      <c r="D22" s="8" t="s">
        <v>24</v>
      </c>
      <c r="E22" s="8" t="s">
        <v>24</v>
      </c>
      <c r="F22" s="8" t="s">
        <v>1</v>
      </c>
      <c r="G22" s="8" t="s">
        <v>24</v>
      </c>
      <c r="H22" s="8" t="s">
        <v>24</v>
      </c>
      <c r="I22" s="8" t="s">
        <v>5</v>
      </c>
      <c r="J22" s="8" t="s">
        <v>24</v>
      </c>
      <c r="K22" s="8" t="s">
        <v>24</v>
      </c>
      <c r="L22" s="8" t="s">
        <v>9</v>
      </c>
      <c r="M22" s="8" t="s">
        <v>24</v>
      </c>
      <c r="N22" s="8" t="s">
        <v>9</v>
      </c>
      <c r="O22" s="8" t="s">
        <v>24</v>
      </c>
      <c r="P22" s="8" t="s">
        <v>5</v>
      </c>
      <c r="Q22" s="8"/>
      <c r="R22" s="8" t="s">
        <v>1</v>
      </c>
      <c r="S22" s="8"/>
      <c r="T22" s="8" t="s">
        <v>9</v>
      </c>
      <c r="U22" s="8" t="s">
        <v>6</v>
      </c>
      <c r="V22" s="8" t="s">
        <v>7</v>
      </c>
      <c r="W22" s="8" t="s">
        <v>24</v>
      </c>
      <c r="X22" s="8" t="s">
        <v>4</v>
      </c>
      <c r="Y22" s="8" t="s">
        <v>10</v>
      </c>
      <c r="Z22" s="8" t="s">
        <v>24</v>
      </c>
      <c r="AA22" s="8" t="s">
        <v>9</v>
      </c>
      <c r="AB22" s="8" t="s">
        <v>24</v>
      </c>
      <c r="AC22" s="8" t="s">
        <v>24</v>
      </c>
      <c r="AD22" s="8" t="s">
        <v>4</v>
      </c>
      <c r="AE22" s="8" t="s">
        <v>7</v>
      </c>
      <c r="AF22" s="8" t="s">
        <v>24</v>
      </c>
      <c r="AG22" s="8" t="s">
        <v>24</v>
      </c>
      <c r="AH22" s="8" t="s">
        <v>24</v>
      </c>
      <c r="AI22" s="8" t="s">
        <v>24</v>
      </c>
      <c r="AJ22" s="8" t="s">
        <v>8</v>
      </c>
      <c r="AK22" s="8" t="s">
        <v>41</v>
      </c>
      <c r="AL22" s="8"/>
      <c r="AM22" s="8" t="s">
        <v>9</v>
      </c>
      <c r="AN22" s="8" t="s">
        <v>24</v>
      </c>
      <c r="AO22" s="8" t="s">
        <v>10</v>
      </c>
      <c r="AP22" s="8" t="s">
        <v>24</v>
      </c>
      <c r="AQ22" s="8" t="s">
        <v>9</v>
      </c>
      <c r="AR22" s="8" t="s">
        <v>9</v>
      </c>
      <c r="AS22" s="8"/>
      <c r="AT22" s="8" t="s">
        <v>24</v>
      </c>
      <c r="AU22" s="8"/>
      <c r="AV22" s="275" t="s">
        <v>119</v>
      </c>
      <c r="AW22" s="8"/>
      <c r="AX22" s="8"/>
      <c r="AY22" s="8" t="s">
        <v>10</v>
      </c>
      <c r="AZ22" s="8"/>
      <c r="BA22" s="8"/>
      <c r="BB22" s="8" t="s">
        <v>5</v>
      </c>
      <c r="BC22" s="8" t="s">
        <v>24</v>
      </c>
      <c r="BD22" s="8" t="s">
        <v>10</v>
      </c>
      <c r="BE22" s="8" t="s">
        <v>11</v>
      </c>
      <c r="BF22" s="8" t="s">
        <v>24</v>
      </c>
      <c r="BG22" s="8" t="s">
        <v>1</v>
      </c>
      <c r="BH22" s="8" t="s">
        <v>119</v>
      </c>
      <c r="BI22" s="8" t="s">
        <v>24</v>
      </c>
      <c r="BJ22" s="8" t="s">
        <v>1</v>
      </c>
      <c r="BK22" s="8" t="s">
        <v>119</v>
      </c>
      <c r="BL22" s="8" t="s">
        <v>24</v>
      </c>
      <c r="BM22" s="8" t="s">
        <v>41</v>
      </c>
      <c r="BN22" s="8" t="s">
        <v>24</v>
      </c>
      <c r="BO22" s="8" t="s">
        <v>8</v>
      </c>
      <c r="BP22" s="8" t="s">
        <v>24</v>
      </c>
      <c r="BQ22" s="8" t="s">
        <v>7</v>
      </c>
      <c r="BR22" s="8" t="s">
        <v>119</v>
      </c>
      <c r="BS22" s="8" t="s">
        <v>10</v>
      </c>
      <c r="BT22" s="8" t="s">
        <v>24</v>
      </c>
      <c r="BU22" s="8" t="s">
        <v>24</v>
      </c>
      <c r="BV22" s="8" t="s">
        <v>24</v>
      </c>
      <c r="BW22" s="8" t="s">
        <v>3</v>
      </c>
      <c r="BX22" s="8" t="s">
        <v>3</v>
      </c>
      <c r="BY22" s="8" t="s">
        <v>119</v>
      </c>
      <c r="BZ22" s="8" t="s">
        <v>24</v>
      </c>
      <c r="CA22" s="8"/>
      <c r="CB22" s="8"/>
      <c r="CC22" s="8"/>
      <c r="CD22" s="8"/>
      <c r="CE22" s="8"/>
      <c r="CF22" s="8"/>
      <c r="CG22" s="8"/>
      <c r="CH22" s="8"/>
      <c r="CI22" s="8"/>
      <c r="CJ22" s="8"/>
      <c r="CK22" s="8"/>
      <c r="CL22" s="8"/>
      <c r="CM22" s="8"/>
      <c r="CN22" s="8"/>
      <c r="CO22" s="8"/>
      <c r="CP22" s="8"/>
    </row>
    <row r="23" spans="1:94" ht="12.6" customHeight="1">
      <c r="A23" s="13" t="s">
        <v>234</v>
      </c>
      <c r="B23" s="231" t="s">
        <v>429</v>
      </c>
      <c r="C23" s="8" t="s">
        <v>9</v>
      </c>
      <c r="D23" s="8" t="s">
        <v>0</v>
      </c>
      <c r="E23" s="8" t="s">
        <v>41</v>
      </c>
      <c r="F23" s="8" t="s">
        <v>41</v>
      </c>
      <c r="G23" s="8" t="s">
        <v>6</v>
      </c>
      <c r="H23" s="8" t="s">
        <v>24</v>
      </c>
      <c r="I23" s="8" t="s">
        <v>41</v>
      </c>
      <c r="J23" s="8" t="s">
        <v>41</v>
      </c>
      <c r="K23" s="8" t="s">
        <v>24</v>
      </c>
      <c r="L23" s="8" t="s">
        <v>41</v>
      </c>
      <c r="M23" s="8" t="s">
        <v>6</v>
      </c>
      <c r="N23" s="8" t="s">
        <v>9</v>
      </c>
      <c r="O23" s="8" t="s">
        <v>41</v>
      </c>
      <c r="P23" s="8" t="s">
        <v>41</v>
      </c>
      <c r="Q23" s="8"/>
      <c r="R23" s="8" t="s">
        <v>41</v>
      </c>
      <c r="S23" s="8"/>
      <c r="T23" s="8"/>
      <c r="U23" s="8" t="s">
        <v>24</v>
      </c>
      <c r="V23" s="8" t="s">
        <v>41</v>
      </c>
      <c r="W23" s="8" t="s">
        <v>8</v>
      </c>
      <c r="X23" s="8" t="s">
        <v>41</v>
      </c>
      <c r="Y23" s="8" t="s">
        <v>5</v>
      </c>
      <c r="Z23" s="8" t="s">
        <v>41</v>
      </c>
      <c r="AA23" s="8" t="s">
        <v>0</v>
      </c>
      <c r="AB23" s="8" t="s">
        <v>24</v>
      </c>
      <c r="AC23" s="8" t="s">
        <v>24</v>
      </c>
      <c r="AD23" s="8" t="s">
        <v>41</v>
      </c>
      <c r="AE23" s="8" t="s">
        <v>41</v>
      </c>
      <c r="AF23" s="8" t="s">
        <v>41</v>
      </c>
      <c r="AG23" s="8" t="s">
        <v>24</v>
      </c>
      <c r="AH23" s="8" t="s">
        <v>41</v>
      </c>
      <c r="AI23" s="8" t="s">
        <v>24</v>
      </c>
      <c r="AJ23" s="8" t="s">
        <v>41</v>
      </c>
      <c r="AK23" s="8" t="s">
        <v>41</v>
      </c>
      <c r="AL23" s="8"/>
      <c r="AM23" s="8" t="s">
        <v>235</v>
      </c>
      <c r="AN23" s="8" t="s">
        <v>41</v>
      </c>
      <c r="AO23" s="8" t="s">
        <v>41</v>
      </c>
      <c r="AP23" s="8" t="s">
        <v>24</v>
      </c>
      <c r="AQ23" s="8" t="s">
        <v>41</v>
      </c>
      <c r="AR23" s="8" t="s">
        <v>41</v>
      </c>
      <c r="AS23" s="8"/>
      <c r="AT23" s="8" t="s">
        <v>41</v>
      </c>
      <c r="AU23" s="8"/>
      <c r="AV23" s="275" t="s">
        <v>119</v>
      </c>
      <c r="AW23" s="8"/>
      <c r="AX23" s="8"/>
      <c r="AY23" s="8" t="s">
        <v>11</v>
      </c>
      <c r="AZ23" s="8"/>
      <c r="BA23" s="8"/>
      <c r="BB23" s="8" t="s">
        <v>10</v>
      </c>
      <c r="BC23" s="8" t="s">
        <v>41</v>
      </c>
      <c r="BD23" s="8" t="s">
        <v>41</v>
      </c>
      <c r="BE23" s="8" t="s">
        <v>41</v>
      </c>
      <c r="BF23" s="8" t="s">
        <v>41</v>
      </c>
      <c r="BG23" s="8" t="s">
        <v>1</v>
      </c>
      <c r="BH23" s="8" t="s">
        <v>119</v>
      </c>
      <c r="BI23" s="8" t="s">
        <v>41</v>
      </c>
      <c r="BJ23" s="8" t="s">
        <v>41</v>
      </c>
      <c r="BK23" s="8" t="s">
        <v>119</v>
      </c>
      <c r="BL23" s="8" t="s">
        <v>41</v>
      </c>
      <c r="BM23" s="8" t="s">
        <v>41</v>
      </c>
      <c r="BN23" s="8"/>
      <c r="BO23" s="8" t="s">
        <v>41</v>
      </c>
      <c r="BP23" s="8" t="s">
        <v>119</v>
      </c>
      <c r="BQ23" s="8" t="s">
        <v>41</v>
      </c>
      <c r="BR23" s="8" t="s">
        <v>119</v>
      </c>
      <c r="BS23" s="8" t="s">
        <v>7</v>
      </c>
      <c r="BT23" s="8" t="s">
        <v>41</v>
      </c>
      <c r="BU23" s="8" t="s">
        <v>41</v>
      </c>
      <c r="BV23" s="8" t="s">
        <v>41</v>
      </c>
      <c r="BW23" s="8" t="s">
        <v>41</v>
      </c>
      <c r="BX23" s="8" t="s">
        <v>24</v>
      </c>
      <c r="BY23" s="8" t="s">
        <v>119</v>
      </c>
      <c r="BZ23" s="8" t="s">
        <v>41</v>
      </c>
      <c r="CA23" s="8"/>
      <c r="CB23" s="8"/>
      <c r="CC23" s="8"/>
      <c r="CD23" s="8"/>
      <c r="CE23" s="8"/>
      <c r="CF23" s="8"/>
      <c r="CG23" s="8"/>
      <c r="CH23" s="8"/>
      <c r="CI23" s="8"/>
      <c r="CJ23" s="8"/>
      <c r="CK23" s="8"/>
      <c r="CL23" s="8"/>
      <c r="CM23" s="8"/>
      <c r="CN23" s="8"/>
      <c r="CO23" s="8"/>
      <c r="CP23" s="8"/>
    </row>
    <row r="24" spans="1:94" ht="13.2">
      <c r="A24" s="13"/>
      <c r="B24" s="231" t="s">
        <v>430</v>
      </c>
      <c r="C24" s="8" t="s">
        <v>24</v>
      </c>
      <c r="D24" s="8" t="s">
        <v>24</v>
      </c>
      <c r="E24" s="8" t="s">
        <v>24</v>
      </c>
      <c r="F24" s="8" t="s">
        <v>24</v>
      </c>
      <c r="G24" s="8" t="s">
        <v>24</v>
      </c>
      <c r="H24" s="8" t="s">
        <v>24</v>
      </c>
      <c r="I24" s="8" t="s">
        <v>24</v>
      </c>
      <c r="J24" s="8" t="s">
        <v>24</v>
      </c>
      <c r="K24" s="8" t="s">
        <v>24</v>
      </c>
      <c r="L24" s="8" t="s">
        <v>24</v>
      </c>
      <c r="M24" s="8" t="s">
        <v>24</v>
      </c>
      <c r="N24" s="8" t="s">
        <v>24</v>
      </c>
      <c r="O24" s="8" t="s">
        <v>24</v>
      </c>
      <c r="P24" s="8" t="s">
        <v>24</v>
      </c>
      <c r="Q24" s="8"/>
      <c r="R24" s="8" t="s">
        <v>24</v>
      </c>
      <c r="S24" s="8"/>
      <c r="T24" s="8" t="s">
        <v>24</v>
      </c>
      <c r="U24" s="8" t="s">
        <v>24</v>
      </c>
      <c r="V24" s="8" t="s">
        <v>7</v>
      </c>
      <c r="W24" s="8" t="s">
        <v>24</v>
      </c>
      <c r="X24" s="8" t="s">
        <v>7</v>
      </c>
      <c r="Y24" s="8"/>
      <c r="Z24" s="8"/>
      <c r="AA24" s="8"/>
      <c r="AB24" s="8" t="s">
        <v>24</v>
      </c>
      <c r="AC24" s="8" t="s">
        <v>24</v>
      </c>
      <c r="AD24" s="8" t="s">
        <v>24</v>
      </c>
      <c r="AE24" s="8" t="s">
        <v>24</v>
      </c>
      <c r="AF24" s="8" t="s">
        <v>10</v>
      </c>
      <c r="AG24" s="8" t="s">
        <v>6</v>
      </c>
      <c r="AH24" s="8" t="s">
        <v>24</v>
      </c>
      <c r="AI24" s="8" t="s">
        <v>24</v>
      </c>
      <c r="AJ24" s="8" t="s">
        <v>24</v>
      </c>
      <c r="AK24" s="8" t="s">
        <v>24</v>
      </c>
      <c r="AL24" s="8"/>
      <c r="AM24" s="8" t="s">
        <v>1</v>
      </c>
      <c r="AN24" s="8" t="s">
        <v>24</v>
      </c>
      <c r="AO24" s="8" t="s">
        <v>24</v>
      </c>
      <c r="AP24" s="8" t="s">
        <v>24</v>
      </c>
      <c r="AQ24" s="8" t="s">
        <v>24</v>
      </c>
      <c r="AR24" s="8" t="s">
        <v>24</v>
      </c>
      <c r="AS24" s="8"/>
      <c r="AT24" s="8" t="s">
        <v>24</v>
      </c>
      <c r="AU24" s="8" t="s">
        <v>24</v>
      </c>
      <c r="AV24" s="275" t="s">
        <v>119</v>
      </c>
      <c r="AW24" s="8"/>
      <c r="AX24" s="8"/>
      <c r="AY24" s="8" t="s">
        <v>4</v>
      </c>
      <c r="AZ24" s="8"/>
      <c r="BA24" s="8"/>
      <c r="BB24" s="8" t="s">
        <v>3</v>
      </c>
      <c r="BC24" s="8" t="s">
        <v>24</v>
      </c>
      <c r="BD24" s="8" t="s">
        <v>24</v>
      </c>
      <c r="BE24" s="8" t="s">
        <v>8</v>
      </c>
      <c r="BF24" s="8"/>
      <c r="BG24" s="8"/>
      <c r="BH24" s="8" t="s">
        <v>119</v>
      </c>
      <c r="BI24" s="8" t="s">
        <v>3</v>
      </c>
      <c r="BJ24" s="8" t="s">
        <v>24</v>
      </c>
      <c r="BK24" s="8" t="s">
        <v>119</v>
      </c>
      <c r="BL24" s="8"/>
      <c r="BM24" s="8" t="s">
        <v>41</v>
      </c>
      <c r="BN24" s="8"/>
      <c r="BO24" s="8"/>
      <c r="BP24" s="8" t="s">
        <v>119</v>
      </c>
      <c r="BQ24" s="8" t="s">
        <v>24</v>
      </c>
      <c r="BR24" s="8" t="s">
        <v>119</v>
      </c>
      <c r="BS24" s="8"/>
      <c r="BT24" s="8" t="s">
        <v>4</v>
      </c>
      <c r="BU24" s="8"/>
      <c r="BV24" s="8" t="s">
        <v>24</v>
      </c>
      <c r="BW24" s="8" t="s">
        <v>1</v>
      </c>
      <c r="BX24" s="8" t="s">
        <v>41</v>
      </c>
      <c r="BY24" s="8" t="s">
        <v>119</v>
      </c>
      <c r="BZ24" s="8"/>
      <c r="CA24" s="8"/>
      <c r="CB24" s="8"/>
      <c r="CC24" s="8"/>
      <c r="CD24" s="8"/>
      <c r="CE24" s="8"/>
      <c r="CF24" s="8"/>
      <c r="CG24" s="8"/>
      <c r="CH24" s="8"/>
      <c r="CI24" s="8"/>
      <c r="CJ24" s="8"/>
      <c r="CK24" s="8"/>
      <c r="CL24" s="8"/>
      <c r="CM24" s="8"/>
      <c r="CN24" s="8"/>
      <c r="CO24" s="8"/>
      <c r="CP24" s="8"/>
    </row>
    <row r="25" spans="1:94" ht="12" customHeight="1">
      <c r="A25" s="13"/>
      <c r="B25" s="224" t="s">
        <v>431</v>
      </c>
      <c r="C25" s="8" t="s">
        <v>4</v>
      </c>
      <c r="D25" s="8" t="s">
        <v>24</v>
      </c>
      <c r="E25" s="8"/>
      <c r="F25" s="8" t="s">
        <v>24</v>
      </c>
      <c r="G25" s="8"/>
      <c r="H25" s="8" t="s">
        <v>24</v>
      </c>
      <c r="I25" s="8"/>
      <c r="J25" s="8" t="s">
        <v>7</v>
      </c>
      <c r="K25" s="8" t="s">
        <v>24</v>
      </c>
      <c r="L25" s="8" t="s">
        <v>235</v>
      </c>
      <c r="M25" s="8" t="s">
        <v>24</v>
      </c>
      <c r="N25" s="8"/>
      <c r="O25" s="8"/>
      <c r="P25" s="8"/>
      <c r="Q25" s="8"/>
      <c r="R25" s="8" t="s">
        <v>11</v>
      </c>
      <c r="S25" s="8"/>
      <c r="T25" s="8"/>
      <c r="U25" s="8"/>
      <c r="V25" s="8"/>
      <c r="W25" s="8" t="s">
        <v>24</v>
      </c>
      <c r="X25" s="8"/>
      <c r="Y25" s="8"/>
      <c r="Z25" s="8" t="s">
        <v>5</v>
      </c>
      <c r="AA25" s="8"/>
      <c r="AB25" s="8" t="s">
        <v>24</v>
      </c>
      <c r="AC25" s="8" t="s">
        <v>24</v>
      </c>
      <c r="AD25" s="8"/>
      <c r="AE25" s="8" t="s">
        <v>24</v>
      </c>
      <c r="AF25" s="8"/>
      <c r="AG25" s="8"/>
      <c r="AH25" s="8"/>
      <c r="AI25" s="8" t="s">
        <v>24</v>
      </c>
      <c r="AJ25" s="8"/>
      <c r="AK25" s="8"/>
      <c r="AL25" s="8"/>
      <c r="AM25" s="8" t="s">
        <v>24</v>
      </c>
      <c r="AN25" s="8" t="s">
        <v>24</v>
      </c>
      <c r="AO25" s="8"/>
      <c r="AP25" s="8" t="s">
        <v>24</v>
      </c>
      <c r="AQ25" s="8"/>
      <c r="AR25" s="8" t="s">
        <v>24</v>
      </c>
      <c r="AS25" s="8"/>
      <c r="AT25" s="8" t="s">
        <v>24</v>
      </c>
      <c r="AU25" s="8"/>
      <c r="AV25" s="275" t="s">
        <v>119</v>
      </c>
      <c r="AW25" s="8"/>
      <c r="AX25" s="8"/>
      <c r="AY25" s="8" t="s">
        <v>24</v>
      </c>
      <c r="AZ25" s="8"/>
      <c r="BA25" s="8"/>
      <c r="BB25" s="8" t="s">
        <v>235</v>
      </c>
      <c r="BC25" s="8" t="s">
        <v>24</v>
      </c>
      <c r="BD25" s="8" t="s">
        <v>24</v>
      </c>
      <c r="BE25" s="8" t="s">
        <v>24</v>
      </c>
      <c r="BF25" s="8"/>
      <c r="BG25" s="8" t="s">
        <v>24</v>
      </c>
      <c r="BH25" s="8" t="s">
        <v>119</v>
      </c>
      <c r="BI25" s="8" t="s">
        <v>24</v>
      </c>
      <c r="BJ25" s="8" t="s">
        <v>10</v>
      </c>
      <c r="BK25" s="8" t="s">
        <v>119</v>
      </c>
      <c r="BL25" s="8" t="s">
        <v>24</v>
      </c>
      <c r="BM25" s="8" t="s">
        <v>24</v>
      </c>
      <c r="BN25" s="8" t="s">
        <v>24</v>
      </c>
      <c r="BO25" s="8" t="s">
        <v>24</v>
      </c>
      <c r="BP25" s="8" t="s">
        <v>24</v>
      </c>
      <c r="BQ25" s="8" t="s">
        <v>24</v>
      </c>
      <c r="BR25" s="8" t="s">
        <v>24</v>
      </c>
      <c r="BS25" s="8" t="s">
        <v>24</v>
      </c>
      <c r="BT25" s="8" t="s">
        <v>24</v>
      </c>
      <c r="BU25" s="8" t="s">
        <v>24</v>
      </c>
      <c r="BV25" s="8" t="s">
        <v>24</v>
      </c>
      <c r="BW25" s="8" t="s">
        <v>24</v>
      </c>
      <c r="BX25" s="8" t="s">
        <v>24</v>
      </c>
      <c r="BY25" s="8" t="s">
        <v>24</v>
      </c>
      <c r="BZ25" s="8" t="s">
        <v>24</v>
      </c>
      <c r="CA25" s="8"/>
      <c r="CB25" s="8"/>
      <c r="CC25" s="8"/>
      <c r="CD25" s="8"/>
      <c r="CE25" s="8"/>
      <c r="CF25" s="8"/>
      <c r="CG25" s="8"/>
      <c r="CH25" s="8"/>
      <c r="CI25" s="8"/>
      <c r="CJ25" s="8"/>
      <c r="CK25" s="8"/>
      <c r="CL25" s="8"/>
      <c r="CM25" s="8"/>
      <c r="CN25" s="8"/>
      <c r="CO25" s="8"/>
      <c r="CP25" s="8"/>
    </row>
    <row r="26" spans="1:94" ht="13.2">
      <c r="A26" s="13" t="s">
        <v>234</v>
      </c>
      <c r="B26" s="224" t="s">
        <v>432</v>
      </c>
      <c r="C26" s="8" t="s">
        <v>5</v>
      </c>
      <c r="D26" s="8" t="s">
        <v>24</v>
      </c>
      <c r="E26" s="8" t="s">
        <v>41</v>
      </c>
      <c r="F26" s="8" t="s">
        <v>2</v>
      </c>
      <c r="G26" s="8" t="s">
        <v>24</v>
      </c>
      <c r="H26" s="8" t="s">
        <v>24</v>
      </c>
      <c r="I26" s="8" t="s">
        <v>11</v>
      </c>
      <c r="J26" s="8" t="s">
        <v>11</v>
      </c>
      <c r="K26" s="8" t="s">
        <v>24</v>
      </c>
      <c r="L26" s="8" t="s">
        <v>1</v>
      </c>
      <c r="M26" s="8" t="s">
        <v>24</v>
      </c>
      <c r="N26" s="8"/>
      <c r="O26" s="8" t="s">
        <v>0</v>
      </c>
      <c r="P26" s="8" t="s">
        <v>1</v>
      </c>
      <c r="Q26" s="8"/>
      <c r="R26" s="8" t="s">
        <v>41</v>
      </c>
      <c r="S26" s="8"/>
      <c r="T26" s="8"/>
      <c r="U26" s="8" t="s">
        <v>24</v>
      </c>
      <c r="V26" s="8" t="s">
        <v>24</v>
      </c>
      <c r="W26" s="8" t="s">
        <v>8</v>
      </c>
      <c r="X26" s="8" t="s">
        <v>1</v>
      </c>
      <c r="Y26" s="8" t="s">
        <v>4</v>
      </c>
      <c r="Z26" s="8" t="s">
        <v>9</v>
      </c>
      <c r="AA26" s="8" t="s">
        <v>24</v>
      </c>
      <c r="AB26" s="8" t="s">
        <v>24</v>
      </c>
      <c r="AC26" s="8" t="s">
        <v>3</v>
      </c>
      <c r="AD26" s="8" t="s">
        <v>7</v>
      </c>
      <c r="AE26" s="8" t="s">
        <v>2</v>
      </c>
      <c r="AF26" s="8" t="s">
        <v>9</v>
      </c>
      <c r="AG26" s="8" t="s">
        <v>6</v>
      </c>
      <c r="AH26" s="8" t="s">
        <v>41</v>
      </c>
      <c r="AI26" s="8" t="s">
        <v>3</v>
      </c>
      <c r="AJ26" s="8" t="s">
        <v>7</v>
      </c>
      <c r="AK26" s="8" t="s">
        <v>11</v>
      </c>
      <c r="AL26" s="8"/>
      <c r="AM26" s="8" t="s">
        <v>4</v>
      </c>
      <c r="AN26" s="8" t="s">
        <v>24</v>
      </c>
      <c r="AO26" s="8"/>
      <c r="AP26" s="8" t="s">
        <v>3</v>
      </c>
      <c r="AQ26" s="8"/>
      <c r="AR26" s="8" t="s">
        <v>1</v>
      </c>
      <c r="AS26" s="8"/>
      <c r="AT26" s="8" t="s">
        <v>8</v>
      </c>
      <c r="AU26" s="8"/>
      <c r="AV26" s="275" t="s">
        <v>119</v>
      </c>
      <c r="AW26" s="8"/>
      <c r="AX26" s="8"/>
      <c r="AY26" s="8" t="s">
        <v>5</v>
      </c>
      <c r="AZ26" s="8"/>
      <c r="BA26" s="8"/>
      <c r="BB26" s="8" t="s">
        <v>24</v>
      </c>
      <c r="BC26" s="8" t="s">
        <v>41</v>
      </c>
      <c r="BD26" s="8" t="s">
        <v>5</v>
      </c>
      <c r="BE26" s="8"/>
      <c r="BF26" s="8" t="s">
        <v>1</v>
      </c>
      <c r="BG26" s="8"/>
      <c r="BH26" s="8" t="s">
        <v>119</v>
      </c>
      <c r="BI26" s="8" t="s">
        <v>41</v>
      </c>
      <c r="BJ26" s="8" t="s">
        <v>24</v>
      </c>
      <c r="BK26" s="8" t="s">
        <v>119</v>
      </c>
      <c r="BL26" s="8" t="s">
        <v>4</v>
      </c>
      <c r="BM26" s="8" t="s">
        <v>11</v>
      </c>
      <c r="BN26" s="8" t="s">
        <v>24</v>
      </c>
      <c r="BO26" s="8"/>
      <c r="BP26" s="8" t="s">
        <v>119</v>
      </c>
      <c r="BQ26" s="8" t="s">
        <v>24</v>
      </c>
      <c r="BR26" s="8" t="s">
        <v>24</v>
      </c>
      <c r="BS26" s="8"/>
      <c r="BT26" s="8" t="s">
        <v>24</v>
      </c>
      <c r="BU26" s="8"/>
      <c r="BV26" s="8"/>
      <c r="BW26" s="8" t="s">
        <v>0</v>
      </c>
      <c r="BX26" s="8" t="s">
        <v>24</v>
      </c>
      <c r="BY26" s="8" t="s">
        <v>119</v>
      </c>
      <c r="BZ26" s="8" t="s">
        <v>24</v>
      </c>
      <c r="CA26" s="8"/>
      <c r="CB26" s="8"/>
      <c r="CC26" s="8"/>
      <c r="CD26" s="8"/>
      <c r="CE26" s="8"/>
      <c r="CF26" s="8"/>
      <c r="CG26" s="8"/>
      <c r="CH26" s="8"/>
      <c r="CI26" s="8"/>
      <c r="CJ26" s="8"/>
      <c r="CK26" s="8"/>
      <c r="CL26" s="8"/>
      <c r="CM26" s="8"/>
      <c r="CN26" s="8"/>
      <c r="CO26" s="8"/>
      <c r="CP26" s="8"/>
    </row>
    <row r="27" spans="1:94" ht="13.2">
      <c r="A27" s="13" t="s">
        <v>234</v>
      </c>
      <c r="B27" s="224" t="s">
        <v>190</v>
      </c>
      <c r="C27" s="8" t="s">
        <v>24</v>
      </c>
      <c r="D27" s="8" t="s">
        <v>24</v>
      </c>
      <c r="E27" s="8" t="s">
        <v>24</v>
      </c>
      <c r="F27" s="8" t="s">
        <v>41</v>
      </c>
      <c r="G27" s="8" t="s">
        <v>24</v>
      </c>
      <c r="H27" s="8" t="s">
        <v>24</v>
      </c>
      <c r="I27" s="8" t="s">
        <v>41</v>
      </c>
      <c r="J27" s="8" t="s">
        <v>41</v>
      </c>
      <c r="K27" s="8" t="s">
        <v>3</v>
      </c>
      <c r="L27" s="8" t="s">
        <v>41</v>
      </c>
      <c r="M27" s="8" t="s">
        <v>24</v>
      </c>
      <c r="N27" s="8" t="s">
        <v>24</v>
      </c>
      <c r="O27" s="8" t="s">
        <v>7</v>
      </c>
      <c r="P27" s="8" t="s">
        <v>41</v>
      </c>
      <c r="Q27" s="8"/>
      <c r="R27" s="8" t="s">
        <v>7</v>
      </c>
      <c r="S27" s="8"/>
      <c r="T27" s="8" t="s">
        <v>9</v>
      </c>
      <c r="U27" s="8" t="s">
        <v>6</v>
      </c>
      <c r="V27" s="8" t="s">
        <v>24</v>
      </c>
      <c r="W27" s="8" t="s">
        <v>8</v>
      </c>
      <c r="X27" s="8" t="s">
        <v>24</v>
      </c>
      <c r="Y27" s="8" t="s">
        <v>24</v>
      </c>
      <c r="Z27" s="8" t="s">
        <v>9</v>
      </c>
      <c r="AA27" s="8" t="s">
        <v>24</v>
      </c>
      <c r="AB27" s="8" t="s">
        <v>24</v>
      </c>
      <c r="AC27" s="8" t="s">
        <v>3</v>
      </c>
      <c r="AD27" s="8" t="s">
        <v>41</v>
      </c>
      <c r="AE27" s="8" t="s">
        <v>24</v>
      </c>
      <c r="AF27" s="8" t="s">
        <v>9</v>
      </c>
      <c r="AG27" s="8" t="s">
        <v>24</v>
      </c>
      <c r="AH27" s="8" t="s">
        <v>24</v>
      </c>
      <c r="AI27" s="8" t="s">
        <v>24</v>
      </c>
      <c r="AJ27" s="8" t="s">
        <v>8</v>
      </c>
      <c r="AK27" s="8" t="s">
        <v>5</v>
      </c>
      <c r="AL27" s="8"/>
      <c r="AM27" s="8" t="s">
        <v>24</v>
      </c>
      <c r="AN27" s="8" t="s">
        <v>235</v>
      </c>
      <c r="AO27" s="8" t="s">
        <v>10</v>
      </c>
      <c r="AP27" s="8" t="s">
        <v>24</v>
      </c>
      <c r="AQ27" s="8" t="s">
        <v>24</v>
      </c>
      <c r="AR27" s="8" t="s">
        <v>24</v>
      </c>
      <c r="AS27" s="8"/>
      <c r="AT27" s="8" t="s">
        <v>8</v>
      </c>
      <c r="AU27" s="8"/>
      <c r="AV27" s="275" t="s">
        <v>119</v>
      </c>
      <c r="AW27" s="8"/>
      <c r="AX27" s="8"/>
      <c r="AY27" s="8" t="s">
        <v>24</v>
      </c>
      <c r="AZ27" s="8"/>
      <c r="BA27" s="8"/>
      <c r="BB27" s="8" t="s">
        <v>5</v>
      </c>
      <c r="BC27" s="8" t="s">
        <v>24</v>
      </c>
      <c r="BD27" s="8" t="s">
        <v>7</v>
      </c>
      <c r="BE27" s="8" t="s">
        <v>7</v>
      </c>
      <c r="BF27" s="8" t="s">
        <v>1</v>
      </c>
      <c r="BG27" s="8" t="s">
        <v>24</v>
      </c>
      <c r="BH27" s="8" t="s">
        <v>119</v>
      </c>
      <c r="BI27" s="8" t="s">
        <v>24</v>
      </c>
      <c r="BJ27" s="8" t="s">
        <v>235</v>
      </c>
      <c r="BK27" s="8" t="s">
        <v>119</v>
      </c>
      <c r="BL27" s="8" t="s">
        <v>41</v>
      </c>
      <c r="BM27" s="8" t="s">
        <v>24</v>
      </c>
      <c r="BN27" s="8" t="s">
        <v>24</v>
      </c>
      <c r="BO27" s="8" t="s">
        <v>8</v>
      </c>
      <c r="BP27" s="8" t="s">
        <v>119</v>
      </c>
      <c r="BQ27" s="8" t="s">
        <v>24</v>
      </c>
      <c r="BR27" s="8" t="s">
        <v>119</v>
      </c>
      <c r="BS27" s="8"/>
      <c r="BT27" s="8" t="s">
        <v>4</v>
      </c>
      <c r="BU27" s="8" t="s">
        <v>24</v>
      </c>
      <c r="BV27" s="8" t="s">
        <v>24</v>
      </c>
      <c r="BW27" s="8" t="s">
        <v>24</v>
      </c>
      <c r="BX27" s="8" t="s">
        <v>24</v>
      </c>
      <c r="BY27" s="8" t="s">
        <v>119</v>
      </c>
      <c r="BZ27" s="8" t="s">
        <v>374</v>
      </c>
      <c r="CA27" s="8"/>
      <c r="CB27" s="8"/>
      <c r="CC27" s="8"/>
      <c r="CD27" s="8"/>
      <c r="CE27" s="8"/>
      <c r="CF27" s="8"/>
      <c r="CG27" s="8"/>
      <c r="CH27" s="8"/>
      <c r="CI27" s="8"/>
      <c r="CJ27" s="8"/>
      <c r="CK27" s="8"/>
      <c r="CL27" s="8"/>
      <c r="CM27" s="8"/>
      <c r="CN27" s="8"/>
      <c r="CO27" s="8"/>
      <c r="CP27" s="8"/>
    </row>
    <row r="28" spans="1:94" ht="13.2">
      <c r="A28" s="13"/>
      <c r="B28" s="224" t="s">
        <v>433</v>
      </c>
      <c r="C28" s="8"/>
      <c r="D28" s="8" t="s">
        <v>24</v>
      </c>
      <c r="E28" s="8" t="s">
        <v>24</v>
      </c>
      <c r="F28" s="8"/>
      <c r="G28" s="8" t="s">
        <v>24</v>
      </c>
      <c r="H28" s="8" t="s">
        <v>24</v>
      </c>
      <c r="I28" s="8"/>
      <c r="J28" s="8" t="s">
        <v>24</v>
      </c>
      <c r="K28" s="8" t="s">
        <v>24</v>
      </c>
      <c r="L28" s="8" t="s">
        <v>24</v>
      </c>
      <c r="M28" s="8"/>
      <c r="N28" s="8" t="s">
        <v>24</v>
      </c>
      <c r="O28" s="8" t="s">
        <v>24</v>
      </c>
      <c r="P28" s="8" t="s">
        <v>24</v>
      </c>
      <c r="Q28" s="8"/>
      <c r="R28" s="8" t="s">
        <v>24</v>
      </c>
      <c r="S28" s="8"/>
      <c r="T28" s="8"/>
      <c r="U28" s="8" t="s">
        <v>24</v>
      </c>
      <c r="V28" s="8" t="s">
        <v>24</v>
      </c>
      <c r="W28" s="8" t="s">
        <v>24</v>
      </c>
      <c r="X28" s="8" t="s">
        <v>24</v>
      </c>
      <c r="Y28" s="8" t="s">
        <v>24</v>
      </c>
      <c r="Z28" s="8" t="s">
        <v>24</v>
      </c>
      <c r="AA28" s="8" t="s">
        <v>24</v>
      </c>
      <c r="AB28" s="8" t="s">
        <v>24</v>
      </c>
      <c r="AC28" s="8" t="s">
        <v>24</v>
      </c>
      <c r="AD28" s="8"/>
      <c r="AE28" s="8" t="s">
        <v>24</v>
      </c>
      <c r="AF28" s="8"/>
      <c r="AG28" s="8" t="s">
        <v>24</v>
      </c>
      <c r="AH28" s="8"/>
      <c r="AI28" s="8" t="s">
        <v>24</v>
      </c>
      <c r="AJ28" s="8" t="s">
        <v>24</v>
      </c>
      <c r="AK28" s="8" t="s">
        <v>24</v>
      </c>
      <c r="AL28" s="8"/>
      <c r="AM28" s="8" t="s">
        <v>24</v>
      </c>
      <c r="AN28" s="8" t="s">
        <v>24</v>
      </c>
      <c r="AO28" s="8" t="s">
        <v>24</v>
      </c>
      <c r="AP28" s="8" t="s">
        <v>24</v>
      </c>
      <c r="AQ28" s="8" t="s">
        <v>24</v>
      </c>
      <c r="AR28" s="8" t="s">
        <v>24</v>
      </c>
      <c r="AS28" s="8"/>
      <c r="AT28" s="8" t="s">
        <v>24</v>
      </c>
      <c r="AU28" s="8"/>
      <c r="AV28" s="275" t="s">
        <v>119</v>
      </c>
      <c r="AW28" s="8"/>
      <c r="AX28" s="8"/>
      <c r="AY28" s="8" t="s">
        <v>24</v>
      </c>
      <c r="AZ28" s="8"/>
      <c r="BA28" s="8"/>
      <c r="BB28" s="8" t="s">
        <v>24</v>
      </c>
      <c r="BC28" s="8" t="s">
        <v>24</v>
      </c>
      <c r="BD28" s="8" t="s">
        <v>24</v>
      </c>
      <c r="BE28" s="8" t="s">
        <v>24</v>
      </c>
      <c r="BF28" s="8" t="s">
        <v>24</v>
      </c>
      <c r="BG28" s="8" t="s">
        <v>24</v>
      </c>
      <c r="BH28" s="8" t="s">
        <v>119</v>
      </c>
      <c r="BI28" s="8" t="s">
        <v>24</v>
      </c>
      <c r="BJ28" s="8" t="s">
        <v>24</v>
      </c>
      <c r="BK28" s="8" t="s">
        <v>119</v>
      </c>
      <c r="BL28" s="8" t="s">
        <v>24</v>
      </c>
      <c r="BM28" s="8" t="s">
        <v>24</v>
      </c>
      <c r="BN28" s="8" t="s">
        <v>24</v>
      </c>
      <c r="BO28" s="8" t="s">
        <v>24</v>
      </c>
      <c r="BP28" s="8" t="s">
        <v>24</v>
      </c>
      <c r="BQ28" s="8" t="s">
        <v>24</v>
      </c>
      <c r="BR28" s="8" t="s">
        <v>24</v>
      </c>
      <c r="BS28" s="8" t="s">
        <v>24</v>
      </c>
      <c r="BT28" s="8" t="s">
        <v>24</v>
      </c>
      <c r="BU28" s="8" t="s">
        <v>24</v>
      </c>
      <c r="BV28" s="8" t="s">
        <v>24</v>
      </c>
      <c r="BW28" s="8" t="s">
        <v>24</v>
      </c>
      <c r="BX28" s="8" t="s">
        <v>24</v>
      </c>
      <c r="BY28" s="8" t="s">
        <v>24</v>
      </c>
      <c r="BZ28" s="8" t="s">
        <v>24</v>
      </c>
      <c r="CA28" s="8"/>
      <c r="CB28" s="8"/>
      <c r="CC28" s="8"/>
      <c r="CD28" s="8"/>
      <c r="CE28" s="8"/>
      <c r="CF28" s="8"/>
      <c r="CG28" s="8"/>
      <c r="CH28" s="8"/>
      <c r="CI28" s="8"/>
      <c r="CJ28" s="8"/>
      <c r="CK28" s="8"/>
      <c r="CL28" s="8"/>
      <c r="CM28" s="8"/>
      <c r="CN28" s="8"/>
      <c r="CO28" s="8"/>
      <c r="CP28" s="8"/>
    </row>
    <row r="29" spans="1:94" ht="13.2">
      <c r="A29" s="13"/>
      <c r="B29" s="224" t="s">
        <v>434</v>
      </c>
      <c r="C29" s="8" t="s">
        <v>4</v>
      </c>
      <c r="D29" s="8" t="s">
        <v>24</v>
      </c>
      <c r="E29" s="8"/>
      <c r="F29" s="8" t="s">
        <v>24</v>
      </c>
      <c r="G29" s="8" t="s">
        <v>24</v>
      </c>
      <c r="H29" s="8" t="s">
        <v>24</v>
      </c>
      <c r="I29" s="8"/>
      <c r="J29" s="8" t="s">
        <v>4</v>
      </c>
      <c r="K29" s="8" t="s">
        <v>24</v>
      </c>
      <c r="L29" s="8" t="s">
        <v>24</v>
      </c>
      <c r="M29" s="8" t="s">
        <v>24</v>
      </c>
      <c r="N29" s="8"/>
      <c r="O29" s="8" t="s">
        <v>8</v>
      </c>
      <c r="P29" s="8"/>
      <c r="Q29" s="8"/>
      <c r="R29" s="8"/>
      <c r="S29" s="8"/>
      <c r="T29" s="8"/>
      <c r="U29" s="8"/>
      <c r="V29" s="8"/>
      <c r="W29" s="8" t="s">
        <v>24</v>
      </c>
      <c r="X29" s="8"/>
      <c r="Y29" s="8"/>
      <c r="Z29" s="8"/>
      <c r="AA29" s="8"/>
      <c r="AB29" s="8"/>
      <c r="AC29" s="8" t="s">
        <v>24</v>
      </c>
      <c r="AD29" s="8"/>
      <c r="AE29" s="8"/>
      <c r="AF29" s="8" t="s">
        <v>24</v>
      </c>
      <c r="AG29" s="8" t="s">
        <v>24</v>
      </c>
      <c r="AH29" s="8" t="s">
        <v>11</v>
      </c>
      <c r="AI29" s="8" t="s">
        <v>24</v>
      </c>
      <c r="AJ29" s="8"/>
      <c r="AK29" s="8"/>
      <c r="AL29" s="8"/>
      <c r="AM29" s="8" t="s">
        <v>24</v>
      </c>
      <c r="AN29" s="8" t="s">
        <v>20</v>
      </c>
      <c r="AO29" s="8" t="s">
        <v>24</v>
      </c>
      <c r="AP29" s="8" t="s">
        <v>8</v>
      </c>
      <c r="AQ29" s="8"/>
      <c r="AR29" s="8" t="s">
        <v>1</v>
      </c>
      <c r="AS29" s="8"/>
      <c r="AT29" s="8" t="s">
        <v>1</v>
      </c>
      <c r="AU29" s="8"/>
      <c r="AV29" s="275" t="s">
        <v>119</v>
      </c>
      <c r="AW29" s="8"/>
      <c r="AX29" s="8"/>
      <c r="AY29" s="8" t="s">
        <v>235</v>
      </c>
      <c r="AZ29" s="8"/>
      <c r="BA29" s="8"/>
      <c r="BB29" s="8" t="s">
        <v>24</v>
      </c>
      <c r="BC29" s="8"/>
      <c r="BD29" s="8"/>
      <c r="BE29" s="8"/>
      <c r="BF29" s="8"/>
      <c r="BG29" s="8"/>
      <c r="BH29" s="8" t="s">
        <v>119</v>
      </c>
      <c r="BI29" s="8" t="s">
        <v>10</v>
      </c>
      <c r="BJ29" s="8" t="s">
        <v>24</v>
      </c>
      <c r="BK29" s="8" t="s">
        <v>119</v>
      </c>
      <c r="BL29" s="8" t="s">
        <v>1</v>
      </c>
      <c r="BM29" s="8" t="s">
        <v>1</v>
      </c>
      <c r="BN29" s="8" t="s">
        <v>24</v>
      </c>
      <c r="BO29" s="8"/>
      <c r="BP29" s="8" t="s">
        <v>24</v>
      </c>
      <c r="BQ29" s="8"/>
      <c r="BR29" s="8" t="s">
        <v>119</v>
      </c>
      <c r="BS29" s="8"/>
      <c r="BT29" s="8"/>
      <c r="BU29" s="8"/>
      <c r="BV29" s="8" t="s">
        <v>24</v>
      </c>
      <c r="BW29" s="8"/>
      <c r="BX29" s="8" t="s">
        <v>24</v>
      </c>
      <c r="BY29" s="8" t="s">
        <v>24</v>
      </c>
      <c r="BZ29" s="8" t="s">
        <v>24</v>
      </c>
      <c r="CA29" s="8"/>
      <c r="CB29" s="8"/>
      <c r="CC29" s="8"/>
      <c r="CD29" s="8"/>
      <c r="CE29" s="8"/>
      <c r="CF29" s="8"/>
      <c r="CG29" s="8"/>
      <c r="CH29" s="8"/>
      <c r="CI29" s="8"/>
      <c r="CJ29" s="8"/>
      <c r="CK29" s="8"/>
      <c r="CL29" s="8"/>
      <c r="CM29" s="8"/>
      <c r="CN29" s="8"/>
      <c r="CO29" s="8"/>
      <c r="CP29" s="8"/>
    </row>
    <row r="30" spans="1:94" ht="13.2">
      <c r="A30" s="13" t="s">
        <v>234</v>
      </c>
      <c r="B30" s="224" t="s">
        <v>435</v>
      </c>
      <c r="C30" s="8" t="s">
        <v>7</v>
      </c>
      <c r="D30" s="8" t="s">
        <v>24</v>
      </c>
      <c r="E30" s="8" t="s">
        <v>24</v>
      </c>
      <c r="F30" s="8" t="s">
        <v>24</v>
      </c>
      <c r="G30" s="8"/>
      <c r="H30" s="8" t="s">
        <v>24</v>
      </c>
      <c r="I30" s="8" t="s">
        <v>24</v>
      </c>
      <c r="J30" s="8" t="s">
        <v>24</v>
      </c>
      <c r="K30" s="8"/>
      <c r="L30" s="8" t="s">
        <v>24</v>
      </c>
      <c r="M30" s="8" t="s">
        <v>24</v>
      </c>
      <c r="N30" s="8"/>
      <c r="O30" s="8" t="s">
        <v>24</v>
      </c>
      <c r="P30" s="8" t="s">
        <v>41</v>
      </c>
      <c r="Q30" s="8"/>
      <c r="R30" s="8" t="s">
        <v>24</v>
      </c>
      <c r="S30" s="8"/>
      <c r="T30" s="8" t="s">
        <v>24</v>
      </c>
      <c r="U30" s="8" t="s">
        <v>24</v>
      </c>
      <c r="V30" s="8" t="s">
        <v>0</v>
      </c>
      <c r="W30" s="8"/>
      <c r="X30" s="8" t="s">
        <v>24</v>
      </c>
      <c r="Y30" s="8"/>
      <c r="Z30" s="8" t="s">
        <v>24</v>
      </c>
      <c r="AA30" s="8"/>
      <c r="AB30" s="8" t="s">
        <v>8</v>
      </c>
      <c r="AC30" s="8" t="s">
        <v>6</v>
      </c>
      <c r="AD30" s="8" t="s">
        <v>24</v>
      </c>
      <c r="AE30" s="8" t="s">
        <v>24</v>
      </c>
      <c r="AF30" s="8" t="s">
        <v>10</v>
      </c>
      <c r="AG30" s="8" t="s">
        <v>24</v>
      </c>
      <c r="AH30" s="8" t="s">
        <v>24</v>
      </c>
      <c r="AI30" s="8" t="s">
        <v>24</v>
      </c>
      <c r="AJ30" s="8"/>
      <c r="AK30" s="8" t="s">
        <v>24</v>
      </c>
      <c r="AL30" s="8" t="s">
        <v>41</v>
      </c>
      <c r="AM30" s="8" t="s">
        <v>24</v>
      </c>
      <c r="AN30" s="8" t="s">
        <v>24</v>
      </c>
      <c r="AO30" s="8"/>
      <c r="AP30" s="8" t="s">
        <v>24</v>
      </c>
      <c r="AQ30" s="8" t="s">
        <v>24</v>
      </c>
      <c r="AR30" s="8" t="s">
        <v>41</v>
      </c>
      <c r="AS30" s="8" t="s">
        <v>41</v>
      </c>
      <c r="AT30" s="8" t="s">
        <v>24</v>
      </c>
      <c r="AU30" s="8"/>
      <c r="AV30" s="275" t="s">
        <v>119</v>
      </c>
      <c r="AW30" s="8"/>
      <c r="AX30" s="8"/>
      <c r="AY30" s="8" t="s">
        <v>24</v>
      </c>
      <c r="AZ30" s="8"/>
      <c r="BA30" s="8"/>
      <c r="BB30" s="8" t="s">
        <v>24</v>
      </c>
      <c r="BC30" s="8" t="s">
        <v>41</v>
      </c>
      <c r="BD30" s="8" t="s">
        <v>24</v>
      </c>
      <c r="BE30" s="8"/>
      <c r="BF30" s="8" t="s">
        <v>24</v>
      </c>
      <c r="BG30" s="8" t="s">
        <v>24</v>
      </c>
      <c r="BH30" s="8" t="s">
        <v>119</v>
      </c>
      <c r="BI30" s="8" t="s">
        <v>24</v>
      </c>
      <c r="BJ30" s="8" t="s">
        <v>24</v>
      </c>
      <c r="BK30" s="8" t="s">
        <v>119</v>
      </c>
      <c r="BL30" s="8" t="s">
        <v>24</v>
      </c>
      <c r="BM30" s="8" t="s">
        <v>24</v>
      </c>
      <c r="BN30" s="8" t="s">
        <v>24</v>
      </c>
      <c r="BO30" s="8" t="s">
        <v>24</v>
      </c>
      <c r="BP30" s="8" t="s">
        <v>24</v>
      </c>
      <c r="BQ30" s="8" t="s">
        <v>41</v>
      </c>
      <c r="BR30" s="8" t="s">
        <v>24</v>
      </c>
      <c r="BS30" s="8"/>
      <c r="BT30" s="8" t="s">
        <v>24</v>
      </c>
      <c r="BU30" s="8"/>
      <c r="BV30" s="8" t="s">
        <v>24</v>
      </c>
      <c r="BW30" s="8" t="s">
        <v>3</v>
      </c>
      <c r="BX30" s="8" t="s">
        <v>3</v>
      </c>
      <c r="BY30" s="8" t="s">
        <v>119</v>
      </c>
      <c r="BZ30" s="8" t="s">
        <v>24</v>
      </c>
      <c r="CA30" s="8"/>
      <c r="CB30" s="8"/>
      <c r="CC30" s="8"/>
      <c r="CD30" s="8"/>
      <c r="CE30" s="8"/>
      <c r="CF30" s="8"/>
      <c r="CG30" s="8"/>
      <c r="CH30" s="8"/>
      <c r="CI30" s="8"/>
      <c r="CJ30" s="8"/>
      <c r="CK30" s="8"/>
      <c r="CL30" s="8"/>
      <c r="CM30" s="8"/>
      <c r="CN30" s="8"/>
      <c r="CO30" s="8"/>
      <c r="CP30" s="8"/>
    </row>
    <row r="31" spans="1:94" ht="13.2">
      <c r="A31" s="13"/>
      <c r="B31" s="224" t="s">
        <v>436</v>
      </c>
      <c r="C31" s="8" t="s">
        <v>9</v>
      </c>
      <c r="D31" s="8" t="s">
        <v>24</v>
      </c>
      <c r="E31" s="8" t="s">
        <v>9</v>
      </c>
      <c r="F31" s="8"/>
      <c r="G31" s="8" t="s">
        <v>24</v>
      </c>
      <c r="H31" s="8"/>
      <c r="I31" s="8"/>
      <c r="J31" s="8" t="s">
        <v>24</v>
      </c>
      <c r="K31" s="8" t="s">
        <v>24</v>
      </c>
      <c r="L31" s="8" t="s">
        <v>24</v>
      </c>
      <c r="M31" s="8" t="s">
        <v>24</v>
      </c>
      <c r="N31" s="8"/>
      <c r="O31" s="8" t="s">
        <v>4</v>
      </c>
      <c r="P31" s="8" t="s">
        <v>1</v>
      </c>
      <c r="Q31" s="8"/>
      <c r="R31" s="8" t="s">
        <v>1</v>
      </c>
      <c r="S31" s="8"/>
      <c r="T31" s="8"/>
      <c r="U31" s="8" t="s">
        <v>24</v>
      </c>
      <c r="V31" s="8" t="s">
        <v>24</v>
      </c>
      <c r="W31" s="8" t="s">
        <v>24</v>
      </c>
      <c r="X31" s="8"/>
      <c r="Y31" s="8" t="s">
        <v>1</v>
      </c>
      <c r="Z31" s="8" t="s">
        <v>24</v>
      </c>
      <c r="AA31" s="8" t="s">
        <v>0</v>
      </c>
      <c r="AB31" s="8" t="s">
        <v>24</v>
      </c>
      <c r="AC31" s="8" t="s">
        <v>24</v>
      </c>
      <c r="AD31" s="8"/>
      <c r="AE31" s="8" t="s">
        <v>4</v>
      </c>
      <c r="AF31" s="8" t="s">
        <v>41</v>
      </c>
      <c r="AG31" s="8" t="s">
        <v>24</v>
      </c>
      <c r="AH31" s="8"/>
      <c r="AI31" s="8" t="s">
        <v>24</v>
      </c>
      <c r="AJ31" s="8" t="s">
        <v>24</v>
      </c>
      <c r="AK31" s="8" t="s">
        <v>24</v>
      </c>
      <c r="AL31" s="8"/>
      <c r="AM31" s="8" t="s">
        <v>10</v>
      </c>
      <c r="AN31" s="8" t="s">
        <v>4</v>
      </c>
      <c r="AO31" s="8"/>
      <c r="AP31" s="8" t="s">
        <v>24</v>
      </c>
      <c r="AQ31" s="8" t="s">
        <v>24</v>
      </c>
      <c r="AR31" s="8" t="s">
        <v>24</v>
      </c>
      <c r="AS31" s="8"/>
      <c r="AT31" s="8" t="s">
        <v>1</v>
      </c>
      <c r="AU31" s="8"/>
      <c r="AV31" s="275" t="s">
        <v>119</v>
      </c>
      <c r="AW31" s="8"/>
      <c r="AX31" s="8"/>
      <c r="AY31" s="8" t="s">
        <v>235</v>
      </c>
      <c r="AZ31" s="8"/>
      <c r="BA31" s="8"/>
      <c r="BB31" s="8" t="s">
        <v>1</v>
      </c>
      <c r="BC31" s="8" t="s">
        <v>41</v>
      </c>
      <c r="BD31" s="8" t="s">
        <v>24</v>
      </c>
      <c r="BE31" s="8" t="s">
        <v>10</v>
      </c>
      <c r="BF31" s="8" t="s">
        <v>24</v>
      </c>
      <c r="BG31" s="8"/>
      <c r="BH31" s="8" t="s">
        <v>24</v>
      </c>
      <c r="BI31" s="8" t="s">
        <v>24</v>
      </c>
      <c r="BJ31" s="8" t="s">
        <v>41</v>
      </c>
      <c r="BK31" s="8" t="s">
        <v>119</v>
      </c>
      <c r="BL31" s="8" t="s">
        <v>1</v>
      </c>
      <c r="BM31" s="8" t="s">
        <v>24</v>
      </c>
      <c r="BN31" s="8"/>
      <c r="BO31" s="8" t="s">
        <v>41</v>
      </c>
      <c r="BP31" s="8" t="s">
        <v>119</v>
      </c>
      <c r="BQ31" s="8" t="s">
        <v>41</v>
      </c>
      <c r="BR31" s="8" t="s">
        <v>24</v>
      </c>
      <c r="BS31" s="8"/>
      <c r="BT31" s="8" t="s">
        <v>4</v>
      </c>
      <c r="BU31" s="8" t="s">
        <v>374</v>
      </c>
      <c r="BV31" s="8" t="s">
        <v>24</v>
      </c>
      <c r="BW31" s="8" t="s">
        <v>1</v>
      </c>
      <c r="BX31" s="8" t="s">
        <v>1</v>
      </c>
      <c r="BY31" s="8" t="s">
        <v>24</v>
      </c>
      <c r="BZ31" s="8" t="s">
        <v>41</v>
      </c>
      <c r="CA31" s="8"/>
      <c r="CB31" s="8"/>
      <c r="CC31" s="8"/>
      <c r="CD31" s="8"/>
      <c r="CE31" s="8"/>
      <c r="CF31" s="8"/>
      <c r="CG31" s="8"/>
      <c r="CH31" s="8"/>
      <c r="CI31" s="8"/>
      <c r="CJ31" s="8"/>
      <c r="CK31" s="8"/>
      <c r="CL31" s="8"/>
      <c r="CM31" s="8"/>
      <c r="CN31" s="8"/>
      <c r="CO31" s="8"/>
      <c r="CP31" s="8"/>
    </row>
    <row r="32" spans="1:94" ht="13.2">
      <c r="A32" s="13" t="s">
        <v>234</v>
      </c>
      <c r="B32" s="224" t="s">
        <v>437</v>
      </c>
      <c r="C32" s="8" t="s">
        <v>5</v>
      </c>
      <c r="D32" s="8" t="s">
        <v>3</v>
      </c>
      <c r="E32" s="8" t="s">
        <v>9</v>
      </c>
      <c r="F32" s="8"/>
      <c r="G32" s="8"/>
      <c r="H32" s="8" t="s">
        <v>24</v>
      </c>
      <c r="I32" s="8" t="s">
        <v>4</v>
      </c>
      <c r="J32" s="8" t="s">
        <v>24</v>
      </c>
      <c r="K32" s="8" t="s">
        <v>3</v>
      </c>
      <c r="L32" s="8" t="s">
        <v>24</v>
      </c>
      <c r="M32" s="8" t="s">
        <v>6</v>
      </c>
      <c r="N32" s="8" t="s">
        <v>235</v>
      </c>
      <c r="O32" s="8" t="s">
        <v>5</v>
      </c>
      <c r="P32" s="8" t="s">
        <v>24</v>
      </c>
      <c r="Q32" s="8"/>
      <c r="R32" s="8" t="s">
        <v>7</v>
      </c>
      <c r="S32" s="8"/>
      <c r="T32" s="8" t="s">
        <v>235</v>
      </c>
      <c r="U32" s="8" t="s">
        <v>24</v>
      </c>
      <c r="V32" s="8" t="s">
        <v>41</v>
      </c>
      <c r="W32" s="8" t="s">
        <v>24</v>
      </c>
      <c r="X32" s="8"/>
      <c r="Y32" s="8" t="s">
        <v>4</v>
      </c>
      <c r="Z32" s="8" t="s">
        <v>24</v>
      </c>
      <c r="AA32" s="8" t="s">
        <v>9</v>
      </c>
      <c r="AB32" s="8" t="s">
        <v>8</v>
      </c>
      <c r="AC32" s="8" t="s">
        <v>24</v>
      </c>
      <c r="AD32" s="8" t="s">
        <v>24</v>
      </c>
      <c r="AE32" s="8" t="s">
        <v>24</v>
      </c>
      <c r="AF32" s="8" t="s">
        <v>24</v>
      </c>
      <c r="AG32" s="8" t="s">
        <v>24</v>
      </c>
      <c r="AH32" s="8" t="s">
        <v>24</v>
      </c>
      <c r="AI32" s="8" t="s">
        <v>24</v>
      </c>
      <c r="AJ32" s="8" t="s">
        <v>41</v>
      </c>
      <c r="AK32" s="8" t="s">
        <v>7</v>
      </c>
      <c r="AL32" s="8"/>
      <c r="AM32" s="8" t="s">
        <v>24</v>
      </c>
      <c r="AN32" s="8" t="s">
        <v>9</v>
      </c>
      <c r="AO32" s="8" t="s">
        <v>41</v>
      </c>
      <c r="AP32" s="8" t="s">
        <v>24</v>
      </c>
      <c r="AQ32" s="8" t="s">
        <v>2</v>
      </c>
      <c r="AR32" s="8" t="s">
        <v>9</v>
      </c>
      <c r="AS32" s="8"/>
      <c r="AT32" s="8" t="s">
        <v>24</v>
      </c>
      <c r="AU32" s="8"/>
      <c r="AV32" s="275" t="s">
        <v>119</v>
      </c>
      <c r="AW32" s="8"/>
      <c r="AX32" s="8"/>
      <c r="AY32" s="8" t="s">
        <v>24</v>
      </c>
      <c r="AZ32" s="8"/>
      <c r="BA32" s="8"/>
      <c r="BB32" s="8" t="s">
        <v>1</v>
      </c>
      <c r="BC32" s="8" t="s">
        <v>5</v>
      </c>
      <c r="BD32" s="8" t="s">
        <v>41</v>
      </c>
      <c r="BE32" s="8" t="s">
        <v>24</v>
      </c>
      <c r="BF32" s="8" t="s">
        <v>11</v>
      </c>
      <c r="BG32" s="8" t="s">
        <v>374</v>
      </c>
      <c r="BH32" s="8" t="s">
        <v>119</v>
      </c>
      <c r="BI32" s="8" t="s">
        <v>1</v>
      </c>
      <c r="BJ32" s="8" t="s">
        <v>24</v>
      </c>
      <c r="BK32" s="8" t="s">
        <v>119</v>
      </c>
      <c r="BL32" s="8" t="s">
        <v>374</v>
      </c>
      <c r="BM32" s="8" t="s">
        <v>24</v>
      </c>
      <c r="BN32" s="8"/>
      <c r="BO32" s="8" t="s">
        <v>24</v>
      </c>
      <c r="BP32" s="8" t="s">
        <v>24</v>
      </c>
      <c r="BQ32" s="8" t="s">
        <v>24</v>
      </c>
      <c r="BR32" s="8" t="s">
        <v>119</v>
      </c>
      <c r="BS32" s="8" t="s">
        <v>24</v>
      </c>
      <c r="BT32" s="8" t="s">
        <v>24</v>
      </c>
      <c r="BU32" s="8" t="s">
        <v>374</v>
      </c>
      <c r="BV32" s="8" t="s">
        <v>24</v>
      </c>
      <c r="BW32" s="8" t="s">
        <v>24</v>
      </c>
      <c r="BX32" s="8" t="s">
        <v>0</v>
      </c>
      <c r="BY32" s="8" t="s">
        <v>24</v>
      </c>
      <c r="BZ32" s="8" t="s">
        <v>24</v>
      </c>
      <c r="CA32" s="8"/>
      <c r="CB32" s="8"/>
      <c r="CC32" s="8"/>
      <c r="CD32" s="8"/>
      <c r="CE32" s="8"/>
      <c r="CF32" s="8"/>
      <c r="CG32" s="8"/>
      <c r="CH32" s="8"/>
      <c r="CI32" s="8"/>
      <c r="CJ32" s="8"/>
      <c r="CK32" s="8"/>
      <c r="CL32" s="8"/>
      <c r="CM32" s="8"/>
      <c r="CN32" s="8"/>
      <c r="CO32" s="8"/>
      <c r="CP32" s="8"/>
    </row>
    <row r="33" spans="1:94" ht="13.2">
      <c r="A33" s="13"/>
      <c r="B33" s="224" t="s">
        <v>188</v>
      </c>
      <c r="C33" s="8" t="s">
        <v>24</v>
      </c>
      <c r="D33" s="8" t="s">
        <v>24</v>
      </c>
      <c r="E33" s="8" t="s">
        <v>7</v>
      </c>
      <c r="F33" s="8" t="s">
        <v>24</v>
      </c>
      <c r="G33" s="8" t="s">
        <v>24</v>
      </c>
      <c r="H33" s="8" t="s">
        <v>24</v>
      </c>
      <c r="I33" s="8" t="s">
        <v>4</v>
      </c>
      <c r="J33" s="8" t="s">
        <v>7</v>
      </c>
      <c r="K33" s="8" t="s">
        <v>24</v>
      </c>
      <c r="L33" s="8" t="s">
        <v>24</v>
      </c>
      <c r="M33" s="8" t="s">
        <v>24</v>
      </c>
      <c r="N33" s="8"/>
      <c r="O33" s="8" t="s">
        <v>8</v>
      </c>
      <c r="P33" s="8"/>
      <c r="Q33" s="8"/>
      <c r="R33" s="8" t="s">
        <v>9</v>
      </c>
      <c r="S33" s="8"/>
      <c r="T33" s="8"/>
      <c r="U33" s="8" t="s">
        <v>24</v>
      </c>
      <c r="V33" s="8"/>
      <c r="W33" s="8" t="s">
        <v>24</v>
      </c>
      <c r="X33" s="8" t="s">
        <v>24</v>
      </c>
      <c r="Y33" s="8"/>
      <c r="Z33" s="8" t="s">
        <v>24</v>
      </c>
      <c r="AA33" s="8"/>
      <c r="AB33" s="8"/>
      <c r="AC33" s="8" t="s">
        <v>6</v>
      </c>
      <c r="AD33" s="8" t="s">
        <v>24</v>
      </c>
      <c r="AE33" s="8"/>
      <c r="AF33" s="8" t="s">
        <v>5</v>
      </c>
      <c r="AG33" s="8" t="s">
        <v>24</v>
      </c>
      <c r="AH33" s="8" t="s">
        <v>235</v>
      </c>
      <c r="AI33" s="8" t="s">
        <v>24</v>
      </c>
      <c r="AJ33" s="8"/>
      <c r="AK33" s="8" t="s">
        <v>24</v>
      </c>
      <c r="AL33" s="8"/>
      <c r="AM33" s="8" t="s">
        <v>5</v>
      </c>
      <c r="AN33" s="8" t="s">
        <v>24</v>
      </c>
      <c r="AO33" s="8" t="s">
        <v>24</v>
      </c>
      <c r="AP33" s="8" t="s">
        <v>24</v>
      </c>
      <c r="AQ33" s="8" t="s">
        <v>24</v>
      </c>
      <c r="AR33" s="8" t="s">
        <v>24</v>
      </c>
      <c r="AS33" s="8"/>
      <c r="AT33" s="267" t="s">
        <v>1</v>
      </c>
      <c r="AU33" s="8" t="s">
        <v>24</v>
      </c>
      <c r="AV33" s="275" t="s">
        <v>119</v>
      </c>
      <c r="AW33" s="8"/>
      <c r="AX33" s="8"/>
      <c r="AY33" s="8" t="s">
        <v>1</v>
      </c>
      <c r="AZ33" s="8"/>
      <c r="BA33" s="8"/>
      <c r="BB33" s="8" t="s">
        <v>4</v>
      </c>
      <c r="BC33" s="8"/>
      <c r="BD33" s="8"/>
      <c r="BE33" s="8" t="s">
        <v>24</v>
      </c>
      <c r="BF33" s="8" t="s">
        <v>8</v>
      </c>
      <c r="BG33" s="8"/>
      <c r="BH33" s="8" t="s">
        <v>119</v>
      </c>
      <c r="BI33" s="8" t="s">
        <v>41</v>
      </c>
      <c r="BJ33" s="8" t="s">
        <v>3</v>
      </c>
      <c r="BK33" s="8" t="s">
        <v>119</v>
      </c>
      <c r="BL33" s="8" t="s">
        <v>24</v>
      </c>
      <c r="BM33" s="8" t="s">
        <v>8</v>
      </c>
      <c r="BN33" s="8" t="s">
        <v>24</v>
      </c>
      <c r="BO33" s="8" t="s">
        <v>24</v>
      </c>
      <c r="BP33" s="8" t="s">
        <v>24</v>
      </c>
      <c r="BQ33" s="8" t="s">
        <v>24</v>
      </c>
      <c r="BR33" s="8" t="s">
        <v>24</v>
      </c>
      <c r="BS33" s="8" t="s">
        <v>24</v>
      </c>
      <c r="BT33" s="8" t="s">
        <v>24</v>
      </c>
      <c r="BU33" s="8"/>
      <c r="BV33" s="8" t="s">
        <v>24</v>
      </c>
      <c r="BW33" s="8" t="s">
        <v>6</v>
      </c>
      <c r="BX33" s="8" t="s">
        <v>6</v>
      </c>
      <c r="BY33" s="8" t="s">
        <v>119</v>
      </c>
      <c r="BZ33" s="8"/>
      <c r="CA33" s="8"/>
      <c r="CB33" s="8"/>
      <c r="CC33" s="8"/>
      <c r="CD33" s="8"/>
      <c r="CE33" s="8"/>
      <c r="CF33" s="8"/>
      <c r="CG33" s="8"/>
      <c r="CH33" s="8"/>
      <c r="CI33" s="8"/>
      <c r="CJ33" s="8"/>
      <c r="CK33" s="8"/>
      <c r="CL33" s="8"/>
      <c r="CM33" s="8"/>
      <c r="CN33" s="8"/>
      <c r="CO33" s="8"/>
      <c r="CP33" s="8"/>
    </row>
    <row r="34" spans="1:94" ht="13.2">
      <c r="A34" s="13" t="s">
        <v>234</v>
      </c>
      <c r="B34" s="224" t="s">
        <v>438</v>
      </c>
      <c r="C34" s="8" t="s">
        <v>41</v>
      </c>
      <c r="D34" s="8" t="s">
        <v>3</v>
      </c>
      <c r="E34" s="8" t="s">
        <v>24</v>
      </c>
      <c r="F34" s="8"/>
      <c r="G34" s="8" t="s">
        <v>6</v>
      </c>
      <c r="H34" s="8" t="s">
        <v>8</v>
      </c>
      <c r="I34" s="8" t="s">
        <v>11</v>
      </c>
      <c r="J34" s="8" t="s">
        <v>41</v>
      </c>
      <c r="K34" s="8" t="s">
        <v>24</v>
      </c>
      <c r="L34" s="8" t="s">
        <v>7</v>
      </c>
      <c r="M34" s="8"/>
      <c r="N34" s="8"/>
      <c r="O34" s="8" t="s">
        <v>24</v>
      </c>
      <c r="P34" s="8" t="s">
        <v>4</v>
      </c>
      <c r="Q34" s="8"/>
      <c r="R34" s="8" t="s">
        <v>235</v>
      </c>
      <c r="S34" s="8"/>
      <c r="T34" s="8"/>
      <c r="U34" s="8" t="s">
        <v>24</v>
      </c>
      <c r="V34" s="8" t="s">
        <v>24</v>
      </c>
      <c r="W34" s="8"/>
      <c r="X34" s="8"/>
      <c r="Y34" s="8" t="s">
        <v>11</v>
      </c>
      <c r="Z34" s="8"/>
      <c r="AA34" s="8"/>
      <c r="AB34" s="8" t="s">
        <v>24</v>
      </c>
      <c r="AC34" s="8" t="s">
        <v>24</v>
      </c>
      <c r="AD34" s="8" t="s">
        <v>24</v>
      </c>
      <c r="AE34" s="8" t="s">
        <v>5</v>
      </c>
      <c r="AF34" s="8" t="s">
        <v>1</v>
      </c>
      <c r="AG34" s="8" t="s">
        <v>24</v>
      </c>
      <c r="AH34" s="8" t="s">
        <v>24</v>
      </c>
      <c r="AI34" s="8" t="s">
        <v>24</v>
      </c>
      <c r="AJ34" s="8"/>
      <c r="AK34" s="8"/>
      <c r="AL34" s="8"/>
      <c r="AM34" s="8" t="s">
        <v>5</v>
      </c>
      <c r="AN34" s="8" t="s">
        <v>1</v>
      </c>
      <c r="AO34" s="8"/>
      <c r="AP34" s="8" t="s">
        <v>24</v>
      </c>
      <c r="AQ34" s="8" t="s">
        <v>5</v>
      </c>
      <c r="AR34" s="8" t="s">
        <v>24</v>
      </c>
      <c r="AS34" s="8"/>
      <c r="AT34" s="8"/>
      <c r="AU34" s="8" t="s">
        <v>24</v>
      </c>
      <c r="AV34" s="275" t="s">
        <v>119</v>
      </c>
      <c r="AW34" s="8"/>
      <c r="AX34" s="8"/>
      <c r="AY34" s="8" t="s">
        <v>24</v>
      </c>
      <c r="AZ34" s="8"/>
      <c r="BA34" s="8"/>
      <c r="BB34" s="8" t="s">
        <v>24</v>
      </c>
      <c r="BC34" s="8"/>
      <c r="BD34" s="8" t="s">
        <v>24</v>
      </c>
      <c r="BE34" s="8" t="s">
        <v>8</v>
      </c>
      <c r="BF34" s="8"/>
      <c r="BG34" s="8"/>
      <c r="BH34" s="8" t="s">
        <v>119</v>
      </c>
      <c r="BI34" s="8" t="s">
        <v>24</v>
      </c>
      <c r="BJ34" s="8" t="s">
        <v>24</v>
      </c>
      <c r="BK34" s="8" t="s">
        <v>119</v>
      </c>
      <c r="BL34" s="8" t="s">
        <v>24</v>
      </c>
      <c r="BM34" s="8" t="s">
        <v>24</v>
      </c>
      <c r="BN34" s="8"/>
      <c r="BO34" s="8"/>
      <c r="BP34" s="8" t="s">
        <v>119</v>
      </c>
      <c r="BQ34" s="8"/>
      <c r="BR34" s="8" t="s">
        <v>119</v>
      </c>
      <c r="BS34" s="8"/>
      <c r="BT34" s="8"/>
      <c r="BU34" s="8"/>
      <c r="BV34" s="8"/>
      <c r="BW34" s="8"/>
      <c r="BX34" s="8" t="s">
        <v>6</v>
      </c>
      <c r="BY34" s="8" t="s">
        <v>119</v>
      </c>
      <c r="BZ34" s="8"/>
      <c r="CA34" s="8"/>
      <c r="CB34" s="8"/>
      <c r="CC34" s="8"/>
      <c r="CD34" s="8"/>
      <c r="CE34" s="8"/>
      <c r="CF34" s="8"/>
      <c r="CG34" s="8"/>
      <c r="CH34" s="8"/>
      <c r="CI34" s="8"/>
      <c r="CJ34" s="8"/>
      <c r="CK34" s="8"/>
      <c r="CL34" s="8"/>
      <c r="CM34" s="8"/>
      <c r="CN34" s="8"/>
      <c r="CO34" s="8"/>
      <c r="CP34" s="8"/>
    </row>
    <row r="35" spans="1:94" ht="13.2">
      <c r="A35" s="13"/>
      <c r="B35" s="224" t="s">
        <v>439</v>
      </c>
      <c r="C35" s="8"/>
      <c r="D35" s="8" t="s">
        <v>3</v>
      </c>
      <c r="E35" s="8" t="s">
        <v>1</v>
      </c>
      <c r="F35" s="8"/>
      <c r="G35" s="8"/>
      <c r="H35" s="8" t="s">
        <v>8</v>
      </c>
      <c r="I35" s="8"/>
      <c r="J35" s="8" t="s">
        <v>5</v>
      </c>
      <c r="K35" s="8" t="s">
        <v>24</v>
      </c>
      <c r="L35" s="8"/>
      <c r="M35" s="8"/>
      <c r="N35" s="8"/>
      <c r="O35" s="8" t="s">
        <v>4</v>
      </c>
      <c r="P35" s="8" t="s">
        <v>11</v>
      </c>
      <c r="Q35" s="8"/>
      <c r="R35" s="8" t="s">
        <v>9</v>
      </c>
      <c r="S35" s="8"/>
      <c r="T35" s="8"/>
      <c r="U35" s="8" t="s">
        <v>3</v>
      </c>
      <c r="V35" s="8"/>
      <c r="W35" s="8" t="s">
        <v>8</v>
      </c>
      <c r="X35" s="8"/>
      <c r="Y35" s="8"/>
      <c r="Z35" s="8" t="s">
        <v>41</v>
      </c>
      <c r="AA35" s="8"/>
      <c r="AB35" s="8" t="s">
        <v>24</v>
      </c>
      <c r="AC35" s="8" t="s">
        <v>3</v>
      </c>
      <c r="AD35" s="8"/>
      <c r="AE35" s="8"/>
      <c r="AF35" s="8" t="s">
        <v>11</v>
      </c>
      <c r="AG35" s="8" t="s">
        <v>24</v>
      </c>
      <c r="AH35" s="8" t="s">
        <v>24</v>
      </c>
      <c r="AI35" s="8" t="s">
        <v>3</v>
      </c>
      <c r="AJ35" s="8"/>
      <c r="AK35" s="8" t="s">
        <v>10</v>
      </c>
      <c r="AL35" s="8"/>
      <c r="AM35" s="8" t="s">
        <v>4</v>
      </c>
      <c r="AN35" s="8" t="s">
        <v>4</v>
      </c>
      <c r="AO35" s="8"/>
      <c r="AP35" s="8" t="s">
        <v>3</v>
      </c>
      <c r="AQ35" s="8" t="s">
        <v>235</v>
      </c>
      <c r="AR35" s="8" t="s">
        <v>235</v>
      </c>
      <c r="AS35" s="8"/>
      <c r="AT35" s="8" t="s">
        <v>7</v>
      </c>
      <c r="AU35" s="8"/>
      <c r="AV35" s="275" t="s">
        <v>119</v>
      </c>
      <c r="AW35" s="8"/>
      <c r="AX35" s="8"/>
      <c r="AY35" s="8" t="s">
        <v>1</v>
      </c>
      <c r="AZ35" s="8"/>
      <c r="BA35" s="8"/>
      <c r="BB35" s="8" t="s">
        <v>4</v>
      </c>
      <c r="BC35" s="8" t="s">
        <v>5</v>
      </c>
      <c r="BD35" s="8" t="s">
        <v>7</v>
      </c>
      <c r="BE35" s="8"/>
      <c r="BF35" s="8" t="s">
        <v>8</v>
      </c>
      <c r="BG35" s="8"/>
      <c r="BH35" s="8" t="s">
        <v>119</v>
      </c>
      <c r="BI35" s="8" t="s">
        <v>3</v>
      </c>
      <c r="BJ35" s="8" t="s">
        <v>235</v>
      </c>
      <c r="BK35" s="8" t="s">
        <v>119</v>
      </c>
      <c r="BL35" s="8" t="s">
        <v>24</v>
      </c>
      <c r="BM35" s="8" t="s">
        <v>4</v>
      </c>
      <c r="BN35" s="8" t="s">
        <v>39</v>
      </c>
      <c r="BO35" s="8" t="s">
        <v>0</v>
      </c>
      <c r="BP35" s="8" t="s">
        <v>119</v>
      </c>
      <c r="BQ35" s="8" t="s">
        <v>41</v>
      </c>
      <c r="BR35" s="8" t="s">
        <v>119</v>
      </c>
      <c r="BS35" s="8"/>
      <c r="BT35" s="8" t="s">
        <v>4</v>
      </c>
      <c r="BU35" s="8" t="s">
        <v>24</v>
      </c>
      <c r="BV35" s="8" t="s">
        <v>7</v>
      </c>
      <c r="BW35" s="8" t="s">
        <v>6</v>
      </c>
      <c r="BX35" s="8" t="s">
        <v>7</v>
      </c>
      <c r="BY35" s="8" t="s">
        <v>119</v>
      </c>
      <c r="BZ35" s="8" t="s">
        <v>41</v>
      </c>
      <c r="CA35" s="8"/>
      <c r="CB35" s="8"/>
      <c r="CC35" s="8"/>
      <c r="CD35" s="8"/>
      <c r="CE35" s="8"/>
      <c r="CF35" s="8"/>
      <c r="CG35" s="8"/>
      <c r="CH35" s="8"/>
      <c r="CI35" s="8"/>
      <c r="CJ35" s="8"/>
      <c r="CK35" s="8"/>
      <c r="CL35" s="8"/>
      <c r="CM35" s="8"/>
      <c r="CN35" s="8"/>
      <c r="CO35" s="8"/>
      <c r="CP35" s="8"/>
    </row>
    <row r="36" spans="1:94" ht="13.2">
      <c r="A36" s="13"/>
      <c r="B36" s="224" t="s">
        <v>440</v>
      </c>
      <c r="C36" s="9" t="s">
        <v>24</v>
      </c>
      <c r="D36" s="8" t="s">
        <v>24</v>
      </c>
      <c r="E36" s="9" t="s">
        <v>24</v>
      </c>
      <c r="F36" s="8" t="s">
        <v>24</v>
      </c>
      <c r="G36" s="8" t="s">
        <v>24</v>
      </c>
      <c r="H36" s="8" t="s">
        <v>24</v>
      </c>
      <c r="I36" s="8" t="s">
        <v>24</v>
      </c>
      <c r="J36" s="8" t="s">
        <v>24</v>
      </c>
      <c r="K36" s="8" t="s">
        <v>24</v>
      </c>
      <c r="L36" s="8" t="s">
        <v>1</v>
      </c>
      <c r="M36" s="8" t="s">
        <v>24</v>
      </c>
      <c r="N36" s="8" t="s">
        <v>24</v>
      </c>
      <c r="O36" s="8" t="s">
        <v>41</v>
      </c>
      <c r="P36" s="8" t="s">
        <v>24</v>
      </c>
      <c r="Q36" s="8"/>
      <c r="R36" s="8" t="s">
        <v>24</v>
      </c>
      <c r="S36" s="8"/>
      <c r="T36" s="8" t="s">
        <v>24</v>
      </c>
      <c r="U36" s="8" t="s">
        <v>24</v>
      </c>
      <c r="V36" s="8" t="s">
        <v>24</v>
      </c>
      <c r="W36" s="8" t="s">
        <v>24</v>
      </c>
      <c r="X36" s="8" t="s">
        <v>1</v>
      </c>
      <c r="Y36" s="8" t="s">
        <v>24</v>
      </c>
      <c r="Z36" s="8" t="s">
        <v>24</v>
      </c>
      <c r="AA36" s="8" t="s">
        <v>24</v>
      </c>
      <c r="AB36" s="8" t="s">
        <v>24</v>
      </c>
      <c r="AC36" s="8" t="s">
        <v>24</v>
      </c>
      <c r="AD36" s="8" t="s">
        <v>7</v>
      </c>
      <c r="AE36" s="8" t="s">
        <v>24</v>
      </c>
      <c r="AF36" s="8" t="s">
        <v>24</v>
      </c>
      <c r="AG36" s="8" t="s">
        <v>24</v>
      </c>
      <c r="AH36" s="8" t="s">
        <v>24</v>
      </c>
      <c r="AI36" s="8" t="s">
        <v>24</v>
      </c>
      <c r="AJ36" s="8" t="s">
        <v>7</v>
      </c>
      <c r="AK36" s="8" t="s">
        <v>24</v>
      </c>
      <c r="AL36" s="8"/>
      <c r="AM36" s="8" t="s">
        <v>24</v>
      </c>
      <c r="AN36" s="8" t="s">
        <v>24</v>
      </c>
      <c r="AO36" s="8" t="s">
        <v>24</v>
      </c>
      <c r="AP36" s="8" t="s">
        <v>24</v>
      </c>
      <c r="AQ36" s="8" t="s">
        <v>10</v>
      </c>
      <c r="AR36" s="8" t="s">
        <v>24</v>
      </c>
      <c r="AS36" s="8"/>
      <c r="AT36" s="8"/>
      <c r="AU36" s="8" t="s">
        <v>24</v>
      </c>
      <c r="AV36" s="275" t="s">
        <v>119</v>
      </c>
      <c r="AW36" s="8"/>
      <c r="AX36" s="8"/>
      <c r="AY36" s="8" t="s">
        <v>24</v>
      </c>
      <c r="AZ36" s="8"/>
      <c r="BA36" s="8"/>
      <c r="BB36" s="8" t="s">
        <v>24</v>
      </c>
      <c r="BC36" s="8" t="s">
        <v>24</v>
      </c>
      <c r="BD36" s="8" t="s">
        <v>5</v>
      </c>
      <c r="BE36" s="8" t="s">
        <v>24</v>
      </c>
      <c r="BF36" s="8" t="s">
        <v>24</v>
      </c>
      <c r="BG36" s="8" t="s">
        <v>24</v>
      </c>
      <c r="BH36" s="8" t="s">
        <v>119</v>
      </c>
      <c r="BI36" s="8" t="s">
        <v>24</v>
      </c>
      <c r="BJ36" s="8" t="s">
        <v>24</v>
      </c>
      <c r="BK36" s="8" t="s">
        <v>119</v>
      </c>
      <c r="BL36" s="8" t="s">
        <v>4</v>
      </c>
      <c r="BM36" s="8" t="s">
        <v>24</v>
      </c>
      <c r="BN36" s="8" t="s">
        <v>24</v>
      </c>
      <c r="BO36" s="8" t="s">
        <v>24</v>
      </c>
      <c r="BP36" s="8" t="s">
        <v>24</v>
      </c>
      <c r="BQ36" s="8" t="s">
        <v>24</v>
      </c>
      <c r="BR36" s="8" t="s">
        <v>24</v>
      </c>
      <c r="BS36" s="8" t="s">
        <v>24</v>
      </c>
      <c r="BT36" s="8" t="s">
        <v>24</v>
      </c>
      <c r="BU36" s="8" t="s">
        <v>24</v>
      </c>
      <c r="BV36" s="8" t="s">
        <v>24</v>
      </c>
      <c r="BW36" s="8" t="s">
        <v>24</v>
      </c>
      <c r="BX36" s="8" t="s">
        <v>24</v>
      </c>
      <c r="BY36" s="8" t="s">
        <v>24</v>
      </c>
      <c r="BZ36" s="8" t="s">
        <v>24</v>
      </c>
      <c r="CA36" s="8"/>
      <c r="CB36" s="8"/>
      <c r="CC36" s="8"/>
      <c r="CD36" s="8"/>
      <c r="CE36" s="8"/>
      <c r="CF36" s="8"/>
      <c r="CG36" s="8"/>
      <c r="CH36" s="8"/>
      <c r="CI36" s="8"/>
      <c r="CJ36" s="8"/>
      <c r="CK36" s="8"/>
      <c r="CL36" s="8"/>
      <c r="CM36" s="8"/>
      <c r="CN36" s="8"/>
      <c r="CO36" s="8"/>
      <c r="CP36" s="8"/>
    </row>
    <row r="37" spans="1:94" ht="13.2">
      <c r="A37" s="13"/>
      <c r="B37" s="224" t="s">
        <v>441</v>
      </c>
      <c r="C37" s="140" t="s">
        <v>235</v>
      </c>
      <c r="D37" s="8" t="s">
        <v>24</v>
      </c>
      <c r="E37" s="140"/>
      <c r="F37" s="8"/>
      <c r="G37" s="8" t="s">
        <v>24</v>
      </c>
      <c r="H37" s="8" t="s">
        <v>24</v>
      </c>
      <c r="I37" s="8"/>
      <c r="J37" s="8" t="s">
        <v>1</v>
      </c>
      <c r="K37" s="8" t="s">
        <v>24</v>
      </c>
      <c r="L37" s="8" t="s">
        <v>7</v>
      </c>
      <c r="M37" s="8" t="s">
        <v>24</v>
      </c>
      <c r="N37" s="8" t="s">
        <v>24</v>
      </c>
      <c r="O37" s="8" t="s">
        <v>24</v>
      </c>
      <c r="P37" s="8" t="s">
        <v>24</v>
      </c>
      <c r="Q37" s="8"/>
      <c r="R37" s="8" t="s">
        <v>24</v>
      </c>
      <c r="S37" s="8"/>
      <c r="T37" s="8" t="s">
        <v>24</v>
      </c>
      <c r="U37" s="8" t="s">
        <v>24</v>
      </c>
      <c r="V37" s="8"/>
      <c r="W37" s="8" t="s">
        <v>24</v>
      </c>
      <c r="X37" s="8" t="s">
        <v>24</v>
      </c>
      <c r="Y37" s="8" t="s">
        <v>24</v>
      </c>
      <c r="Z37" s="8" t="s">
        <v>24</v>
      </c>
      <c r="AA37" s="8" t="s">
        <v>24</v>
      </c>
      <c r="AB37" s="8" t="s">
        <v>24</v>
      </c>
      <c r="AC37" s="8" t="s">
        <v>24</v>
      </c>
      <c r="AD37" s="8" t="s">
        <v>24</v>
      </c>
      <c r="AE37" s="8"/>
      <c r="AF37" s="8" t="s">
        <v>24</v>
      </c>
      <c r="AG37" s="8" t="s">
        <v>24</v>
      </c>
      <c r="AH37" s="8" t="s">
        <v>10</v>
      </c>
      <c r="AI37" s="8" t="s">
        <v>24</v>
      </c>
      <c r="AJ37" s="8"/>
      <c r="AK37" s="8"/>
      <c r="AL37" s="8"/>
      <c r="AM37" s="8" t="s">
        <v>24</v>
      </c>
      <c r="AN37" s="8" t="s">
        <v>24</v>
      </c>
      <c r="AO37" s="8"/>
      <c r="AP37" s="8" t="s">
        <v>24</v>
      </c>
      <c r="AQ37" s="8"/>
      <c r="AR37" s="8" t="s">
        <v>5</v>
      </c>
      <c r="AS37" s="8"/>
      <c r="AT37" s="8" t="s">
        <v>24</v>
      </c>
      <c r="AU37" s="8"/>
      <c r="AV37" s="275" t="s">
        <v>119</v>
      </c>
      <c r="AW37" s="8"/>
      <c r="AX37" s="8"/>
      <c r="AY37" s="8" t="s">
        <v>4</v>
      </c>
      <c r="AZ37" s="8"/>
      <c r="BA37" s="8"/>
      <c r="BB37" s="8" t="s">
        <v>24</v>
      </c>
      <c r="BC37" s="8"/>
      <c r="BD37" s="8" t="s">
        <v>24</v>
      </c>
      <c r="BE37" s="8" t="s">
        <v>24</v>
      </c>
      <c r="BF37" s="8" t="s">
        <v>24</v>
      </c>
      <c r="BG37" s="8"/>
      <c r="BH37" s="8" t="s">
        <v>119</v>
      </c>
      <c r="BI37" s="8" t="s">
        <v>24</v>
      </c>
      <c r="BJ37" s="8" t="s">
        <v>24</v>
      </c>
      <c r="BK37" s="8" t="s">
        <v>119</v>
      </c>
      <c r="BL37" s="8"/>
      <c r="BM37" s="8" t="s">
        <v>24</v>
      </c>
      <c r="BN37" s="8" t="s">
        <v>24</v>
      </c>
      <c r="BO37" s="8" t="s">
        <v>24</v>
      </c>
      <c r="BP37" s="8" t="s">
        <v>24</v>
      </c>
      <c r="BQ37" s="8" t="s">
        <v>41</v>
      </c>
      <c r="BR37" s="8" t="s">
        <v>24</v>
      </c>
      <c r="BS37" s="8" t="s">
        <v>24</v>
      </c>
      <c r="BT37" s="8"/>
      <c r="BU37" s="8" t="s">
        <v>24</v>
      </c>
      <c r="BV37" s="8" t="s">
        <v>7</v>
      </c>
      <c r="BW37" s="8"/>
      <c r="BX37" s="8" t="s">
        <v>24</v>
      </c>
      <c r="BY37" s="8" t="s">
        <v>119</v>
      </c>
      <c r="BZ37" s="8" t="s">
        <v>4</v>
      </c>
      <c r="CA37" s="8"/>
      <c r="CB37" s="8"/>
      <c r="CC37" s="8"/>
      <c r="CD37" s="8"/>
      <c r="CE37" s="8"/>
      <c r="CF37" s="8"/>
      <c r="CG37" s="8"/>
      <c r="CH37" s="8"/>
      <c r="CI37" s="8"/>
      <c r="CJ37" s="8"/>
      <c r="CK37" s="8"/>
      <c r="CL37" s="8"/>
      <c r="CM37" s="8"/>
      <c r="CN37" s="8"/>
      <c r="CO37" s="8"/>
      <c r="CP37" s="8"/>
    </row>
    <row r="38" spans="1:94" ht="13.2">
      <c r="A38" s="13"/>
      <c r="B38" s="224" t="s">
        <v>442</v>
      </c>
      <c r="C38" s="140"/>
      <c r="D38" s="8"/>
      <c r="E38" s="140"/>
      <c r="F38" s="8"/>
      <c r="G38" s="8"/>
      <c r="H38" s="8"/>
      <c r="I38" s="8"/>
      <c r="J38" s="8" t="s">
        <v>24</v>
      </c>
      <c r="K38" s="8"/>
      <c r="L38" s="8" t="s">
        <v>24</v>
      </c>
      <c r="M38" s="8"/>
      <c r="N38" s="8" t="s">
        <v>24</v>
      </c>
      <c r="O38" s="8" t="s">
        <v>7</v>
      </c>
      <c r="P38" s="8" t="s">
        <v>11</v>
      </c>
      <c r="Q38" s="8"/>
      <c r="R38" s="8"/>
      <c r="S38" s="8"/>
      <c r="T38" s="8"/>
      <c r="U38" s="8" t="s">
        <v>3</v>
      </c>
      <c r="V38" s="8"/>
      <c r="W38" s="8"/>
      <c r="X38" s="8"/>
      <c r="Y38" s="8" t="s">
        <v>24</v>
      </c>
      <c r="Z38" s="8" t="s">
        <v>11</v>
      </c>
      <c r="AA38" s="8"/>
      <c r="AB38" s="8"/>
      <c r="AC38" s="8"/>
      <c r="AD38" s="8"/>
      <c r="AE38" s="8"/>
      <c r="AF38" s="8" t="s">
        <v>5</v>
      </c>
      <c r="AG38" s="8"/>
      <c r="AH38" s="8" t="s">
        <v>24</v>
      </c>
      <c r="AI38" s="8" t="s">
        <v>3</v>
      </c>
      <c r="AJ38" s="8"/>
      <c r="AK38" s="8"/>
      <c r="AL38" s="8"/>
      <c r="AM38" s="8" t="s">
        <v>11</v>
      </c>
      <c r="AN38" s="8" t="s">
        <v>24</v>
      </c>
      <c r="AO38" s="8"/>
      <c r="AP38" s="8" t="s">
        <v>8</v>
      </c>
      <c r="AQ38" s="8" t="s">
        <v>11</v>
      </c>
      <c r="AR38" s="8" t="s">
        <v>11</v>
      </c>
      <c r="AS38" s="8"/>
      <c r="AT38" s="8" t="s">
        <v>7</v>
      </c>
      <c r="AU38" s="8" t="s">
        <v>24</v>
      </c>
      <c r="AV38" s="275" t="s">
        <v>119</v>
      </c>
      <c r="AW38" s="8"/>
      <c r="AX38" s="8"/>
      <c r="AY38" s="8" t="s">
        <v>5</v>
      </c>
      <c r="AZ38" s="8"/>
      <c r="BA38" s="8"/>
      <c r="BB38" s="8" t="s">
        <v>24</v>
      </c>
      <c r="BC38" s="8" t="s">
        <v>41</v>
      </c>
      <c r="BD38" s="8"/>
      <c r="BE38" s="8" t="s">
        <v>24</v>
      </c>
      <c r="BF38" s="8" t="s">
        <v>24</v>
      </c>
      <c r="BG38" s="8" t="s">
        <v>24</v>
      </c>
      <c r="BH38" s="8" t="s">
        <v>119</v>
      </c>
      <c r="BI38" s="8"/>
      <c r="BJ38" s="8" t="s">
        <v>3</v>
      </c>
      <c r="BK38" s="8" t="s">
        <v>119</v>
      </c>
      <c r="BL38" s="286" t="s">
        <v>1</v>
      </c>
      <c r="BM38" s="8" t="s">
        <v>8</v>
      </c>
      <c r="BN38" s="8"/>
      <c r="BO38" s="8"/>
      <c r="BP38" s="8" t="s">
        <v>119</v>
      </c>
      <c r="BQ38" s="8" t="s">
        <v>24</v>
      </c>
      <c r="BR38" s="8" t="s">
        <v>119</v>
      </c>
      <c r="BS38" s="8"/>
      <c r="BT38" s="8" t="s">
        <v>24</v>
      </c>
      <c r="BU38" s="8"/>
      <c r="BV38" s="8" t="s">
        <v>41</v>
      </c>
      <c r="BW38" s="8"/>
      <c r="BX38" s="8" t="s">
        <v>7</v>
      </c>
      <c r="BY38" s="8" t="s">
        <v>24</v>
      </c>
      <c r="BZ38" s="8" t="s">
        <v>4</v>
      </c>
      <c r="CA38" s="8"/>
      <c r="CB38" s="8"/>
      <c r="CC38" s="8"/>
      <c r="CD38" s="8"/>
      <c r="CE38" s="8"/>
      <c r="CF38" s="8"/>
      <c r="CG38" s="8"/>
      <c r="CH38" s="8"/>
      <c r="CI38" s="8"/>
      <c r="CJ38" s="8"/>
      <c r="CK38" s="8"/>
      <c r="CL38" s="8"/>
      <c r="CM38" s="8"/>
      <c r="CN38" s="8"/>
      <c r="CO38" s="8"/>
      <c r="CP38" s="8"/>
    </row>
    <row r="39" spans="1:94" ht="13.2">
      <c r="A39" s="13"/>
      <c r="B39" s="234"/>
      <c r="C39" s="8" t="s">
        <v>24</v>
      </c>
      <c r="D39" s="8" t="s">
        <v>0</v>
      </c>
      <c r="E39" s="8" t="s">
        <v>2</v>
      </c>
      <c r="F39" s="8"/>
      <c r="G39" s="8" t="s">
        <v>6</v>
      </c>
      <c r="H39" s="8" t="s">
        <v>24</v>
      </c>
      <c r="I39" s="8"/>
      <c r="J39" s="8" t="s">
        <v>24</v>
      </c>
      <c r="K39" s="8"/>
      <c r="L39" s="8"/>
      <c r="M39" s="8"/>
      <c r="N39" s="8"/>
      <c r="O39" s="8"/>
      <c r="P39" s="8"/>
      <c r="Q39" s="8"/>
      <c r="R39" s="8"/>
      <c r="S39" s="8"/>
      <c r="T39" s="8"/>
      <c r="U39" s="8" t="s">
        <v>6</v>
      </c>
      <c r="V39" s="8" t="s">
        <v>24</v>
      </c>
      <c r="W39" s="8"/>
      <c r="X39" s="8"/>
      <c r="Y39" s="8"/>
      <c r="Z39" s="8"/>
      <c r="AA39" s="8" t="s">
        <v>24</v>
      </c>
      <c r="AB39" s="8"/>
      <c r="AC39" s="8" t="s">
        <v>6</v>
      </c>
      <c r="AD39" s="8"/>
      <c r="AE39" s="8"/>
      <c r="AF39" s="8"/>
      <c r="AG39" s="8"/>
      <c r="AH39" s="8" t="s">
        <v>24</v>
      </c>
      <c r="AI39" s="8"/>
      <c r="AJ39" s="8" t="s">
        <v>24</v>
      </c>
      <c r="AK39" s="8" t="s">
        <v>24</v>
      </c>
      <c r="AL39" s="8"/>
      <c r="AM39" s="8" t="s">
        <v>24</v>
      </c>
      <c r="AN39" s="8" t="s">
        <v>24</v>
      </c>
      <c r="AO39" s="8"/>
      <c r="AP39" s="8" t="s">
        <v>8</v>
      </c>
      <c r="AQ39" s="8"/>
      <c r="AR39" s="8" t="s">
        <v>24</v>
      </c>
      <c r="AS39" s="8"/>
      <c r="AT39" s="8" t="s">
        <v>7</v>
      </c>
      <c r="AU39" s="8" t="s">
        <v>24</v>
      </c>
      <c r="AV39" s="275" t="s">
        <v>119</v>
      </c>
      <c r="AW39" s="8"/>
      <c r="AX39" s="8"/>
      <c r="AY39" s="8"/>
      <c r="AZ39" s="8"/>
      <c r="BA39" s="8"/>
      <c r="BB39" s="8"/>
      <c r="BC39" s="8"/>
      <c r="BD39" s="8"/>
      <c r="BE39" s="8"/>
      <c r="BF39" s="8"/>
      <c r="BG39" s="8" t="s">
        <v>24</v>
      </c>
      <c r="BH39" s="8" t="s">
        <v>119</v>
      </c>
      <c r="BI39" s="8"/>
      <c r="BJ39" s="8"/>
      <c r="BK39" s="8" t="s">
        <v>119</v>
      </c>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row>
    <row r="40" spans="1:94" ht="13.2">
      <c r="A40" s="13"/>
      <c r="B40" s="234"/>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275" t="s">
        <v>119</v>
      </c>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row>
    <row r="41" spans="1:94" ht="13.2">
      <c r="A41" s="13"/>
      <c r="B41" s="234"/>
      <c r="C41" s="8" t="s">
        <v>24</v>
      </c>
      <c r="D41" s="8" t="s">
        <v>24</v>
      </c>
      <c r="E41" s="8" t="s">
        <v>24</v>
      </c>
      <c r="F41" s="8" t="s">
        <v>24</v>
      </c>
      <c r="G41" s="8"/>
      <c r="H41" s="8" t="s">
        <v>24</v>
      </c>
      <c r="I41" s="8" t="s">
        <v>24</v>
      </c>
      <c r="J41" s="8"/>
      <c r="K41" s="8"/>
      <c r="L41" s="8" t="s">
        <v>24</v>
      </c>
      <c r="M41" s="8"/>
      <c r="N41" s="8" t="s">
        <v>24</v>
      </c>
      <c r="O41" s="8" t="s">
        <v>24</v>
      </c>
      <c r="P41" s="8" t="s">
        <v>24</v>
      </c>
      <c r="Q41" s="8"/>
      <c r="R41" s="8"/>
      <c r="S41" s="8"/>
      <c r="T41" s="8"/>
      <c r="U41" s="8"/>
      <c r="V41" s="8" t="s">
        <v>24</v>
      </c>
      <c r="W41" s="8"/>
      <c r="X41" s="8"/>
      <c r="Y41" s="8"/>
      <c r="Z41" s="8"/>
      <c r="AA41" s="8" t="s">
        <v>24</v>
      </c>
      <c r="AB41" s="8"/>
      <c r="AC41" s="8"/>
      <c r="AD41" s="8" t="s">
        <v>24</v>
      </c>
      <c r="AE41" s="8"/>
      <c r="AF41" s="8"/>
      <c r="AG41" s="8"/>
      <c r="AH41" s="8"/>
      <c r="AI41" s="8"/>
      <c r="AJ41" s="8"/>
      <c r="AK41" s="8"/>
      <c r="AL41" s="8"/>
      <c r="AM41" s="8"/>
      <c r="AN41" s="8"/>
      <c r="AO41" s="8"/>
      <c r="AP41" s="8"/>
      <c r="AQ41" s="8"/>
      <c r="AR41" s="8"/>
      <c r="AS41" s="8"/>
      <c r="AT41" s="8"/>
      <c r="AU41" s="8"/>
      <c r="AV41" s="275" t="s">
        <v>119</v>
      </c>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row>
    <row r="42" spans="1:94" ht="17.100000000000001" customHeight="1">
      <c r="A42" s="13"/>
      <c r="B42" s="4" t="s">
        <v>148</v>
      </c>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row>
    <row r="43" spans="1:94" ht="15">
      <c r="A43" s="13"/>
      <c r="B43" s="8" t="s">
        <v>11</v>
      </c>
      <c r="C43" s="145">
        <f t="shared" ref="C43:C53" si="10">COUNTIF(C$19:C$41,$B43)</f>
        <v>2</v>
      </c>
      <c r="D43" s="145"/>
      <c r="E43" s="145">
        <f t="shared" ref="E43:E53" si="11">COUNTIF(E$19:E$41,$B43)</f>
        <v>0</v>
      </c>
      <c r="F43" s="145"/>
      <c r="G43" s="145"/>
      <c r="H43" s="145"/>
      <c r="I43" s="145"/>
      <c r="J43" s="145"/>
      <c r="K43" s="145"/>
      <c r="L43" s="145"/>
      <c r="M43" s="145">
        <f t="shared" ref="M43:M53" si="12">COUNTIF(M$19:M$41,$B43)</f>
        <v>0</v>
      </c>
      <c r="N43" s="145"/>
      <c r="O43" s="145"/>
      <c r="P43" s="145"/>
      <c r="Q43" s="145"/>
      <c r="R43" s="145"/>
      <c r="S43" s="145"/>
      <c r="T43" s="145"/>
      <c r="U43" s="145">
        <f t="shared" ref="U43:AD53" si="13">COUNTIF(U$19:U$41,$B43)</f>
        <v>0</v>
      </c>
      <c r="V43" s="145">
        <f t="shared" si="13"/>
        <v>0</v>
      </c>
      <c r="W43" s="145">
        <f t="shared" si="13"/>
        <v>0</v>
      </c>
      <c r="X43" s="145">
        <f t="shared" si="13"/>
        <v>0</v>
      </c>
      <c r="Y43" s="145">
        <f t="shared" si="13"/>
        <v>1</v>
      </c>
      <c r="Z43" s="145">
        <f t="shared" si="13"/>
        <v>1</v>
      </c>
      <c r="AA43" s="145">
        <f t="shared" si="13"/>
        <v>0</v>
      </c>
      <c r="AB43" s="145">
        <f t="shared" si="13"/>
        <v>0</v>
      </c>
      <c r="AC43" s="145">
        <f t="shared" si="13"/>
        <v>0</v>
      </c>
      <c r="AD43" s="145">
        <f t="shared" si="13"/>
        <v>0</v>
      </c>
      <c r="AE43" s="145">
        <f t="shared" ref="AE43:AV53" si="14">COUNTIF(AE$19:AE$41,$B43)</f>
        <v>0</v>
      </c>
      <c r="AF43" s="145">
        <f t="shared" si="14"/>
        <v>1</v>
      </c>
      <c r="AG43" s="145">
        <f t="shared" si="14"/>
        <v>0</v>
      </c>
      <c r="AH43" s="145">
        <f t="shared" si="14"/>
        <v>1</v>
      </c>
      <c r="AI43" s="145">
        <f t="shared" si="14"/>
        <v>0</v>
      </c>
      <c r="AJ43" s="145">
        <f t="shared" si="14"/>
        <v>0</v>
      </c>
      <c r="AK43" s="145">
        <f t="shared" si="14"/>
        <v>1</v>
      </c>
      <c r="AL43" s="145"/>
      <c r="AM43" s="145">
        <f t="shared" si="14"/>
        <v>1</v>
      </c>
      <c r="AN43" s="145">
        <f t="shared" si="14"/>
        <v>0</v>
      </c>
      <c r="AO43" s="145">
        <f t="shared" si="14"/>
        <v>0</v>
      </c>
      <c r="AP43" s="145">
        <f t="shared" si="14"/>
        <v>0</v>
      </c>
      <c r="AQ43" s="145">
        <f t="shared" si="14"/>
        <v>1</v>
      </c>
      <c r="AR43" s="145">
        <f t="shared" si="14"/>
        <v>1</v>
      </c>
      <c r="AS43" s="145"/>
      <c r="AT43" s="145">
        <f t="shared" si="14"/>
        <v>0</v>
      </c>
      <c r="AU43" s="145">
        <f t="shared" si="14"/>
        <v>0</v>
      </c>
      <c r="AV43" s="145">
        <f t="shared" si="14"/>
        <v>0</v>
      </c>
      <c r="AW43" s="145"/>
      <c r="AX43" s="145"/>
      <c r="AY43" s="145">
        <f t="shared" ref="AH43:BY53" si="15">COUNTIF(AY$19:AY$41,$B43)</f>
        <v>1</v>
      </c>
      <c r="AZ43" s="145"/>
      <c r="BA43" s="145"/>
      <c r="BB43" s="145">
        <f t="shared" si="15"/>
        <v>1</v>
      </c>
      <c r="BC43" s="145">
        <f t="shared" si="15"/>
        <v>0</v>
      </c>
      <c r="BD43" s="145">
        <f t="shared" si="15"/>
        <v>0</v>
      </c>
      <c r="BE43" s="145"/>
      <c r="BF43" s="145"/>
      <c r="BG43" s="145"/>
      <c r="BH43" s="145"/>
      <c r="BI43" s="145"/>
      <c r="BJ43" s="145"/>
      <c r="BK43" s="145"/>
      <c r="BL43" s="145"/>
      <c r="BM43" s="145"/>
      <c r="BN43" s="145"/>
      <c r="BO43" s="145"/>
      <c r="BP43" s="145"/>
      <c r="BQ43" s="145"/>
      <c r="BR43" s="145"/>
      <c r="BS43" s="145"/>
      <c r="BT43" s="145"/>
      <c r="BU43" s="145"/>
      <c r="BV43" s="145"/>
      <c r="BW43" s="145"/>
      <c r="BX43" s="145"/>
      <c r="BY43" s="145">
        <f t="shared" si="15"/>
        <v>0</v>
      </c>
      <c r="BZ43" s="145">
        <f t="shared" ref="BY43:CM53" si="16">COUNTIF(BZ$19:BZ$41,$B43)</f>
        <v>0</v>
      </c>
      <c r="CA43" s="145">
        <f t="shared" si="16"/>
        <v>0</v>
      </c>
      <c r="CB43" s="145"/>
      <c r="CC43" s="145"/>
      <c r="CD43" s="145"/>
      <c r="CE43" s="145"/>
      <c r="CF43" s="145"/>
      <c r="CG43" s="145"/>
      <c r="CH43" s="145"/>
      <c r="CI43" s="145"/>
      <c r="CJ43" s="145"/>
      <c r="CK43" s="145"/>
      <c r="CL43" s="145"/>
      <c r="CM43" s="145">
        <f t="shared" si="16"/>
        <v>0</v>
      </c>
      <c r="CN43" s="145">
        <f t="shared" ref="CN43:CP53" si="17">COUNTIF(CN$19:CN$41,$B43)</f>
        <v>0</v>
      </c>
      <c r="CO43" s="145">
        <f t="shared" si="17"/>
        <v>0</v>
      </c>
      <c r="CP43" s="145">
        <f t="shared" si="17"/>
        <v>0</v>
      </c>
    </row>
    <row r="44" spans="1:94" ht="15">
      <c r="A44" s="13"/>
      <c r="B44" s="8" t="s">
        <v>8</v>
      </c>
      <c r="C44" s="145">
        <f t="shared" si="10"/>
        <v>0</v>
      </c>
      <c r="D44" s="145"/>
      <c r="E44" s="145">
        <f t="shared" si="11"/>
        <v>0</v>
      </c>
      <c r="F44" s="145"/>
      <c r="G44" s="145"/>
      <c r="H44" s="145"/>
      <c r="I44" s="145"/>
      <c r="J44" s="145"/>
      <c r="K44" s="145"/>
      <c r="L44" s="145"/>
      <c r="M44" s="145">
        <f t="shared" si="12"/>
        <v>0</v>
      </c>
      <c r="N44" s="145"/>
      <c r="O44" s="145"/>
      <c r="P44" s="145"/>
      <c r="Q44" s="145"/>
      <c r="R44" s="145"/>
      <c r="S44" s="145"/>
      <c r="T44" s="145"/>
      <c r="U44" s="145">
        <f t="shared" si="13"/>
        <v>0</v>
      </c>
      <c r="V44" s="145">
        <f t="shared" si="13"/>
        <v>0</v>
      </c>
      <c r="W44" s="145">
        <f t="shared" si="13"/>
        <v>4</v>
      </c>
      <c r="X44" s="145">
        <f t="shared" si="13"/>
        <v>0</v>
      </c>
      <c r="Y44" s="145">
        <f t="shared" si="13"/>
        <v>0</v>
      </c>
      <c r="Z44" s="145">
        <f t="shared" si="13"/>
        <v>0</v>
      </c>
      <c r="AA44" s="145">
        <f t="shared" si="13"/>
        <v>0</v>
      </c>
      <c r="AB44" s="145">
        <f t="shared" si="13"/>
        <v>3</v>
      </c>
      <c r="AC44" s="145">
        <f t="shared" si="13"/>
        <v>0</v>
      </c>
      <c r="AD44" s="145">
        <f t="shared" si="13"/>
        <v>0</v>
      </c>
      <c r="AE44" s="145">
        <f t="shared" si="14"/>
        <v>0</v>
      </c>
      <c r="AF44" s="145">
        <f t="shared" si="14"/>
        <v>0</v>
      </c>
      <c r="AG44" s="145">
        <f t="shared" si="14"/>
        <v>0</v>
      </c>
      <c r="AH44" s="145">
        <f t="shared" si="15"/>
        <v>0</v>
      </c>
      <c r="AI44" s="145">
        <f t="shared" si="15"/>
        <v>0</v>
      </c>
      <c r="AJ44" s="145">
        <f t="shared" si="15"/>
        <v>3</v>
      </c>
      <c r="AK44" s="145">
        <f t="shared" si="15"/>
        <v>0</v>
      </c>
      <c r="AL44" s="145"/>
      <c r="AM44" s="145">
        <f t="shared" si="15"/>
        <v>0</v>
      </c>
      <c r="AN44" s="145">
        <f t="shared" si="15"/>
        <v>0</v>
      </c>
      <c r="AO44" s="145">
        <f t="shared" si="15"/>
        <v>0</v>
      </c>
      <c r="AP44" s="145">
        <f t="shared" si="15"/>
        <v>3</v>
      </c>
      <c r="AQ44" s="145">
        <f t="shared" si="15"/>
        <v>0</v>
      </c>
      <c r="AR44" s="145">
        <f t="shared" si="15"/>
        <v>0</v>
      </c>
      <c r="AS44" s="145"/>
      <c r="AT44" s="145">
        <f t="shared" si="15"/>
        <v>3</v>
      </c>
      <c r="AU44" s="145">
        <f t="shared" si="15"/>
        <v>0</v>
      </c>
      <c r="AV44" s="145">
        <f t="shared" si="15"/>
        <v>0</v>
      </c>
      <c r="AW44" s="145"/>
      <c r="AX44" s="145"/>
      <c r="AY44" s="145">
        <f t="shared" si="15"/>
        <v>0</v>
      </c>
      <c r="AZ44" s="145"/>
      <c r="BA44" s="145"/>
      <c r="BB44" s="145">
        <f t="shared" si="15"/>
        <v>0</v>
      </c>
      <c r="BC44" s="145">
        <f t="shared" si="15"/>
        <v>0</v>
      </c>
      <c r="BD44" s="145">
        <f t="shared" si="15"/>
        <v>0</v>
      </c>
      <c r="BE44" s="145"/>
      <c r="BF44" s="145"/>
      <c r="BG44" s="145"/>
      <c r="BH44" s="145"/>
      <c r="BI44" s="145"/>
      <c r="BJ44" s="145"/>
      <c r="BK44" s="145"/>
      <c r="BL44" s="145"/>
      <c r="BM44" s="145"/>
      <c r="BN44" s="145"/>
      <c r="BO44" s="145"/>
      <c r="BP44" s="145"/>
      <c r="BQ44" s="145"/>
      <c r="BR44" s="145"/>
      <c r="BS44" s="145"/>
      <c r="BT44" s="145"/>
      <c r="BU44" s="145"/>
      <c r="BV44" s="145"/>
      <c r="BW44" s="145"/>
      <c r="BX44" s="145"/>
      <c r="BY44" s="145">
        <f t="shared" si="16"/>
        <v>0</v>
      </c>
      <c r="BZ44" s="145">
        <f t="shared" si="16"/>
        <v>0</v>
      </c>
      <c r="CA44" s="145">
        <f t="shared" si="16"/>
        <v>0</v>
      </c>
      <c r="CB44" s="145"/>
      <c r="CC44" s="145"/>
      <c r="CD44" s="145"/>
      <c r="CE44" s="145"/>
      <c r="CF44" s="145"/>
      <c r="CG44" s="145"/>
      <c r="CH44" s="145"/>
      <c r="CI44" s="145"/>
      <c r="CJ44" s="145"/>
      <c r="CK44" s="145"/>
      <c r="CL44" s="145"/>
      <c r="CM44" s="145">
        <f t="shared" si="16"/>
        <v>0</v>
      </c>
      <c r="CN44" s="145">
        <f t="shared" si="17"/>
        <v>0</v>
      </c>
      <c r="CO44" s="145">
        <f t="shared" si="17"/>
        <v>0</v>
      </c>
      <c r="CP44" s="145">
        <f t="shared" si="17"/>
        <v>0</v>
      </c>
    </row>
    <row r="45" spans="1:94" ht="15">
      <c r="A45" s="13"/>
      <c r="B45" s="8" t="s">
        <v>4</v>
      </c>
      <c r="C45" s="145">
        <f t="shared" si="10"/>
        <v>2</v>
      </c>
      <c r="D45" s="145"/>
      <c r="E45" s="145">
        <f t="shared" si="11"/>
        <v>0</v>
      </c>
      <c r="F45" s="145"/>
      <c r="G45" s="145"/>
      <c r="H45" s="145"/>
      <c r="I45" s="145"/>
      <c r="J45" s="145"/>
      <c r="K45" s="145"/>
      <c r="L45" s="145"/>
      <c r="M45" s="145">
        <f t="shared" si="12"/>
        <v>0</v>
      </c>
      <c r="N45" s="145"/>
      <c r="O45" s="145"/>
      <c r="P45" s="145"/>
      <c r="Q45" s="145"/>
      <c r="R45" s="145"/>
      <c r="S45" s="145"/>
      <c r="T45" s="145"/>
      <c r="U45" s="145">
        <f t="shared" si="13"/>
        <v>0</v>
      </c>
      <c r="V45" s="145">
        <f t="shared" si="13"/>
        <v>0</v>
      </c>
      <c r="W45" s="145">
        <f t="shared" si="13"/>
        <v>0</v>
      </c>
      <c r="X45" s="145">
        <f t="shared" si="13"/>
        <v>2</v>
      </c>
      <c r="Y45" s="145">
        <f t="shared" si="13"/>
        <v>2</v>
      </c>
      <c r="Z45" s="145">
        <f t="shared" si="13"/>
        <v>0</v>
      </c>
      <c r="AA45" s="145">
        <f t="shared" si="13"/>
        <v>0</v>
      </c>
      <c r="AB45" s="145">
        <f t="shared" si="13"/>
        <v>0</v>
      </c>
      <c r="AC45" s="145">
        <f t="shared" si="13"/>
        <v>0</v>
      </c>
      <c r="AD45" s="145">
        <f t="shared" si="13"/>
        <v>2</v>
      </c>
      <c r="AE45" s="145">
        <f t="shared" si="14"/>
        <v>1</v>
      </c>
      <c r="AF45" s="145">
        <f t="shared" si="14"/>
        <v>0</v>
      </c>
      <c r="AG45" s="145">
        <f t="shared" si="14"/>
        <v>0</v>
      </c>
      <c r="AH45" s="145">
        <f t="shared" si="15"/>
        <v>0</v>
      </c>
      <c r="AI45" s="145">
        <f t="shared" si="15"/>
        <v>0</v>
      </c>
      <c r="AJ45" s="145">
        <f t="shared" si="15"/>
        <v>0</v>
      </c>
      <c r="AK45" s="145">
        <f t="shared" si="15"/>
        <v>0</v>
      </c>
      <c r="AL45" s="145"/>
      <c r="AM45" s="145">
        <f t="shared" si="15"/>
        <v>2</v>
      </c>
      <c r="AN45" s="145">
        <f t="shared" si="15"/>
        <v>2</v>
      </c>
      <c r="AO45" s="145">
        <f t="shared" si="15"/>
        <v>0</v>
      </c>
      <c r="AP45" s="145">
        <f t="shared" si="15"/>
        <v>0</v>
      </c>
      <c r="AQ45" s="145">
        <f t="shared" si="15"/>
        <v>0</v>
      </c>
      <c r="AR45" s="145">
        <f t="shared" si="15"/>
        <v>0</v>
      </c>
      <c r="AS45" s="145"/>
      <c r="AT45" s="145">
        <f t="shared" si="15"/>
        <v>0</v>
      </c>
      <c r="AU45" s="145">
        <f t="shared" si="15"/>
        <v>0</v>
      </c>
      <c r="AV45" s="145">
        <f t="shared" si="15"/>
        <v>0</v>
      </c>
      <c r="AW45" s="145"/>
      <c r="AX45" s="145"/>
      <c r="AY45" s="145">
        <f t="shared" si="15"/>
        <v>2</v>
      </c>
      <c r="AZ45" s="145"/>
      <c r="BA45" s="145"/>
      <c r="BB45" s="145">
        <f t="shared" si="15"/>
        <v>2</v>
      </c>
      <c r="BC45" s="145">
        <f t="shared" si="15"/>
        <v>0</v>
      </c>
      <c r="BD45" s="145">
        <f t="shared" si="15"/>
        <v>0</v>
      </c>
      <c r="BE45" s="145"/>
      <c r="BF45" s="145"/>
      <c r="BG45" s="145"/>
      <c r="BH45" s="145"/>
      <c r="BI45" s="145"/>
      <c r="BJ45" s="145"/>
      <c r="BK45" s="145"/>
      <c r="BL45" s="145"/>
      <c r="BM45" s="145"/>
      <c r="BN45" s="145"/>
      <c r="BO45" s="145"/>
      <c r="BP45" s="145"/>
      <c r="BQ45" s="145"/>
      <c r="BR45" s="145"/>
      <c r="BS45" s="145"/>
      <c r="BT45" s="145"/>
      <c r="BU45" s="145"/>
      <c r="BV45" s="145"/>
      <c r="BW45" s="145"/>
      <c r="BX45" s="145"/>
      <c r="BY45" s="145">
        <f t="shared" si="16"/>
        <v>0</v>
      </c>
      <c r="BZ45" s="145">
        <f t="shared" si="16"/>
        <v>2</v>
      </c>
      <c r="CA45" s="145">
        <f t="shared" si="16"/>
        <v>0</v>
      </c>
      <c r="CB45" s="145"/>
      <c r="CC45" s="145"/>
      <c r="CD45" s="145"/>
      <c r="CE45" s="145"/>
      <c r="CF45" s="145"/>
      <c r="CG45" s="145"/>
      <c r="CH45" s="145"/>
      <c r="CI45" s="145"/>
      <c r="CJ45" s="145"/>
      <c r="CK45" s="145"/>
      <c r="CL45" s="145"/>
      <c r="CM45" s="145">
        <f t="shared" si="16"/>
        <v>0</v>
      </c>
      <c r="CN45" s="145">
        <f t="shared" si="17"/>
        <v>0</v>
      </c>
      <c r="CO45" s="145">
        <f t="shared" si="17"/>
        <v>0</v>
      </c>
      <c r="CP45" s="145">
        <f t="shared" si="17"/>
        <v>0</v>
      </c>
    </row>
    <row r="46" spans="1:94" ht="15">
      <c r="A46" s="13"/>
      <c r="B46" s="8" t="s">
        <v>0</v>
      </c>
      <c r="C46" s="145">
        <f t="shared" si="10"/>
        <v>0</v>
      </c>
      <c r="D46" s="145"/>
      <c r="E46" s="145">
        <f t="shared" si="11"/>
        <v>0</v>
      </c>
      <c r="F46" s="145"/>
      <c r="G46" s="145"/>
      <c r="H46" s="145"/>
      <c r="I46" s="145"/>
      <c r="J46" s="145"/>
      <c r="K46" s="145"/>
      <c r="L46" s="145"/>
      <c r="M46" s="145">
        <f t="shared" si="12"/>
        <v>0</v>
      </c>
      <c r="N46" s="145"/>
      <c r="O46" s="145"/>
      <c r="P46" s="145"/>
      <c r="Q46" s="145"/>
      <c r="R46" s="145"/>
      <c r="S46" s="145"/>
      <c r="T46" s="145"/>
      <c r="U46" s="145">
        <f t="shared" si="13"/>
        <v>0</v>
      </c>
      <c r="V46" s="145">
        <f t="shared" si="13"/>
        <v>2</v>
      </c>
      <c r="W46" s="145">
        <f t="shared" si="13"/>
        <v>0</v>
      </c>
      <c r="X46" s="145">
        <f t="shared" si="13"/>
        <v>0</v>
      </c>
      <c r="Y46" s="145">
        <f t="shared" si="13"/>
        <v>0</v>
      </c>
      <c r="Z46" s="145">
        <f t="shared" si="13"/>
        <v>0</v>
      </c>
      <c r="AA46" s="145">
        <f t="shared" si="13"/>
        <v>2</v>
      </c>
      <c r="AB46" s="145">
        <f t="shared" si="13"/>
        <v>0</v>
      </c>
      <c r="AC46" s="145">
        <f t="shared" si="13"/>
        <v>0</v>
      </c>
      <c r="AD46" s="145">
        <f t="shared" si="13"/>
        <v>0</v>
      </c>
      <c r="AE46" s="145">
        <f t="shared" si="14"/>
        <v>0</v>
      </c>
      <c r="AF46" s="145">
        <f t="shared" si="14"/>
        <v>0</v>
      </c>
      <c r="AG46" s="145">
        <f t="shared" si="14"/>
        <v>0</v>
      </c>
      <c r="AH46" s="145">
        <f t="shared" si="15"/>
        <v>0</v>
      </c>
      <c r="AI46" s="145">
        <f t="shared" si="15"/>
        <v>0</v>
      </c>
      <c r="AJ46" s="145">
        <f t="shared" si="15"/>
        <v>0</v>
      </c>
      <c r="AK46" s="145">
        <f t="shared" si="15"/>
        <v>0</v>
      </c>
      <c r="AL46" s="145"/>
      <c r="AM46" s="145">
        <f t="shared" si="15"/>
        <v>0</v>
      </c>
      <c r="AN46" s="145">
        <f t="shared" si="15"/>
        <v>0</v>
      </c>
      <c r="AO46" s="145">
        <f t="shared" si="15"/>
        <v>0</v>
      </c>
      <c r="AP46" s="145">
        <f t="shared" si="15"/>
        <v>0</v>
      </c>
      <c r="AQ46" s="145">
        <f t="shared" si="15"/>
        <v>0</v>
      </c>
      <c r="AR46" s="145">
        <f t="shared" si="15"/>
        <v>0</v>
      </c>
      <c r="AS46" s="145"/>
      <c r="AT46" s="145">
        <f t="shared" si="15"/>
        <v>0</v>
      </c>
      <c r="AU46" s="145">
        <f t="shared" si="15"/>
        <v>0</v>
      </c>
      <c r="AV46" s="145">
        <f t="shared" si="15"/>
        <v>0</v>
      </c>
      <c r="AW46" s="145"/>
      <c r="AX46" s="145"/>
      <c r="AY46" s="145">
        <f t="shared" si="15"/>
        <v>0</v>
      </c>
      <c r="AZ46" s="145"/>
      <c r="BA46" s="145"/>
      <c r="BB46" s="145">
        <f t="shared" si="15"/>
        <v>0</v>
      </c>
      <c r="BC46" s="145">
        <f t="shared" si="15"/>
        <v>0</v>
      </c>
      <c r="BD46" s="145">
        <f t="shared" si="15"/>
        <v>0</v>
      </c>
      <c r="BE46" s="145"/>
      <c r="BF46" s="145"/>
      <c r="BG46" s="145"/>
      <c r="BH46" s="145"/>
      <c r="BI46" s="145"/>
      <c r="BJ46" s="145"/>
      <c r="BK46" s="145"/>
      <c r="BL46" s="145"/>
      <c r="BM46" s="145"/>
      <c r="BN46" s="145"/>
      <c r="BO46" s="145"/>
      <c r="BP46" s="145"/>
      <c r="BQ46" s="145"/>
      <c r="BR46" s="145"/>
      <c r="BS46" s="145"/>
      <c r="BT46" s="145"/>
      <c r="BU46" s="145"/>
      <c r="BV46" s="145"/>
      <c r="BW46" s="145"/>
      <c r="BX46" s="145"/>
      <c r="BY46" s="145">
        <f t="shared" si="16"/>
        <v>0</v>
      </c>
      <c r="BZ46" s="145">
        <f t="shared" si="16"/>
        <v>0</v>
      </c>
      <c r="CA46" s="145">
        <f t="shared" si="16"/>
        <v>0</v>
      </c>
      <c r="CB46" s="145"/>
      <c r="CC46" s="145"/>
      <c r="CD46" s="145"/>
      <c r="CE46" s="145"/>
      <c r="CF46" s="145"/>
      <c r="CG46" s="145"/>
      <c r="CH46" s="145"/>
      <c r="CI46" s="145"/>
      <c r="CJ46" s="145"/>
      <c r="CK46" s="145"/>
      <c r="CL46" s="145"/>
      <c r="CM46" s="145">
        <f t="shared" si="16"/>
        <v>0</v>
      </c>
      <c r="CN46" s="145">
        <f t="shared" si="17"/>
        <v>0</v>
      </c>
      <c r="CO46" s="145">
        <f t="shared" si="17"/>
        <v>0</v>
      </c>
      <c r="CP46" s="145">
        <f t="shared" si="17"/>
        <v>0</v>
      </c>
    </row>
    <row r="47" spans="1:94" ht="15">
      <c r="A47" s="13"/>
      <c r="B47" s="8" t="s">
        <v>1</v>
      </c>
      <c r="C47" s="145">
        <f t="shared" si="10"/>
        <v>0</v>
      </c>
      <c r="D47" s="145"/>
      <c r="E47" s="145">
        <f t="shared" si="11"/>
        <v>1</v>
      </c>
      <c r="F47" s="145"/>
      <c r="G47" s="145"/>
      <c r="H47" s="145"/>
      <c r="I47" s="145"/>
      <c r="J47" s="145"/>
      <c r="K47" s="145"/>
      <c r="L47" s="145"/>
      <c r="M47" s="145">
        <f t="shared" si="12"/>
        <v>0</v>
      </c>
      <c r="N47" s="145"/>
      <c r="O47" s="145"/>
      <c r="P47" s="145"/>
      <c r="Q47" s="145"/>
      <c r="R47" s="145"/>
      <c r="S47" s="145"/>
      <c r="T47" s="145"/>
      <c r="U47" s="145">
        <f t="shared" si="13"/>
        <v>0</v>
      </c>
      <c r="V47" s="145">
        <f t="shared" si="13"/>
        <v>0</v>
      </c>
      <c r="W47" s="145">
        <f t="shared" si="13"/>
        <v>0</v>
      </c>
      <c r="X47" s="145">
        <f t="shared" si="13"/>
        <v>2</v>
      </c>
      <c r="Y47" s="145">
        <f t="shared" si="13"/>
        <v>2</v>
      </c>
      <c r="Z47" s="145">
        <f t="shared" si="13"/>
        <v>0</v>
      </c>
      <c r="AA47" s="145">
        <f t="shared" si="13"/>
        <v>0</v>
      </c>
      <c r="AB47" s="145">
        <f t="shared" si="13"/>
        <v>0</v>
      </c>
      <c r="AC47" s="145">
        <f t="shared" si="13"/>
        <v>0</v>
      </c>
      <c r="AD47" s="145">
        <f t="shared" si="13"/>
        <v>0</v>
      </c>
      <c r="AE47" s="145">
        <f t="shared" si="14"/>
        <v>0</v>
      </c>
      <c r="AF47" s="145">
        <f t="shared" si="14"/>
        <v>1</v>
      </c>
      <c r="AG47" s="145">
        <f t="shared" si="14"/>
        <v>0</v>
      </c>
      <c r="AH47" s="145">
        <f t="shared" si="15"/>
        <v>0</v>
      </c>
      <c r="AI47" s="145">
        <f t="shared" si="15"/>
        <v>0</v>
      </c>
      <c r="AJ47" s="145">
        <f t="shared" si="15"/>
        <v>0</v>
      </c>
      <c r="AK47" s="145">
        <f t="shared" si="15"/>
        <v>0</v>
      </c>
      <c r="AL47" s="145"/>
      <c r="AM47" s="145">
        <f t="shared" si="15"/>
        <v>1</v>
      </c>
      <c r="AN47" s="145">
        <f t="shared" si="15"/>
        <v>2</v>
      </c>
      <c r="AO47" s="145">
        <f t="shared" si="15"/>
        <v>0</v>
      </c>
      <c r="AP47" s="145">
        <f t="shared" si="15"/>
        <v>0</v>
      </c>
      <c r="AQ47" s="145">
        <f t="shared" si="15"/>
        <v>0</v>
      </c>
      <c r="AR47" s="145">
        <f t="shared" si="15"/>
        <v>2</v>
      </c>
      <c r="AS47" s="145"/>
      <c r="AT47" s="145">
        <f t="shared" si="15"/>
        <v>3</v>
      </c>
      <c r="AU47" s="145">
        <f t="shared" si="15"/>
        <v>0</v>
      </c>
      <c r="AV47" s="145">
        <f t="shared" si="15"/>
        <v>0</v>
      </c>
      <c r="AW47" s="145"/>
      <c r="AX47" s="145"/>
      <c r="AY47" s="145">
        <f t="shared" si="15"/>
        <v>2</v>
      </c>
      <c r="AZ47" s="145"/>
      <c r="BA47" s="145"/>
      <c r="BB47" s="145">
        <f t="shared" si="15"/>
        <v>2</v>
      </c>
      <c r="BC47" s="145">
        <f t="shared" si="15"/>
        <v>0</v>
      </c>
      <c r="BD47" s="145">
        <f t="shared" si="15"/>
        <v>0</v>
      </c>
      <c r="BE47" s="145"/>
      <c r="BF47" s="145"/>
      <c r="BG47" s="145"/>
      <c r="BH47" s="145"/>
      <c r="BI47" s="145"/>
      <c r="BJ47" s="145"/>
      <c r="BK47" s="145"/>
      <c r="BL47" s="145"/>
      <c r="BM47" s="145"/>
      <c r="BN47" s="145"/>
      <c r="BO47" s="145"/>
      <c r="BP47" s="145"/>
      <c r="BQ47" s="145"/>
      <c r="BR47" s="145"/>
      <c r="BS47" s="145"/>
      <c r="BT47" s="145"/>
      <c r="BU47" s="145"/>
      <c r="BV47" s="145"/>
      <c r="BW47" s="145"/>
      <c r="BX47" s="145"/>
      <c r="BY47" s="145">
        <f t="shared" si="16"/>
        <v>0</v>
      </c>
      <c r="BZ47" s="145">
        <f t="shared" si="16"/>
        <v>0</v>
      </c>
      <c r="CA47" s="145">
        <f t="shared" si="16"/>
        <v>0</v>
      </c>
      <c r="CB47" s="145"/>
      <c r="CC47" s="145"/>
      <c r="CD47" s="145"/>
      <c r="CE47" s="145"/>
      <c r="CF47" s="145"/>
      <c r="CG47" s="145"/>
      <c r="CH47" s="145"/>
      <c r="CI47" s="145"/>
      <c r="CJ47" s="145"/>
      <c r="CK47" s="145"/>
      <c r="CL47" s="145"/>
      <c r="CM47" s="145">
        <f t="shared" si="16"/>
        <v>0</v>
      </c>
      <c r="CN47" s="145">
        <f t="shared" si="17"/>
        <v>0</v>
      </c>
      <c r="CO47" s="145">
        <f t="shared" si="17"/>
        <v>0</v>
      </c>
      <c r="CP47" s="145">
        <f t="shared" si="17"/>
        <v>0</v>
      </c>
    </row>
    <row r="48" spans="1:94" ht="15">
      <c r="A48" s="13"/>
      <c r="B48" s="8" t="s">
        <v>6</v>
      </c>
      <c r="C48" s="145">
        <f t="shared" si="10"/>
        <v>0</v>
      </c>
      <c r="D48" s="145"/>
      <c r="E48" s="145">
        <f t="shared" si="11"/>
        <v>0</v>
      </c>
      <c r="F48" s="145"/>
      <c r="G48" s="145"/>
      <c r="H48" s="145"/>
      <c r="I48" s="145"/>
      <c r="J48" s="145"/>
      <c r="K48" s="145"/>
      <c r="L48" s="145"/>
      <c r="M48" s="145">
        <f t="shared" si="12"/>
        <v>3</v>
      </c>
      <c r="N48" s="145"/>
      <c r="O48" s="145"/>
      <c r="P48" s="145"/>
      <c r="Q48" s="145"/>
      <c r="R48" s="145"/>
      <c r="S48" s="145"/>
      <c r="T48" s="145"/>
      <c r="U48" s="145">
        <f t="shared" si="13"/>
        <v>3</v>
      </c>
      <c r="V48" s="145">
        <f t="shared" si="13"/>
        <v>0</v>
      </c>
      <c r="W48" s="145">
        <f t="shared" si="13"/>
        <v>0</v>
      </c>
      <c r="X48" s="145">
        <f t="shared" si="13"/>
        <v>0</v>
      </c>
      <c r="Y48" s="145">
        <f t="shared" si="13"/>
        <v>0</v>
      </c>
      <c r="Z48" s="145">
        <f t="shared" si="13"/>
        <v>0</v>
      </c>
      <c r="AA48" s="145">
        <f t="shared" si="13"/>
        <v>0</v>
      </c>
      <c r="AB48" s="145">
        <f t="shared" si="13"/>
        <v>0</v>
      </c>
      <c r="AC48" s="145">
        <f t="shared" si="13"/>
        <v>3</v>
      </c>
      <c r="AD48" s="145">
        <f t="shared" si="13"/>
        <v>0</v>
      </c>
      <c r="AE48" s="145">
        <f t="shared" si="14"/>
        <v>0</v>
      </c>
      <c r="AF48" s="145">
        <f t="shared" si="14"/>
        <v>0</v>
      </c>
      <c r="AG48" s="145">
        <f t="shared" si="14"/>
        <v>3</v>
      </c>
      <c r="AH48" s="145">
        <f t="shared" si="15"/>
        <v>0</v>
      </c>
      <c r="AI48" s="145">
        <f t="shared" si="15"/>
        <v>0</v>
      </c>
      <c r="AJ48" s="145">
        <f t="shared" si="15"/>
        <v>0</v>
      </c>
      <c r="AK48" s="145">
        <f t="shared" si="15"/>
        <v>0</v>
      </c>
      <c r="AL48" s="145"/>
      <c r="AM48" s="145">
        <f t="shared" si="15"/>
        <v>0</v>
      </c>
      <c r="AN48" s="145">
        <f t="shared" si="15"/>
        <v>0</v>
      </c>
      <c r="AO48" s="145">
        <f t="shared" si="15"/>
        <v>0</v>
      </c>
      <c r="AP48" s="145">
        <f t="shared" si="15"/>
        <v>0</v>
      </c>
      <c r="AQ48" s="145">
        <f t="shared" si="15"/>
        <v>0</v>
      </c>
      <c r="AR48" s="145">
        <f t="shared" si="15"/>
        <v>0</v>
      </c>
      <c r="AS48" s="145"/>
      <c r="AT48" s="145">
        <f t="shared" si="15"/>
        <v>0</v>
      </c>
      <c r="AU48" s="145">
        <f t="shared" si="15"/>
        <v>0</v>
      </c>
      <c r="AV48" s="145">
        <f t="shared" si="15"/>
        <v>0</v>
      </c>
      <c r="AW48" s="145"/>
      <c r="AX48" s="145"/>
      <c r="AY48" s="145">
        <f t="shared" si="15"/>
        <v>0</v>
      </c>
      <c r="AZ48" s="145"/>
      <c r="BA48" s="145"/>
      <c r="BB48" s="145">
        <f t="shared" si="15"/>
        <v>0</v>
      </c>
      <c r="BC48" s="145">
        <f t="shared" si="15"/>
        <v>0</v>
      </c>
      <c r="BD48" s="145">
        <f t="shared" si="15"/>
        <v>0</v>
      </c>
      <c r="BE48" s="145"/>
      <c r="BF48" s="145"/>
      <c r="BG48" s="145"/>
      <c r="BH48" s="145"/>
      <c r="BI48" s="145"/>
      <c r="BJ48" s="145"/>
      <c r="BK48" s="145"/>
      <c r="BL48" s="145"/>
      <c r="BM48" s="145"/>
      <c r="BN48" s="145"/>
      <c r="BO48" s="145"/>
      <c r="BP48" s="145"/>
      <c r="BQ48" s="145"/>
      <c r="BR48" s="145"/>
      <c r="BS48" s="145"/>
      <c r="BT48" s="145"/>
      <c r="BU48" s="145"/>
      <c r="BV48" s="145"/>
      <c r="BW48" s="145"/>
      <c r="BX48" s="145"/>
      <c r="BY48" s="145">
        <f t="shared" si="16"/>
        <v>0</v>
      </c>
      <c r="BZ48" s="145">
        <f t="shared" si="16"/>
        <v>0</v>
      </c>
      <c r="CA48" s="145">
        <f t="shared" si="16"/>
        <v>0</v>
      </c>
      <c r="CB48" s="145"/>
      <c r="CC48" s="145"/>
      <c r="CD48" s="145"/>
      <c r="CE48" s="145"/>
      <c r="CF48" s="145"/>
      <c r="CG48" s="145"/>
      <c r="CH48" s="145"/>
      <c r="CI48" s="145"/>
      <c r="CJ48" s="145"/>
      <c r="CK48" s="145"/>
      <c r="CL48" s="145"/>
      <c r="CM48" s="145">
        <f t="shared" si="16"/>
        <v>0</v>
      </c>
      <c r="CN48" s="145">
        <f t="shared" si="17"/>
        <v>0</v>
      </c>
      <c r="CO48" s="145">
        <f t="shared" si="17"/>
        <v>0</v>
      </c>
      <c r="CP48" s="145">
        <f t="shared" si="17"/>
        <v>0</v>
      </c>
    </row>
    <row r="49" spans="1:94" ht="15">
      <c r="A49" s="13"/>
      <c r="B49" s="8" t="s">
        <v>9</v>
      </c>
      <c r="C49" s="145">
        <f t="shared" si="10"/>
        <v>2</v>
      </c>
      <c r="D49" s="145"/>
      <c r="E49" s="145">
        <f t="shared" si="11"/>
        <v>2</v>
      </c>
      <c r="F49" s="145"/>
      <c r="G49" s="145"/>
      <c r="H49" s="145"/>
      <c r="I49" s="145"/>
      <c r="J49" s="145"/>
      <c r="K49" s="145"/>
      <c r="L49" s="145"/>
      <c r="M49" s="145">
        <f t="shared" si="12"/>
        <v>0</v>
      </c>
      <c r="N49" s="145"/>
      <c r="O49" s="145"/>
      <c r="P49" s="145"/>
      <c r="Q49" s="145"/>
      <c r="R49" s="145"/>
      <c r="S49" s="145"/>
      <c r="T49" s="145"/>
      <c r="U49" s="145">
        <f t="shared" si="13"/>
        <v>0</v>
      </c>
      <c r="V49" s="145">
        <f t="shared" si="13"/>
        <v>0</v>
      </c>
      <c r="W49" s="145">
        <f t="shared" si="13"/>
        <v>0</v>
      </c>
      <c r="X49" s="145">
        <f t="shared" si="13"/>
        <v>0</v>
      </c>
      <c r="Y49" s="145">
        <f t="shared" si="13"/>
        <v>0</v>
      </c>
      <c r="Z49" s="145">
        <f t="shared" si="13"/>
        <v>2</v>
      </c>
      <c r="AA49" s="145">
        <f t="shared" si="13"/>
        <v>2</v>
      </c>
      <c r="AB49" s="145">
        <f t="shared" si="13"/>
        <v>0</v>
      </c>
      <c r="AC49" s="145">
        <f t="shared" si="13"/>
        <v>0</v>
      </c>
      <c r="AD49" s="145">
        <f t="shared" si="13"/>
        <v>0</v>
      </c>
      <c r="AE49" s="145">
        <f t="shared" si="14"/>
        <v>0</v>
      </c>
      <c r="AF49" s="145">
        <f t="shared" si="14"/>
        <v>2</v>
      </c>
      <c r="AG49" s="145">
        <f t="shared" si="14"/>
        <v>0</v>
      </c>
      <c r="AH49" s="145">
        <f t="shared" si="15"/>
        <v>2</v>
      </c>
      <c r="AI49" s="145">
        <f t="shared" si="15"/>
        <v>0</v>
      </c>
      <c r="AJ49" s="145">
        <f t="shared" si="15"/>
        <v>0</v>
      </c>
      <c r="AK49" s="145">
        <f t="shared" si="15"/>
        <v>0</v>
      </c>
      <c r="AL49" s="145"/>
      <c r="AM49" s="145">
        <f t="shared" si="15"/>
        <v>2</v>
      </c>
      <c r="AN49" s="145">
        <f t="shared" si="15"/>
        <v>2</v>
      </c>
      <c r="AO49" s="145">
        <f t="shared" si="15"/>
        <v>0</v>
      </c>
      <c r="AP49" s="145">
        <f t="shared" si="15"/>
        <v>0</v>
      </c>
      <c r="AQ49" s="145">
        <f t="shared" si="15"/>
        <v>2</v>
      </c>
      <c r="AR49" s="145">
        <f t="shared" si="15"/>
        <v>2</v>
      </c>
      <c r="AS49" s="145"/>
      <c r="AT49" s="145">
        <f t="shared" si="15"/>
        <v>0</v>
      </c>
      <c r="AU49" s="145">
        <f t="shared" si="15"/>
        <v>0</v>
      </c>
      <c r="AV49" s="145">
        <f t="shared" si="15"/>
        <v>0</v>
      </c>
      <c r="AW49" s="145"/>
      <c r="AX49" s="145"/>
      <c r="AY49" s="145">
        <f t="shared" si="15"/>
        <v>0</v>
      </c>
      <c r="AZ49" s="145"/>
      <c r="BA49" s="145"/>
      <c r="BB49" s="145">
        <f t="shared" si="15"/>
        <v>0</v>
      </c>
      <c r="BC49" s="145">
        <f t="shared" si="15"/>
        <v>0</v>
      </c>
      <c r="BD49" s="145">
        <f t="shared" si="15"/>
        <v>0</v>
      </c>
      <c r="BE49" s="145"/>
      <c r="BF49" s="145"/>
      <c r="BG49" s="145"/>
      <c r="BH49" s="145"/>
      <c r="BI49" s="145"/>
      <c r="BJ49" s="145"/>
      <c r="BK49" s="145"/>
      <c r="BL49" s="145"/>
      <c r="BM49" s="145"/>
      <c r="BN49" s="145"/>
      <c r="BO49" s="145"/>
      <c r="BP49" s="145"/>
      <c r="BQ49" s="145"/>
      <c r="BR49" s="145"/>
      <c r="BS49" s="145"/>
      <c r="BT49" s="145"/>
      <c r="BU49" s="145"/>
      <c r="BV49" s="145"/>
      <c r="BW49" s="145"/>
      <c r="BX49" s="145"/>
      <c r="BY49" s="145">
        <f t="shared" si="16"/>
        <v>0</v>
      </c>
      <c r="BZ49" s="145">
        <f t="shared" si="16"/>
        <v>0</v>
      </c>
      <c r="CA49" s="145">
        <f t="shared" si="16"/>
        <v>0</v>
      </c>
      <c r="CB49" s="145"/>
      <c r="CC49" s="145"/>
      <c r="CD49" s="145"/>
      <c r="CE49" s="145"/>
      <c r="CF49" s="145"/>
      <c r="CG49" s="145"/>
      <c r="CH49" s="145"/>
      <c r="CI49" s="145"/>
      <c r="CJ49" s="145"/>
      <c r="CK49" s="145"/>
      <c r="CL49" s="145"/>
      <c r="CM49" s="145">
        <f t="shared" si="16"/>
        <v>0</v>
      </c>
      <c r="CN49" s="145">
        <f t="shared" si="17"/>
        <v>0</v>
      </c>
      <c r="CO49" s="145">
        <f t="shared" si="17"/>
        <v>0</v>
      </c>
      <c r="CP49" s="145">
        <f t="shared" si="17"/>
        <v>0</v>
      </c>
    </row>
    <row r="50" spans="1:94" ht="15">
      <c r="A50" s="13"/>
      <c r="B50" s="8" t="s">
        <v>5</v>
      </c>
      <c r="C50" s="145">
        <f t="shared" si="10"/>
        <v>2</v>
      </c>
      <c r="D50" s="145"/>
      <c r="E50" s="145">
        <f t="shared" si="11"/>
        <v>0</v>
      </c>
      <c r="F50" s="145"/>
      <c r="G50" s="145"/>
      <c r="H50" s="145"/>
      <c r="I50" s="145"/>
      <c r="J50" s="145"/>
      <c r="K50" s="145"/>
      <c r="L50" s="145"/>
      <c r="M50" s="145">
        <f t="shared" si="12"/>
        <v>0</v>
      </c>
      <c r="N50" s="145"/>
      <c r="O50" s="145"/>
      <c r="P50" s="145"/>
      <c r="Q50" s="145"/>
      <c r="R50" s="145"/>
      <c r="S50" s="145"/>
      <c r="T50" s="145"/>
      <c r="U50" s="145">
        <f t="shared" si="13"/>
        <v>0</v>
      </c>
      <c r="V50" s="145">
        <f t="shared" si="13"/>
        <v>0</v>
      </c>
      <c r="W50" s="145">
        <f t="shared" si="13"/>
        <v>0</v>
      </c>
      <c r="X50" s="145">
        <f t="shared" si="13"/>
        <v>0</v>
      </c>
      <c r="Y50" s="145">
        <f t="shared" si="13"/>
        <v>1</v>
      </c>
      <c r="Z50" s="145">
        <f t="shared" si="13"/>
        <v>1</v>
      </c>
      <c r="AA50" s="145">
        <f t="shared" si="13"/>
        <v>0</v>
      </c>
      <c r="AB50" s="145">
        <f t="shared" si="13"/>
        <v>0</v>
      </c>
      <c r="AC50" s="145">
        <f t="shared" si="13"/>
        <v>0</v>
      </c>
      <c r="AD50" s="145">
        <f t="shared" si="13"/>
        <v>0</v>
      </c>
      <c r="AE50" s="145">
        <f t="shared" si="14"/>
        <v>2</v>
      </c>
      <c r="AF50" s="145">
        <f t="shared" si="14"/>
        <v>2</v>
      </c>
      <c r="AG50" s="145">
        <f t="shared" si="14"/>
        <v>0</v>
      </c>
      <c r="AH50" s="145">
        <f t="shared" si="15"/>
        <v>0</v>
      </c>
      <c r="AI50" s="145">
        <f t="shared" si="15"/>
        <v>0</v>
      </c>
      <c r="AJ50" s="145">
        <f t="shared" si="15"/>
        <v>0</v>
      </c>
      <c r="AK50" s="145">
        <f t="shared" si="15"/>
        <v>1</v>
      </c>
      <c r="AL50" s="145"/>
      <c r="AM50" s="145">
        <f t="shared" si="15"/>
        <v>2</v>
      </c>
      <c r="AN50" s="145">
        <f t="shared" si="15"/>
        <v>0</v>
      </c>
      <c r="AO50" s="145">
        <f t="shared" si="15"/>
        <v>0</v>
      </c>
      <c r="AP50" s="145">
        <f t="shared" si="15"/>
        <v>0</v>
      </c>
      <c r="AQ50" s="145">
        <f t="shared" si="15"/>
        <v>2</v>
      </c>
      <c r="AR50" s="145">
        <f t="shared" si="15"/>
        <v>2</v>
      </c>
      <c r="AS50" s="145"/>
      <c r="AT50" s="145">
        <f t="shared" si="15"/>
        <v>0</v>
      </c>
      <c r="AU50" s="145">
        <f t="shared" si="15"/>
        <v>0</v>
      </c>
      <c r="AV50" s="145">
        <f t="shared" si="15"/>
        <v>0</v>
      </c>
      <c r="AW50" s="145"/>
      <c r="AX50" s="145"/>
      <c r="AY50" s="145">
        <f t="shared" si="15"/>
        <v>2</v>
      </c>
      <c r="AZ50" s="145"/>
      <c r="BA50" s="145"/>
      <c r="BB50" s="145">
        <f t="shared" si="15"/>
        <v>2</v>
      </c>
      <c r="BC50" s="145">
        <f t="shared" si="15"/>
        <v>2</v>
      </c>
      <c r="BD50" s="145">
        <f t="shared" si="15"/>
        <v>2</v>
      </c>
      <c r="BE50" s="145"/>
      <c r="BF50" s="145"/>
      <c r="BG50" s="145"/>
      <c r="BH50" s="145"/>
      <c r="BI50" s="145"/>
      <c r="BJ50" s="145"/>
      <c r="BK50" s="145"/>
      <c r="BL50" s="145"/>
      <c r="BM50" s="145"/>
      <c r="BN50" s="145"/>
      <c r="BO50" s="145"/>
      <c r="BP50" s="145"/>
      <c r="BQ50" s="145"/>
      <c r="BR50" s="145"/>
      <c r="BS50" s="145"/>
      <c r="BT50" s="145"/>
      <c r="BU50" s="145"/>
      <c r="BV50" s="145"/>
      <c r="BW50" s="145"/>
      <c r="BX50" s="145"/>
      <c r="BY50" s="145">
        <f t="shared" si="16"/>
        <v>0</v>
      </c>
      <c r="BZ50" s="145">
        <f t="shared" si="16"/>
        <v>0</v>
      </c>
      <c r="CA50" s="145">
        <f t="shared" si="16"/>
        <v>0</v>
      </c>
      <c r="CB50" s="145"/>
      <c r="CC50" s="145"/>
      <c r="CD50" s="145"/>
      <c r="CE50" s="145"/>
      <c r="CF50" s="145"/>
      <c r="CG50" s="145"/>
      <c r="CH50" s="145"/>
      <c r="CI50" s="145"/>
      <c r="CJ50" s="145"/>
      <c r="CK50" s="145"/>
      <c r="CL50" s="145"/>
      <c r="CM50" s="145">
        <f t="shared" si="16"/>
        <v>0</v>
      </c>
      <c r="CN50" s="145">
        <f t="shared" si="17"/>
        <v>0</v>
      </c>
      <c r="CO50" s="145">
        <f t="shared" si="17"/>
        <v>0</v>
      </c>
      <c r="CP50" s="145">
        <f t="shared" si="17"/>
        <v>0</v>
      </c>
    </row>
    <row r="51" spans="1:94" ht="15">
      <c r="A51" s="13"/>
      <c r="B51" s="8" t="s">
        <v>7</v>
      </c>
      <c r="C51" s="145">
        <f t="shared" si="10"/>
        <v>2</v>
      </c>
      <c r="D51" s="145"/>
      <c r="E51" s="145">
        <f t="shared" si="11"/>
        <v>1</v>
      </c>
      <c r="F51" s="145"/>
      <c r="G51" s="145"/>
      <c r="H51" s="145"/>
      <c r="I51" s="145"/>
      <c r="J51" s="145"/>
      <c r="K51" s="145"/>
      <c r="L51" s="145"/>
      <c r="M51" s="145">
        <f t="shared" si="12"/>
        <v>0</v>
      </c>
      <c r="N51" s="145"/>
      <c r="O51" s="145"/>
      <c r="P51" s="145"/>
      <c r="Q51" s="145"/>
      <c r="R51" s="145"/>
      <c r="S51" s="145"/>
      <c r="T51" s="145"/>
      <c r="U51" s="145">
        <f t="shared" si="13"/>
        <v>0</v>
      </c>
      <c r="V51" s="145">
        <f t="shared" si="13"/>
        <v>2</v>
      </c>
      <c r="W51" s="145">
        <f t="shared" si="13"/>
        <v>0</v>
      </c>
      <c r="X51" s="145">
        <f t="shared" si="13"/>
        <v>1</v>
      </c>
      <c r="Y51" s="145">
        <f t="shared" si="13"/>
        <v>0</v>
      </c>
      <c r="Z51" s="145">
        <f t="shared" si="13"/>
        <v>0</v>
      </c>
      <c r="AA51" s="145">
        <f t="shared" si="13"/>
        <v>0</v>
      </c>
      <c r="AB51" s="145">
        <f t="shared" si="13"/>
        <v>0</v>
      </c>
      <c r="AC51" s="145">
        <f t="shared" si="13"/>
        <v>0</v>
      </c>
      <c r="AD51" s="145">
        <f t="shared" si="13"/>
        <v>2</v>
      </c>
      <c r="AE51" s="145">
        <f t="shared" si="14"/>
        <v>2</v>
      </c>
      <c r="AF51" s="145">
        <f t="shared" si="14"/>
        <v>0</v>
      </c>
      <c r="AG51" s="145">
        <f t="shared" si="14"/>
        <v>0</v>
      </c>
      <c r="AH51" s="145">
        <f t="shared" si="15"/>
        <v>0</v>
      </c>
      <c r="AI51" s="145">
        <f t="shared" si="15"/>
        <v>0</v>
      </c>
      <c r="AJ51" s="145">
        <f t="shared" si="15"/>
        <v>2</v>
      </c>
      <c r="AK51" s="145">
        <f t="shared" si="15"/>
        <v>2</v>
      </c>
      <c r="AL51" s="145"/>
      <c r="AM51" s="145">
        <f t="shared" si="15"/>
        <v>0</v>
      </c>
      <c r="AN51" s="145">
        <f t="shared" si="15"/>
        <v>0</v>
      </c>
      <c r="AO51" s="145">
        <f t="shared" si="15"/>
        <v>0</v>
      </c>
      <c r="AP51" s="145">
        <f t="shared" si="15"/>
        <v>0</v>
      </c>
      <c r="AQ51" s="145">
        <f t="shared" si="15"/>
        <v>0</v>
      </c>
      <c r="AR51" s="145">
        <f t="shared" si="15"/>
        <v>0</v>
      </c>
      <c r="AS51" s="145"/>
      <c r="AT51" s="145">
        <f t="shared" si="15"/>
        <v>3</v>
      </c>
      <c r="AU51" s="145">
        <f t="shared" si="15"/>
        <v>0</v>
      </c>
      <c r="AV51" s="145">
        <f t="shared" si="15"/>
        <v>0</v>
      </c>
      <c r="AW51" s="145"/>
      <c r="AX51" s="145"/>
      <c r="AY51" s="145">
        <f t="shared" si="15"/>
        <v>0</v>
      </c>
      <c r="AZ51" s="145"/>
      <c r="BA51" s="145"/>
      <c r="BB51" s="145">
        <f t="shared" si="15"/>
        <v>0</v>
      </c>
      <c r="BC51" s="145">
        <f t="shared" si="15"/>
        <v>0</v>
      </c>
      <c r="BD51" s="145">
        <f t="shared" si="15"/>
        <v>2</v>
      </c>
      <c r="BE51" s="145"/>
      <c r="BF51" s="145"/>
      <c r="BG51" s="145"/>
      <c r="BH51" s="145"/>
      <c r="BI51" s="145"/>
      <c r="BJ51" s="145"/>
      <c r="BK51" s="145"/>
      <c r="BL51" s="145"/>
      <c r="BM51" s="145"/>
      <c r="BN51" s="145"/>
      <c r="BO51" s="145"/>
      <c r="BP51" s="145"/>
      <c r="BQ51" s="145"/>
      <c r="BR51" s="145"/>
      <c r="BS51" s="145"/>
      <c r="BT51" s="145"/>
      <c r="BU51" s="145"/>
      <c r="BV51" s="145"/>
      <c r="BW51" s="145"/>
      <c r="BX51" s="145"/>
      <c r="BY51" s="145">
        <f t="shared" si="16"/>
        <v>0</v>
      </c>
      <c r="BZ51" s="145">
        <f t="shared" si="16"/>
        <v>0</v>
      </c>
      <c r="CA51" s="145">
        <f t="shared" si="16"/>
        <v>0</v>
      </c>
      <c r="CB51" s="145"/>
      <c r="CC51" s="145"/>
      <c r="CD51" s="145"/>
      <c r="CE51" s="145"/>
      <c r="CF51" s="145"/>
      <c r="CG51" s="145"/>
      <c r="CH51" s="145"/>
      <c r="CI51" s="145"/>
      <c r="CJ51" s="145"/>
      <c r="CK51" s="145"/>
      <c r="CL51" s="145"/>
      <c r="CM51" s="145">
        <f t="shared" si="16"/>
        <v>0</v>
      </c>
      <c r="CN51" s="145">
        <f t="shared" si="17"/>
        <v>0</v>
      </c>
      <c r="CO51" s="145">
        <f t="shared" si="17"/>
        <v>0</v>
      </c>
      <c r="CP51" s="145">
        <f t="shared" si="17"/>
        <v>0</v>
      </c>
    </row>
    <row r="52" spans="1:94" ht="15">
      <c r="A52" s="13"/>
      <c r="B52" s="8" t="s">
        <v>10</v>
      </c>
      <c r="C52" s="145">
        <f t="shared" si="10"/>
        <v>0</v>
      </c>
      <c r="D52" s="145"/>
      <c r="E52" s="145">
        <f t="shared" si="11"/>
        <v>0</v>
      </c>
      <c r="F52" s="145"/>
      <c r="G52" s="145"/>
      <c r="H52" s="145"/>
      <c r="I52" s="145"/>
      <c r="J52" s="145"/>
      <c r="K52" s="145"/>
      <c r="L52" s="145"/>
      <c r="M52" s="145">
        <f t="shared" si="12"/>
        <v>0</v>
      </c>
      <c r="N52" s="145"/>
      <c r="O52" s="145"/>
      <c r="P52" s="145"/>
      <c r="Q52" s="145"/>
      <c r="R52" s="145"/>
      <c r="S52" s="145"/>
      <c r="T52" s="145"/>
      <c r="U52" s="145">
        <f t="shared" si="13"/>
        <v>0</v>
      </c>
      <c r="V52" s="145">
        <f t="shared" si="13"/>
        <v>0</v>
      </c>
      <c r="W52" s="145">
        <f t="shared" si="13"/>
        <v>0</v>
      </c>
      <c r="X52" s="145">
        <f t="shared" si="13"/>
        <v>0</v>
      </c>
      <c r="Y52" s="145">
        <f t="shared" si="13"/>
        <v>2</v>
      </c>
      <c r="Z52" s="145">
        <f t="shared" si="13"/>
        <v>0</v>
      </c>
      <c r="AA52" s="145">
        <f t="shared" si="13"/>
        <v>0</v>
      </c>
      <c r="AB52" s="145">
        <f t="shared" si="13"/>
        <v>0</v>
      </c>
      <c r="AC52" s="145">
        <f t="shared" si="13"/>
        <v>0</v>
      </c>
      <c r="AD52" s="145">
        <f t="shared" si="13"/>
        <v>0</v>
      </c>
      <c r="AE52" s="145">
        <f t="shared" si="14"/>
        <v>0</v>
      </c>
      <c r="AF52" s="145">
        <f t="shared" si="14"/>
        <v>2</v>
      </c>
      <c r="AG52" s="145">
        <f t="shared" si="14"/>
        <v>0</v>
      </c>
      <c r="AH52" s="145">
        <f t="shared" si="15"/>
        <v>1</v>
      </c>
      <c r="AI52" s="145">
        <f t="shared" si="15"/>
        <v>0</v>
      </c>
      <c r="AJ52" s="145">
        <f t="shared" si="15"/>
        <v>0</v>
      </c>
      <c r="AK52" s="145">
        <f t="shared" si="15"/>
        <v>2</v>
      </c>
      <c r="AL52" s="145"/>
      <c r="AM52" s="145">
        <f t="shared" si="15"/>
        <v>1</v>
      </c>
      <c r="AN52" s="145">
        <f t="shared" si="15"/>
        <v>0</v>
      </c>
      <c r="AO52" s="145">
        <f t="shared" si="15"/>
        <v>2</v>
      </c>
      <c r="AP52" s="145">
        <f t="shared" si="15"/>
        <v>0</v>
      </c>
      <c r="AQ52" s="145">
        <f t="shared" si="15"/>
        <v>1</v>
      </c>
      <c r="AR52" s="145">
        <f t="shared" si="15"/>
        <v>0</v>
      </c>
      <c r="AS52" s="145"/>
      <c r="AT52" s="145">
        <f t="shared" si="15"/>
        <v>0</v>
      </c>
      <c r="AU52" s="145">
        <f t="shared" si="15"/>
        <v>0</v>
      </c>
      <c r="AV52" s="145">
        <f t="shared" si="15"/>
        <v>0</v>
      </c>
      <c r="AW52" s="145"/>
      <c r="AX52" s="145"/>
      <c r="AY52" s="145">
        <f t="shared" si="15"/>
        <v>2</v>
      </c>
      <c r="AZ52" s="145"/>
      <c r="BA52" s="145"/>
      <c r="BB52" s="145">
        <f t="shared" si="15"/>
        <v>1</v>
      </c>
      <c r="BC52" s="145">
        <f t="shared" si="15"/>
        <v>0</v>
      </c>
      <c r="BD52" s="145">
        <f t="shared" si="15"/>
        <v>2</v>
      </c>
      <c r="BE52" s="145"/>
      <c r="BF52" s="145"/>
      <c r="BG52" s="145"/>
      <c r="BH52" s="145"/>
      <c r="BI52" s="145"/>
      <c r="BJ52" s="145"/>
      <c r="BK52" s="145"/>
      <c r="BL52" s="145"/>
      <c r="BM52" s="145"/>
      <c r="BN52" s="145"/>
      <c r="BO52" s="145"/>
      <c r="BP52" s="145"/>
      <c r="BQ52" s="145"/>
      <c r="BR52" s="145"/>
      <c r="BS52" s="145"/>
      <c r="BT52" s="145"/>
      <c r="BU52" s="145"/>
      <c r="BV52" s="145"/>
      <c r="BW52" s="145"/>
      <c r="BX52" s="145"/>
      <c r="BY52" s="145">
        <f t="shared" si="16"/>
        <v>0</v>
      </c>
      <c r="BZ52" s="145">
        <f t="shared" si="16"/>
        <v>0</v>
      </c>
      <c r="CA52" s="145">
        <f t="shared" si="16"/>
        <v>0</v>
      </c>
      <c r="CB52" s="145"/>
      <c r="CC52" s="145"/>
      <c r="CD52" s="145"/>
      <c r="CE52" s="145"/>
      <c r="CF52" s="145"/>
      <c r="CG52" s="145"/>
      <c r="CH52" s="145"/>
      <c r="CI52" s="145"/>
      <c r="CJ52" s="145"/>
      <c r="CK52" s="145"/>
      <c r="CL52" s="145"/>
      <c r="CM52" s="145">
        <f t="shared" si="16"/>
        <v>0</v>
      </c>
      <c r="CN52" s="145">
        <f t="shared" si="17"/>
        <v>0</v>
      </c>
      <c r="CO52" s="145">
        <f t="shared" si="17"/>
        <v>0</v>
      </c>
      <c r="CP52" s="145">
        <f t="shared" si="17"/>
        <v>0</v>
      </c>
    </row>
    <row r="53" spans="1:94" ht="15">
      <c r="A53" s="13"/>
      <c r="B53" s="8" t="s">
        <v>3</v>
      </c>
      <c r="C53" s="145">
        <f t="shared" si="10"/>
        <v>0</v>
      </c>
      <c r="D53" s="145"/>
      <c r="E53" s="145">
        <f t="shared" si="11"/>
        <v>0</v>
      </c>
      <c r="F53" s="145"/>
      <c r="G53" s="145"/>
      <c r="H53" s="145"/>
      <c r="I53" s="145"/>
      <c r="J53" s="145"/>
      <c r="K53" s="145"/>
      <c r="L53" s="145"/>
      <c r="M53" s="145">
        <f t="shared" si="12"/>
        <v>0</v>
      </c>
      <c r="N53" s="145"/>
      <c r="O53" s="145"/>
      <c r="P53" s="145"/>
      <c r="Q53" s="145"/>
      <c r="R53" s="145"/>
      <c r="S53" s="145"/>
      <c r="T53" s="145"/>
      <c r="U53" s="145">
        <f t="shared" si="13"/>
        <v>3</v>
      </c>
      <c r="V53" s="145">
        <f t="shared" si="13"/>
        <v>0</v>
      </c>
      <c r="W53" s="145">
        <f t="shared" si="13"/>
        <v>0</v>
      </c>
      <c r="X53" s="145">
        <f t="shared" si="13"/>
        <v>0</v>
      </c>
      <c r="Y53" s="145">
        <f t="shared" si="13"/>
        <v>0</v>
      </c>
      <c r="Z53" s="145">
        <f t="shared" si="13"/>
        <v>0</v>
      </c>
      <c r="AA53" s="145">
        <f t="shared" si="13"/>
        <v>0</v>
      </c>
      <c r="AB53" s="145">
        <f t="shared" si="13"/>
        <v>0</v>
      </c>
      <c r="AC53" s="145">
        <f t="shared" si="13"/>
        <v>3</v>
      </c>
      <c r="AD53" s="145">
        <f t="shared" si="13"/>
        <v>0</v>
      </c>
      <c r="AE53" s="145">
        <f t="shared" si="14"/>
        <v>0</v>
      </c>
      <c r="AF53" s="145">
        <f t="shared" si="14"/>
        <v>0</v>
      </c>
      <c r="AG53" s="145">
        <f t="shared" si="14"/>
        <v>0</v>
      </c>
      <c r="AH53" s="145">
        <f t="shared" si="15"/>
        <v>0</v>
      </c>
      <c r="AI53" s="145">
        <f t="shared" si="15"/>
        <v>3</v>
      </c>
      <c r="AJ53" s="145">
        <f t="shared" si="15"/>
        <v>0</v>
      </c>
      <c r="AK53" s="145">
        <f t="shared" si="15"/>
        <v>0</v>
      </c>
      <c r="AL53" s="145"/>
      <c r="AM53" s="145">
        <f t="shared" si="15"/>
        <v>0</v>
      </c>
      <c r="AN53" s="145">
        <f t="shared" si="15"/>
        <v>0</v>
      </c>
      <c r="AO53" s="145">
        <f t="shared" si="15"/>
        <v>0</v>
      </c>
      <c r="AP53" s="145">
        <f t="shared" si="15"/>
        <v>3</v>
      </c>
      <c r="AQ53" s="145">
        <f t="shared" si="15"/>
        <v>0</v>
      </c>
      <c r="AR53" s="145">
        <f t="shared" si="15"/>
        <v>0</v>
      </c>
      <c r="AS53" s="145"/>
      <c r="AT53" s="145">
        <f t="shared" si="15"/>
        <v>0</v>
      </c>
      <c r="AU53" s="145">
        <f t="shared" si="15"/>
        <v>0</v>
      </c>
      <c r="AV53" s="145">
        <f t="shared" si="15"/>
        <v>0</v>
      </c>
      <c r="AW53" s="145"/>
      <c r="AX53" s="145"/>
      <c r="AY53" s="145">
        <f t="shared" si="15"/>
        <v>0</v>
      </c>
      <c r="AZ53" s="145"/>
      <c r="BA53" s="145"/>
      <c r="BB53" s="145">
        <f t="shared" si="15"/>
        <v>1</v>
      </c>
      <c r="BC53" s="145">
        <f t="shared" si="15"/>
        <v>0</v>
      </c>
      <c r="BD53" s="145">
        <f t="shared" si="15"/>
        <v>0</v>
      </c>
      <c r="BE53" s="145"/>
      <c r="BF53" s="145"/>
      <c r="BG53" s="145"/>
      <c r="BH53" s="145"/>
      <c r="BI53" s="145"/>
      <c r="BJ53" s="145"/>
      <c r="BK53" s="145"/>
      <c r="BL53" s="145"/>
      <c r="BM53" s="145"/>
      <c r="BN53" s="145"/>
      <c r="BO53" s="145"/>
      <c r="BP53" s="145"/>
      <c r="BQ53" s="145"/>
      <c r="BR53" s="145"/>
      <c r="BS53" s="145"/>
      <c r="BT53" s="145"/>
      <c r="BU53" s="145"/>
      <c r="BV53" s="145"/>
      <c r="BW53" s="145"/>
      <c r="BX53" s="145"/>
      <c r="BY53" s="145">
        <f t="shared" si="16"/>
        <v>0</v>
      </c>
      <c r="BZ53" s="145">
        <f t="shared" si="16"/>
        <v>0</v>
      </c>
      <c r="CA53" s="145">
        <f t="shared" si="16"/>
        <v>0</v>
      </c>
      <c r="CB53" s="145"/>
      <c r="CC53" s="145"/>
      <c r="CD53" s="145"/>
      <c r="CE53" s="145"/>
      <c r="CF53" s="145"/>
      <c r="CG53" s="145"/>
      <c r="CH53" s="145"/>
      <c r="CI53" s="145"/>
      <c r="CJ53" s="145"/>
      <c r="CK53" s="145"/>
      <c r="CL53" s="145"/>
      <c r="CM53" s="145">
        <f t="shared" si="16"/>
        <v>0</v>
      </c>
      <c r="CN53" s="145">
        <f t="shared" si="17"/>
        <v>0</v>
      </c>
      <c r="CO53" s="145">
        <f t="shared" si="17"/>
        <v>0</v>
      </c>
      <c r="CP53" s="145">
        <f t="shared" si="17"/>
        <v>0</v>
      </c>
    </row>
    <row r="54" spans="1:94" ht="19.5" customHeight="1">
      <c r="A54" s="13"/>
      <c r="B54" s="4" t="s">
        <v>149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row>
    <row r="55" spans="1:94" ht="15">
      <c r="A55" s="13"/>
      <c r="B55" s="8" t="s">
        <v>151</v>
      </c>
      <c r="C55" s="145">
        <f>SUMIFS(student!$C:$C,student!$A:$A,管理表!$B$55,student!$B:$B,管理表!C$3)</f>
        <v>0</v>
      </c>
      <c r="D55" s="145"/>
      <c r="E55" s="145">
        <f>SUMIFS(student!$C:$C,student!$A:$A,管理表!$B$55,student!$B:$B,管理表!E$3)</f>
        <v>0</v>
      </c>
      <c r="F55" s="145"/>
      <c r="G55" s="145"/>
      <c r="H55" s="145"/>
      <c r="I55" s="145"/>
      <c r="J55" s="145"/>
      <c r="K55" s="145"/>
      <c r="L55" s="145"/>
      <c r="M55" s="145">
        <f>SUMIFS(student!$C:$C,student!$A:$A,管理表!$B$55,student!$B:$B,管理表!M$3)</f>
        <v>0</v>
      </c>
      <c r="N55" s="145"/>
      <c r="O55" s="145"/>
      <c r="P55" s="145"/>
      <c r="Q55" s="145"/>
      <c r="R55" s="145"/>
      <c r="S55" s="145"/>
      <c r="T55" s="145"/>
      <c r="U55" s="145">
        <f>SUMIFS(student!$C:$C,student!$A:$A,管理表!$B$55,student!$B:$B,管理表!U$3)</f>
        <v>0</v>
      </c>
      <c r="V55" s="145"/>
      <c r="W55" s="145"/>
      <c r="X55" s="145"/>
      <c r="Y55" s="145"/>
      <c r="Z55" s="145"/>
      <c r="AA55" s="145"/>
      <c r="AB55" s="145"/>
      <c r="AC55" s="145">
        <f>SUMIFS(student!$C:$C,student!$A:$A,管理表!$B$55,student!$B:$B,管理表!AC$3)</f>
        <v>0</v>
      </c>
      <c r="AD55" s="145"/>
      <c r="AE55" s="145">
        <f>SUMIFS(student!$C:$C,student!$A:$A,管理表!$B$55,student!$B:$B,管理表!AE$3)</f>
        <v>0</v>
      </c>
      <c r="AF55" s="145">
        <f>SUMIFS(student!$C:$C,student!$A:$A,管理表!$B$55,student!$B:$B,管理表!AF$3)</f>
        <v>0</v>
      </c>
      <c r="AG55" s="145">
        <f>SUMIFS(student!$C:$C,student!$A:$A,管理表!$B$55,student!$B:$B,管理表!AG$3)</f>
        <v>0</v>
      </c>
      <c r="AH55" s="145"/>
      <c r="AI55" s="145">
        <f>SUMIFS(student!$C:$C,student!$A:$A,管理表!$B$55,student!$B:$B,管理表!AI$3)</f>
        <v>0</v>
      </c>
      <c r="AJ55" s="145">
        <f>SUMIFS(student!$C:$C,student!$A:$A,管理表!$B$55,student!$B:$B,管理表!AJ$3)</f>
        <v>0</v>
      </c>
      <c r="AK55" s="145">
        <f>SUMIFS(student!$C:$C,student!$A:$A,管理表!$B$55,student!$B:$B,管理表!AK$3)</f>
        <v>0</v>
      </c>
      <c r="AL55" s="145"/>
      <c r="AM55" s="145">
        <f>SUMIFS(student!$C:$C,student!$A:$A,管理表!$B$55,student!$B:$B,管理表!AM$3)</f>
        <v>0</v>
      </c>
      <c r="AN55" s="145"/>
      <c r="AO55" s="145"/>
      <c r="AP55" s="145">
        <f>SUMIFS(student!$C:$C,student!$A:$A,管理表!$B$55,student!$B:$B,管理表!AP$3)</f>
        <v>0</v>
      </c>
      <c r="AQ55" s="145">
        <f>SUMIFS(student!$C:$C,student!$A:$A,管理表!$B$55,student!$B:$B,管理表!AQ$3)</f>
        <v>0</v>
      </c>
      <c r="AR55" s="145">
        <f>SUMIFS(student!$C:$C,student!$A:$A,管理表!$B$55,student!$B:$B,管理表!AR$3)</f>
        <v>0</v>
      </c>
      <c r="AS55" s="145"/>
      <c r="AT55" s="145">
        <f>SUMIFS(student!$C:$C,student!$A:$A,管理表!$B$55,student!$B:$B,管理表!AT$3)</f>
        <v>0</v>
      </c>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f>SUMIFS(student!$C:$C,student!$A:$A,管理表!$B$55,student!$B:$B,管理表!CN$3)</f>
        <v>0</v>
      </c>
      <c r="CO55" s="145">
        <f>SUMIFS(student!$C:$C,student!$A:$A,管理表!$B$55,student!$B:$B,管理表!CO$3)</f>
        <v>0</v>
      </c>
      <c r="CP55" s="145">
        <f>SUMIFS(student!$C:$C,student!$A:$A,管理表!$B$55,student!$B:$B,管理表!CP$3)</f>
        <v>0</v>
      </c>
    </row>
    <row r="56" spans="1:94" ht="15">
      <c r="A56" s="13"/>
      <c r="B56" s="8" t="s">
        <v>152</v>
      </c>
      <c r="C56" s="145">
        <f>SUMIFS(student!$C:$C,student!$A:$A,管理表!$B$56,student!$B:$B,管理表!C$3)</f>
        <v>0</v>
      </c>
      <c r="D56" s="145"/>
      <c r="E56" s="145">
        <f>SUMIFS(student!$C:$C,student!$A:$A,管理表!$B$56,student!$B:$B,管理表!E$3)</f>
        <v>0</v>
      </c>
      <c r="F56" s="145"/>
      <c r="G56" s="145"/>
      <c r="H56" s="145"/>
      <c r="I56" s="145"/>
      <c r="J56" s="145"/>
      <c r="K56" s="145"/>
      <c r="L56" s="145"/>
      <c r="M56" s="145">
        <f>SUMIFS(student!$C:$C,student!$A:$A,管理表!$B$56,student!$B:$B,管理表!M$3)</f>
        <v>0</v>
      </c>
      <c r="N56" s="145"/>
      <c r="O56" s="145"/>
      <c r="P56" s="145"/>
      <c r="Q56" s="145"/>
      <c r="R56" s="145"/>
      <c r="S56" s="145"/>
      <c r="T56" s="145"/>
      <c r="U56" s="145">
        <f>SUMIFS(student!$C:$C,student!$A:$A,管理表!$B$56,student!$B:$B,管理表!U$3)</f>
        <v>0</v>
      </c>
      <c r="V56" s="145"/>
      <c r="W56" s="145"/>
      <c r="X56" s="145"/>
      <c r="Y56" s="145"/>
      <c r="Z56" s="145"/>
      <c r="AA56" s="145"/>
      <c r="AB56" s="145"/>
      <c r="AC56" s="145">
        <f>SUMIFS(student!$C:$C,student!$A:$A,管理表!$B$56,student!$B:$B,管理表!AC$3)</f>
        <v>0</v>
      </c>
      <c r="AD56" s="145"/>
      <c r="AE56" s="145">
        <f>SUMIFS(student!$C:$C,student!$A:$A,管理表!$B$56,student!$B:$B,管理表!AE$3)</f>
        <v>0</v>
      </c>
      <c r="AF56" s="145">
        <f>SUMIFS(student!$C:$C,student!$A:$A,管理表!$B$56,student!$B:$B,管理表!AF$3)</f>
        <v>0</v>
      </c>
      <c r="AG56" s="145">
        <f>SUMIFS(student!$C:$C,student!$A:$A,管理表!$B$56,student!$B:$B,管理表!AG$3)</f>
        <v>0</v>
      </c>
      <c r="AH56" s="145"/>
      <c r="AI56" s="145">
        <f>SUMIFS(student!$C:$C,student!$A:$A,管理表!$B$56,student!$B:$B,管理表!AI$3)</f>
        <v>0</v>
      </c>
      <c r="AJ56" s="145">
        <f>SUMIFS(student!$C:$C,student!$A:$A,管理表!$B$56,student!$B:$B,管理表!AJ$3)</f>
        <v>0</v>
      </c>
      <c r="AK56" s="145">
        <f>SUMIFS(student!$C:$C,student!$A:$A,管理表!$B$56,student!$B:$B,管理表!AK$3)</f>
        <v>0</v>
      </c>
      <c r="AL56" s="145"/>
      <c r="AM56" s="145">
        <f>SUMIFS(student!$C:$C,student!$A:$A,管理表!$B$56,student!$B:$B,管理表!AM$3)</f>
        <v>0</v>
      </c>
      <c r="AN56" s="145"/>
      <c r="AO56" s="145"/>
      <c r="AP56" s="145">
        <f>SUMIFS(student!$C:$C,student!$A:$A,管理表!$B$56,student!$B:$B,管理表!AP$3)</f>
        <v>0</v>
      </c>
      <c r="AQ56" s="145">
        <f>SUMIFS(student!$C:$C,student!$A:$A,管理表!$B$56,student!$B:$B,管理表!AQ$3)</f>
        <v>0</v>
      </c>
      <c r="AR56" s="145">
        <f>SUMIFS(student!$C:$C,student!$A:$A,管理表!$B$56,student!$B:$B,管理表!AR$3)</f>
        <v>0</v>
      </c>
      <c r="AS56" s="145"/>
      <c r="AT56" s="145">
        <f>SUMIFS(student!$C:$C,student!$A:$A,管理表!$B$56,student!$B:$B,管理表!AT$3)</f>
        <v>0</v>
      </c>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5"/>
      <c r="CJ56" s="145"/>
      <c r="CK56" s="145"/>
      <c r="CL56" s="145"/>
      <c r="CM56" s="145"/>
      <c r="CN56" s="145">
        <f>SUMIFS(student!$C:$C,student!$A:$A,管理表!$B$56,student!$B:$B,管理表!CN$3)</f>
        <v>0</v>
      </c>
      <c r="CO56" s="145">
        <f>SUMIFS(student!$C:$C,student!$A:$A,管理表!$B$56,student!$B:$B,管理表!CO$3)</f>
        <v>0</v>
      </c>
      <c r="CP56" s="145">
        <f>SUMIFS(student!$C:$C,student!$A:$A,管理表!$B$56,student!$B:$B,管理表!CP$3)</f>
        <v>0</v>
      </c>
    </row>
    <row r="57" spans="1:94" ht="15">
      <c r="A57" s="13"/>
      <c r="B57" s="8" t="s">
        <v>153</v>
      </c>
      <c r="C57" s="145">
        <f>SUMIFS(student!$C:$C,student!$A:$A,管理表!$B$57,student!$B:$B,管理表!C$3)</f>
        <v>0</v>
      </c>
      <c r="D57" s="145"/>
      <c r="E57" s="145">
        <f>SUMIFS(student!$C:$C,student!$A:$A,管理表!$B$57,student!$B:$B,管理表!E$3)</f>
        <v>0</v>
      </c>
      <c r="F57" s="145"/>
      <c r="G57" s="145"/>
      <c r="H57" s="145"/>
      <c r="I57" s="145"/>
      <c r="J57" s="145"/>
      <c r="K57" s="145"/>
      <c r="L57" s="145"/>
      <c r="M57" s="145">
        <f>SUMIFS(student!$C:$C,student!$A:$A,管理表!$B$57,student!$B:$B,管理表!M$3)</f>
        <v>0</v>
      </c>
      <c r="N57" s="145"/>
      <c r="O57" s="145"/>
      <c r="P57" s="145"/>
      <c r="Q57" s="145"/>
      <c r="R57" s="145"/>
      <c r="S57" s="145"/>
      <c r="T57" s="145"/>
      <c r="U57" s="145">
        <f>SUMIFS(student!$C:$C,student!$A:$A,管理表!$B$57,student!$B:$B,管理表!U$3)</f>
        <v>0</v>
      </c>
      <c r="V57" s="145"/>
      <c r="W57" s="145"/>
      <c r="X57" s="145"/>
      <c r="Y57" s="145"/>
      <c r="Z57" s="145"/>
      <c r="AA57" s="145"/>
      <c r="AB57" s="145"/>
      <c r="AC57" s="145">
        <f>SUMIFS(student!$C:$C,student!$A:$A,管理表!$B$57,student!$B:$B,管理表!AC$3)</f>
        <v>0</v>
      </c>
      <c r="AD57" s="145"/>
      <c r="AE57" s="145">
        <f>SUMIFS(student!$C:$C,student!$A:$A,管理表!$B$57,student!$B:$B,管理表!AE$3)</f>
        <v>0</v>
      </c>
      <c r="AF57" s="145">
        <f>SUMIFS(student!$C:$C,student!$A:$A,管理表!$B$57,student!$B:$B,管理表!AF$3)</f>
        <v>0</v>
      </c>
      <c r="AG57" s="145">
        <f>SUMIFS(student!$C:$C,student!$A:$A,管理表!$B$57,student!$B:$B,管理表!AG$3)</f>
        <v>0</v>
      </c>
      <c r="AH57" s="145"/>
      <c r="AI57" s="145">
        <f>SUMIFS(student!$C:$C,student!$A:$A,管理表!$B$57,student!$B:$B,管理表!AI$3)</f>
        <v>0</v>
      </c>
      <c r="AJ57" s="145">
        <f>SUMIFS(student!$C:$C,student!$A:$A,管理表!$B$57,student!$B:$B,管理表!AJ$3)</f>
        <v>0</v>
      </c>
      <c r="AK57" s="145">
        <f>SUMIFS(student!$C:$C,student!$A:$A,管理表!$B$57,student!$B:$B,管理表!AK$3)</f>
        <v>0</v>
      </c>
      <c r="AL57" s="145"/>
      <c r="AM57" s="145">
        <f>SUMIFS(student!$C:$C,student!$A:$A,管理表!$B$57,student!$B:$B,管理表!AM$3)</f>
        <v>0</v>
      </c>
      <c r="AN57" s="145"/>
      <c r="AO57" s="145"/>
      <c r="AP57" s="145">
        <f>SUMIFS(student!$C:$C,student!$A:$A,管理表!$B$57,student!$B:$B,管理表!AP$3)</f>
        <v>0</v>
      </c>
      <c r="AQ57" s="145">
        <f>SUMIFS(student!$C:$C,student!$A:$A,管理表!$B$57,student!$B:$B,管理表!AQ$3)</f>
        <v>0</v>
      </c>
      <c r="AR57" s="145">
        <f>SUMIFS(student!$C:$C,student!$A:$A,管理表!$B$57,student!$B:$B,管理表!AR$3)</f>
        <v>0</v>
      </c>
      <c r="AS57" s="145"/>
      <c r="AT57" s="145">
        <f>SUMIFS(student!$C:$C,student!$A:$A,管理表!$B$57,student!$B:$B,管理表!AT$3)</f>
        <v>0</v>
      </c>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f>SUMIFS(student!$C:$C,student!$A:$A,管理表!$B$57,student!$B:$B,管理表!CN$3)</f>
        <v>0</v>
      </c>
      <c r="CO57" s="145">
        <f>SUMIFS(student!$C:$C,student!$A:$A,管理表!$B$57,student!$B:$B,管理表!CO$3)</f>
        <v>0</v>
      </c>
      <c r="CP57" s="145">
        <f>SUMIFS(student!$C:$C,student!$A:$A,管理表!$B$57,student!$B:$B,管理表!CP$3)</f>
        <v>0</v>
      </c>
    </row>
    <row r="58" spans="1:94" ht="15">
      <c r="A58" s="13"/>
      <c r="B58" s="8" t="s">
        <v>154</v>
      </c>
      <c r="C58" s="145">
        <f>SUMIFS(student!$C:$C,student!$A:$A,管理表!$B$58,student!$B:$B,管理表!C$3)</f>
        <v>0</v>
      </c>
      <c r="D58" s="145"/>
      <c r="E58" s="145">
        <f>SUMIFS(student!$C:$C,student!$A:$A,管理表!$B$58,student!$B:$B,管理表!E$3)</f>
        <v>0</v>
      </c>
      <c r="F58" s="145"/>
      <c r="G58" s="145"/>
      <c r="H58" s="145"/>
      <c r="I58" s="145"/>
      <c r="J58" s="145"/>
      <c r="K58" s="145"/>
      <c r="L58" s="145"/>
      <c r="M58" s="145">
        <f>SUMIFS(student!$C:$C,student!$A:$A,管理表!$B$58,student!$B:$B,管理表!M$3)</f>
        <v>0</v>
      </c>
      <c r="N58" s="145"/>
      <c r="O58" s="145"/>
      <c r="P58" s="145"/>
      <c r="Q58" s="145"/>
      <c r="R58" s="145"/>
      <c r="S58" s="145"/>
      <c r="T58" s="145"/>
      <c r="U58" s="145">
        <f>SUMIFS(student!$C:$C,student!$A:$A,管理表!$B$58,student!$B:$B,管理表!U$3)</f>
        <v>0</v>
      </c>
      <c r="V58" s="145"/>
      <c r="W58" s="145"/>
      <c r="X58" s="145"/>
      <c r="Y58" s="145"/>
      <c r="Z58" s="145"/>
      <c r="AA58" s="145"/>
      <c r="AB58" s="145"/>
      <c r="AC58" s="145">
        <f>SUMIFS(student!$C:$C,student!$A:$A,管理表!$B$58,student!$B:$B,管理表!AC$3)</f>
        <v>0</v>
      </c>
      <c r="AD58" s="145"/>
      <c r="AE58" s="145">
        <f>SUMIFS(student!$C:$C,student!$A:$A,管理表!$B$58,student!$B:$B,管理表!AE$3)</f>
        <v>0</v>
      </c>
      <c r="AF58" s="145">
        <f>SUMIFS(student!$C:$C,student!$A:$A,管理表!$B$58,student!$B:$B,管理表!AF$3)</f>
        <v>0</v>
      </c>
      <c r="AG58" s="145">
        <f>SUMIFS(student!$C:$C,student!$A:$A,管理表!$B$58,student!$B:$B,管理表!AG$3)</f>
        <v>0</v>
      </c>
      <c r="AH58" s="145"/>
      <c r="AI58" s="145">
        <f>SUMIFS(student!$C:$C,student!$A:$A,管理表!$B$58,student!$B:$B,管理表!AI$3)</f>
        <v>0</v>
      </c>
      <c r="AJ58" s="145">
        <f>SUMIFS(student!$C:$C,student!$A:$A,管理表!$B$58,student!$B:$B,管理表!AJ$3)</f>
        <v>0</v>
      </c>
      <c r="AK58" s="145">
        <f>SUMIFS(student!$C:$C,student!$A:$A,管理表!$B$58,student!$B:$B,管理表!AK$3)</f>
        <v>0</v>
      </c>
      <c r="AL58" s="145"/>
      <c r="AM58" s="145">
        <f>SUMIFS(student!$C:$C,student!$A:$A,管理表!$B$58,student!$B:$B,管理表!AM$3)</f>
        <v>0</v>
      </c>
      <c r="AN58" s="145"/>
      <c r="AO58" s="145"/>
      <c r="AP58" s="145">
        <f>SUMIFS(student!$C:$C,student!$A:$A,管理表!$B$58,student!$B:$B,管理表!AP$3)</f>
        <v>0</v>
      </c>
      <c r="AQ58" s="145">
        <f>SUMIFS(student!$C:$C,student!$A:$A,管理表!$B$58,student!$B:$B,管理表!AQ$3)</f>
        <v>0</v>
      </c>
      <c r="AR58" s="145">
        <f>SUMIFS(student!$C:$C,student!$A:$A,管理表!$B$58,student!$B:$B,管理表!AR$3)</f>
        <v>0</v>
      </c>
      <c r="AS58" s="145"/>
      <c r="AT58" s="145">
        <f>SUMIFS(student!$C:$C,student!$A:$A,管理表!$B$58,student!$B:$B,管理表!AT$3)</f>
        <v>0</v>
      </c>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f>SUMIFS(student!$C:$C,student!$A:$A,管理表!$B$58,student!$B:$B,管理表!CN$3)</f>
        <v>0</v>
      </c>
      <c r="CO58" s="145">
        <f>SUMIFS(student!$C:$C,student!$A:$A,管理表!$B$58,student!$B:$B,管理表!CO$3)</f>
        <v>0</v>
      </c>
      <c r="CP58" s="145">
        <f>SUMIFS(student!$C:$C,student!$A:$A,管理表!$B$58,student!$B:$B,管理表!CP$3)</f>
        <v>0</v>
      </c>
    </row>
    <row r="59" spans="1:94" ht="15">
      <c r="A59" s="13"/>
      <c r="B59" s="8" t="s">
        <v>155</v>
      </c>
      <c r="C59" s="145">
        <f>SUMIFS(student!$C:$C,student!$A:$A,管理表!$B$59,student!$B:$B,管理表!C$3)</f>
        <v>0</v>
      </c>
      <c r="D59" s="145"/>
      <c r="E59" s="145">
        <f>SUMIFS(student!$C:$C,student!$A:$A,管理表!$B$59,student!$B:$B,管理表!E$3)</f>
        <v>0</v>
      </c>
      <c r="F59" s="145"/>
      <c r="G59" s="145"/>
      <c r="H59" s="145"/>
      <c r="I59" s="145"/>
      <c r="J59" s="145"/>
      <c r="K59" s="145"/>
      <c r="L59" s="145"/>
      <c r="M59" s="145">
        <f>SUMIFS(student!$C:$C,student!$A:$A,管理表!$B$59,student!$B:$B,管理表!M$3)</f>
        <v>0</v>
      </c>
      <c r="N59" s="145"/>
      <c r="O59" s="145"/>
      <c r="P59" s="145"/>
      <c r="Q59" s="145"/>
      <c r="R59" s="145"/>
      <c r="S59" s="145"/>
      <c r="T59" s="145"/>
      <c r="U59" s="145">
        <f>SUMIFS(student!$C:$C,student!$A:$A,管理表!$B$59,student!$B:$B,管理表!U$3)</f>
        <v>0</v>
      </c>
      <c r="V59" s="145"/>
      <c r="W59" s="145"/>
      <c r="X59" s="145"/>
      <c r="Y59" s="145"/>
      <c r="Z59" s="145"/>
      <c r="AA59" s="145"/>
      <c r="AB59" s="145"/>
      <c r="AC59" s="145">
        <f>SUMIFS(student!$C:$C,student!$A:$A,管理表!$B$59,student!$B:$B,管理表!AC$3)</f>
        <v>0</v>
      </c>
      <c r="AD59" s="145"/>
      <c r="AE59" s="145">
        <f>SUMIFS(student!$C:$C,student!$A:$A,管理表!$B$59,student!$B:$B,管理表!AE$3)</f>
        <v>0</v>
      </c>
      <c r="AF59" s="145">
        <f>SUMIFS(student!$C:$C,student!$A:$A,管理表!$B$59,student!$B:$B,管理表!AF$3)</f>
        <v>0</v>
      </c>
      <c r="AG59" s="145">
        <f>SUMIFS(student!$C:$C,student!$A:$A,管理表!$B$59,student!$B:$B,管理表!AG$3)</f>
        <v>0</v>
      </c>
      <c r="AH59" s="145"/>
      <c r="AI59" s="145">
        <f>SUMIFS(student!$C:$C,student!$A:$A,管理表!$B$59,student!$B:$B,管理表!AI$3)</f>
        <v>0</v>
      </c>
      <c r="AJ59" s="145">
        <f>SUMIFS(student!$C:$C,student!$A:$A,管理表!$B$59,student!$B:$B,管理表!AJ$3)</f>
        <v>0</v>
      </c>
      <c r="AK59" s="145">
        <f>SUMIFS(student!$C:$C,student!$A:$A,管理表!$B$59,student!$B:$B,管理表!AK$3)</f>
        <v>0</v>
      </c>
      <c r="AL59" s="145"/>
      <c r="AM59" s="145">
        <f>SUMIFS(student!$C:$C,student!$A:$A,管理表!$B$59,student!$B:$B,管理表!AM$3)</f>
        <v>0</v>
      </c>
      <c r="AN59" s="145"/>
      <c r="AO59" s="145"/>
      <c r="AP59" s="145">
        <f>SUMIFS(student!$C:$C,student!$A:$A,管理表!$B$59,student!$B:$B,管理表!AP$3)</f>
        <v>0</v>
      </c>
      <c r="AQ59" s="145">
        <f>SUMIFS(student!$C:$C,student!$A:$A,管理表!$B$59,student!$B:$B,管理表!AQ$3)</f>
        <v>0</v>
      </c>
      <c r="AR59" s="145">
        <f>SUMIFS(student!$C:$C,student!$A:$A,管理表!$B$59,student!$B:$B,管理表!AR$3)</f>
        <v>0</v>
      </c>
      <c r="AS59" s="145"/>
      <c r="AT59" s="145">
        <f>SUMIFS(student!$C:$C,student!$A:$A,管理表!$B$59,student!$B:$B,管理表!AT$3)</f>
        <v>0</v>
      </c>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f>SUMIFS(student!$C:$C,student!$A:$A,管理表!$B$59,student!$B:$B,管理表!CN$3)</f>
        <v>0</v>
      </c>
      <c r="CO59" s="145">
        <f>SUMIFS(student!$C:$C,student!$A:$A,管理表!$B$59,student!$B:$B,管理表!CO$3)</f>
        <v>0</v>
      </c>
      <c r="CP59" s="145">
        <f>SUMIFS(student!$C:$C,student!$A:$A,管理表!$B$59,student!$B:$B,管理表!CP$3)</f>
        <v>0</v>
      </c>
    </row>
    <row r="60" spans="1:94" ht="15">
      <c r="A60" s="13"/>
      <c r="B60" s="8" t="s">
        <v>156</v>
      </c>
      <c r="C60" s="145">
        <f>SUMIFS(student!$C:$C,student!$A:$A,管理表!$B$60,student!$B:$B,管理表!C$3)</f>
        <v>0</v>
      </c>
      <c r="D60" s="145"/>
      <c r="E60" s="145">
        <f>SUMIFS(student!$C:$C,student!$A:$A,管理表!$B$60,student!$B:$B,管理表!E$3)</f>
        <v>0</v>
      </c>
      <c r="F60" s="145"/>
      <c r="G60" s="145"/>
      <c r="H60" s="145"/>
      <c r="I60" s="145"/>
      <c r="J60" s="145"/>
      <c r="K60" s="145"/>
      <c r="L60" s="145"/>
      <c r="M60" s="145">
        <f>SUMIFS(student!$C:$C,student!$A:$A,管理表!$B$60,student!$B:$B,管理表!M$3)</f>
        <v>0</v>
      </c>
      <c r="N60" s="145"/>
      <c r="O60" s="145"/>
      <c r="P60" s="145"/>
      <c r="Q60" s="145"/>
      <c r="R60" s="145"/>
      <c r="S60" s="145"/>
      <c r="T60" s="145"/>
      <c r="U60" s="145">
        <f>SUMIFS(student!$C:$C,student!$A:$A,管理表!$B$60,student!$B:$B,管理表!U$3)</f>
        <v>0</v>
      </c>
      <c r="V60" s="145"/>
      <c r="W60" s="145"/>
      <c r="X60" s="145"/>
      <c r="Y60" s="145"/>
      <c r="Z60" s="145"/>
      <c r="AA60" s="145"/>
      <c r="AB60" s="145"/>
      <c r="AC60" s="145">
        <f>SUMIFS(student!$C:$C,student!$A:$A,管理表!$B$60,student!$B:$B,管理表!AC$3)</f>
        <v>0</v>
      </c>
      <c r="AD60" s="145"/>
      <c r="AE60" s="145">
        <f>SUMIFS(student!$C:$C,student!$A:$A,管理表!$B$60,student!$B:$B,管理表!AE$3)</f>
        <v>0</v>
      </c>
      <c r="AF60" s="145">
        <f>SUMIFS(student!$C:$C,student!$A:$A,管理表!$B$60,student!$B:$B,管理表!AF$3)</f>
        <v>0</v>
      </c>
      <c r="AG60" s="145">
        <f>SUMIFS(student!$C:$C,student!$A:$A,管理表!$B$60,student!$B:$B,管理表!AG$3)</f>
        <v>0</v>
      </c>
      <c r="AH60" s="145"/>
      <c r="AI60" s="145">
        <f>SUMIFS(student!$C:$C,student!$A:$A,管理表!$B$60,student!$B:$B,管理表!AI$3)</f>
        <v>0</v>
      </c>
      <c r="AJ60" s="145">
        <f>SUMIFS(student!$C:$C,student!$A:$A,管理表!$B$60,student!$B:$B,管理表!AJ$3)</f>
        <v>0</v>
      </c>
      <c r="AK60" s="145">
        <f>SUMIFS(student!$C:$C,student!$A:$A,管理表!$B$60,student!$B:$B,管理表!AK$3)</f>
        <v>0</v>
      </c>
      <c r="AL60" s="145"/>
      <c r="AM60" s="145">
        <f>SUMIFS(student!$C:$C,student!$A:$A,管理表!$B$60,student!$B:$B,管理表!AM$3)</f>
        <v>0</v>
      </c>
      <c r="AN60" s="145"/>
      <c r="AO60" s="145"/>
      <c r="AP60" s="145">
        <f>SUMIFS(student!$C:$C,student!$A:$A,管理表!$B$60,student!$B:$B,管理表!AP$3)</f>
        <v>0</v>
      </c>
      <c r="AQ60" s="145">
        <f>SUMIFS(student!$C:$C,student!$A:$A,管理表!$B$60,student!$B:$B,管理表!AQ$3)</f>
        <v>0</v>
      </c>
      <c r="AR60" s="145">
        <f>SUMIFS(student!$C:$C,student!$A:$A,管理表!$B$60,student!$B:$B,管理表!AR$3)</f>
        <v>0</v>
      </c>
      <c r="AS60" s="145"/>
      <c r="AT60" s="145">
        <f>SUMIFS(student!$C:$C,student!$A:$A,管理表!$B$60,student!$B:$B,管理表!AT$3)</f>
        <v>0</v>
      </c>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f>SUMIFS(student!$C:$C,student!$A:$A,管理表!$B$60,student!$B:$B,管理表!CN$3)</f>
        <v>0</v>
      </c>
      <c r="CO60" s="145">
        <f>SUMIFS(student!$C:$C,student!$A:$A,管理表!$B$60,student!$B:$B,管理表!CO$3)</f>
        <v>0</v>
      </c>
      <c r="CP60" s="145">
        <f>SUMIFS(student!$C:$C,student!$A:$A,管理表!$B$60,student!$B:$B,管理表!CP$3)</f>
        <v>0</v>
      </c>
    </row>
    <row r="61" spans="1:94" ht="15">
      <c r="A61" s="13"/>
      <c r="B61" s="8" t="s">
        <v>157</v>
      </c>
      <c r="C61" s="145">
        <f>SUMIFS(student!$C:$C,student!$A:$A,管理表!$B$61,student!$B:$B,管理表!C$3)</f>
        <v>0</v>
      </c>
      <c r="D61" s="145"/>
      <c r="E61" s="145">
        <f>SUMIFS(student!$C:$C,student!$A:$A,管理表!$B$61,student!$B:$B,管理表!E$3)</f>
        <v>0</v>
      </c>
      <c r="F61" s="145"/>
      <c r="G61" s="145"/>
      <c r="H61" s="145"/>
      <c r="I61" s="145"/>
      <c r="J61" s="145"/>
      <c r="K61" s="145"/>
      <c r="L61" s="145"/>
      <c r="M61" s="145">
        <f>SUMIFS(student!$C:$C,student!$A:$A,管理表!$B$61,student!$B:$B,管理表!M$3)</f>
        <v>0</v>
      </c>
      <c r="N61" s="145"/>
      <c r="O61" s="145"/>
      <c r="P61" s="145"/>
      <c r="Q61" s="145"/>
      <c r="R61" s="145"/>
      <c r="S61" s="145"/>
      <c r="T61" s="145"/>
      <c r="U61" s="145">
        <f>SUMIFS(student!$C:$C,student!$A:$A,管理表!$B$61,student!$B:$B,管理表!U$3)</f>
        <v>0</v>
      </c>
      <c r="V61" s="145"/>
      <c r="W61" s="145"/>
      <c r="X61" s="145"/>
      <c r="Y61" s="145"/>
      <c r="Z61" s="145"/>
      <c r="AA61" s="145"/>
      <c r="AB61" s="145"/>
      <c r="AC61" s="145">
        <f>SUMIFS(student!$C:$C,student!$A:$A,管理表!$B$61,student!$B:$B,管理表!AC$3)</f>
        <v>0</v>
      </c>
      <c r="AD61" s="145"/>
      <c r="AE61" s="145">
        <f>SUMIFS(student!$C:$C,student!$A:$A,管理表!$B$61,student!$B:$B,管理表!AE$3)</f>
        <v>0</v>
      </c>
      <c r="AF61" s="145">
        <f>SUMIFS(student!$C:$C,student!$A:$A,管理表!$B$61,student!$B:$B,管理表!AF$3)</f>
        <v>0</v>
      </c>
      <c r="AG61" s="145">
        <f>SUMIFS(student!$C:$C,student!$A:$A,管理表!$B$61,student!$B:$B,管理表!AG$3)</f>
        <v>0</v>
      </c>
      <c r="AH61" s="145"/>
      <c r="AI61" s="145">
        <f>SUMIFS(student!$C:$C,student!$A:$A,管理表!$B$61,student!$B:$B,管理表!AI$3)</f>
        <v>0</v>
      </c>
      <c r="AJ61" s="145">
        <f>SUMIFS(student!$C:$C,student!$A:$A,管理表!$B$61,student!$B:$B,管理表!AJ$3)</f>
        <v>0</v>
      </c>
      <c r="AK61" s="145">
        <f>SUMIFS(student!$C:$C,student!$A:$A,管理表!$B$61,student!$B:$B,管理表!AK$3)</f>
        <v>0</v>
      </c>
      <c r="AL61" s="145"/>
      <c r="AM61" s="145">
        <f>SUMIFS(student!$C:$C,student!$A:$A,管理表!$B$61,student!$B:$B,管理表!AM$3)</f>
        <v>0</v>
      </c>
      <c r="AN61" s="145"/>
      <c r="AO61" s="145"/>
      <c r="AP61" s="145">
        <f>SUMIFS(student!$C:$C,student!$A:$A,管理表!$B$61,student!$B:$B,管理表!AP$3)</f>
        <v>0</v>
      </c>
      <c r="AQ61" s="145">
        <f>SUMIFS(student!$C:$C,student!$A:$A,管理表!$B$61,student!$B:$B,管理表!AQ$3)</f>
        <v>0</v>
      </c>
      <c r="AR61" s="145">
        <f>SUMIFS(student!$C:$C,student!$A:$A,管理表!$B$61,student!$B:$B,管理表!AR$3)</f>
        <v>0</v>
      </c>
      <c r="AS61" s="145"/>
      <c r="AT61" s="145">
        <f>SUMIFS(student!$C:$C,student!$A:$A,管理表!$B$61,student!$B:$B,管理表!AT$3)</f>
        <v>0</v>
      </c>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f>SUMIFS(student!$C:$C,student!$A:$A,管理表!$B$61,student!$B:$B,管理表!CN$3)</f>
        <v>0</v>
      </c>
      <c r="CO61" s="145">
        <f>SUMIFS(student!$C:$C,student!$A:$A,管理表!$B$61,student!$B:$B,管理表!CO$3)</f>
        <v>0</v>
      </c>
      <c r="CP61" s="145">
        <f>SUMIFS(student!$C:$C,student!$A:$A,管理表!$B$61,student!$B:$B,管理表!CP$3)</f>
        <v>0</v>
      </c>
    </row>
    <row r="62" spans="1:94" ht="15">
      <c r="A62" s="13"/>
      <c r="B62" s="8" t="s">
        <v>158</v>
      </c>
      <c r="C62" s="145">
        <f>SUMIFS(student!$C:$C,student!$A:$A,管理表!$B$62,student!$B:$B,管理表!C$3)</f>
        <v>0</v>
      </c>
      <c r="D62" s="145"/>
      <c r="E62" s="145">
        <f>SUMIFS(student!$C:$C,student!$A:$A,管理表!$B$62,student!$B:$B,管理表!E$3)</f>
        <v>0</v>
      </c>
      <c r="F62" s="145"/>
      <c r="G62" s="145"/>
      <c r="H62" s="145"/>
      <c r="I62" s="145"/>
      <c r="J62" s="145"/>
      <c r="K62" s="145"/>
      <c r="L62" s="145"/>
      <c r="M62" s="145">
        <f>SUMIFS(student!$C:$C,student!$A:$A,管理表!$B$62,student!$B:$B,管理表!M$3)</f>
        <v>0</v>
      </c>
      <c r="N62" s="145"/>
      <c r="O62" s="145"/>
      <c r="P62" s="145"/>
      <c r="Q62" s="145"/>
      <c r="R62" s="145"/>
      <c r="S62" s="145"/>
      <c r="T62" s="145"/>
      <c r="U62" s="145">
        <f>SUMIFS(student!$C:$C,student!$A:$A,管理表!$B$62,student!$B:$B,管理表!U$3)</f>
        <v>0</v>
      </c>
      <c r="V62" s="145"/>
      <c r="W62" s="145"/>
      <c r="X62" s="145"/>
      <c r="Y62" s="145"/>
      <c r="Z62" s="145"/>
      <c r="AA62" s="145"/>
      <c r="AB62" s="145"/>
      <c r="AC62" s="145">
        <f>SUMIFS(student!$C:$C,student!$A:$A,管理表!$B$62,student!$B:$B,管理表!AC$3)</f>
        <v>0</v>
      </c>
      <c r="AD62" s="145"/>
      <c r="AE62" s="145">
        <f>SUMIFS(student!$C:$C,student!$A:$A,管理表!$B$62,student!$B:$B,管理表!AE$3)</f>
        <v>0</v>
      </c>
      <c r="AF62" s="145">
        <f>SUMIFS(student!$C:$C,student!$A:$A,管理表!$B$62,student!$B:$B,管理表!AF$3)</f>
        <v>0</v>
      </c>
      <c r="AG62" s="145">
        <f>SUMIFS(student!$C:$C,student!$A:$A,管理表!$B$62,student!$B:$B,管理表!AG$3)</f>
        <v>0</v>
      </c>
      <c r="AH62" s="145"/>
      <c r="AI62" s="145">
        <f>SUMIFS(student!$C:$C,student!$A:$A,管理表!$B$62,student!$B:$B,管理表!AI$3)</f>
        <v>0</v>
      </c>
      <c r="AJ62" s="145">
        <f>SUMIFS(student!$C:$C,student!$A:$A,管理表!$B$62,student!$B:$B,管理表!AJ$3)</f>
        <v>0</v>
      </c>
      <c r="AK62" s="145">
        <f>SUMIFS(student!$C:$C,student!$A:$A,管理表!$B$62,student!$B:$B,管理表!AK$3)</f>
        <v>0</v>
      </c>
      <c r="AL62" s="145"/>
      <c r="AM62" s="145">
        <f>SUMIFS(student!$C:$C,student!$A:$A,管理表!$B$62,student!$B:$B,管理表!AM$3)</f>
        <v>0</v>
      </c>
      <c r="AN62" s="145"/>
      <c r="AO62" s="145"/>
      <c r="AP62" s="145">
        <f>SUMIFS(student!$C:$C,student!$A:$A,管理表!$B$62,student!$B:$B,管理表!AP$3)</f>
        <v>0</v>
      </c>
      <c r="AQ62" s="145">
        <f>SUMIFS(student!$C:$C,student!$A:$A,管理表!$B$62,student!$B:$B,管理表!AQ$3)</f>
        <v>0</v>
      </c>
      <c r="AR62" s="145">
        <f>SUMIFS(student!$C:$C,student!$A:$A,管理表!$B$62,student!$B:$B,管理表!AR$3)</f>
        <v>0</v>
      </c>
      <c r="AS62" s="145"/>
      <c r="AT62" s="145">
        <f>SUMIFS(student!$C:$C,student!$A:$A,管理表!$B$62,student!$B:$B,管理表!AT$3)</f>
        <v>0</v>
      </c>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f>SUMIFS(student!$C:$C,student!$A:$A,管理表!$B$62,student!$B:$B,管理表!CN$3)</f>
        <v>0</v>
      </c>
      <c r="CO62" s="145">
        <f>SUMIFS(student!$C:$C,student!$A:$A,管理表!$B$62,student!$B:$B,管理表!CO$3)</f>
        <v>0</v>
      </c>
      <c r="CP62" s="145">
        <f>SUMIFS(student!$C:$C,student!$A:$A,管理表!$B$62,student!$B:$B,管理表!CP$3)</f>
        <v>0</v>
      </c>
    </row>
    <row r="63" spans="1:94" ht="15">
      <c r="A63" s="13"/>
      <c r="B63" s="8" t="s">
        <v>159</v>
      </c>
      <c r="C63" s="145">
        <f>SUMIFS(student!$C:$C,student!$A:$A,管理表!$B$63,student!$B:$B,管理表!C$3)</f>
        <v>0</v>
      </c>
      <c r="D63" s="145"/>
      <c r="E63" s="145">
        <f>SUMIFS(student!$C:$C,student!$A:$A,管理表!$B$63,student!$B:$B,管理表!E$3)</f>
        <v>0</v>
      </c>
      <c r="F63" s="145"/>
      <c r="G63" s="145"/>
      <c r="H63" s="145"/>
      <c r="I63" s="145"/>
      <c r="J63" s="145"/>
      <c r="K63" s="145"/>
      <c r="L63" s="145"/>
      <c r="M63" s="145">
        <f>SUMIFS(student!$C:$C,student!$A:$A,管理表!$B$63,student!$B:$B,管理表!M$3)</f>
        <v>0</v>
      </c>
      <c r="N63" s="145"/>
      <c r="O63" s="145"/>
      <c r="P63" s="145"/>
      <c r="Q63" s="145"/>
      <c r="R63" s="145"/>
      <c r="S63" s="145"/>
      <c r="T63" s="145"/>
      <c r="U63" s="145">
        <f>SUMIFS(student!$C:$C,student!$A:$A,管理表!$B$63,student!$B:$B,管理表!U$3)</f>
        <v>0</v>
      </c>
      <c r="V63" s="145"/>
      <c r="W63" s="145"/>
      <c r="X63" s="145"/>
      <c r="Y63" s="145"/>
      <c r="Z63" s="145"/>
      <c r="AA63" s="145"/>
      <c r="AB63" s="145"/>
      <c r="AC63" s="145">
        <f>SUMIFS(student!$C:$C,student!$A:$A,管理表!$B$63,student!$B:$B,管理表!AC$3)</f>
        <v>0</v>
      </c>
      <c r="AD63" s="145"/>
      <c r="AE63" s="145">
        <f>SUMIFS(student!$C:$C,student!$A:$A,管理表!$B$63,student!$B:$B,管理表!AE$3)</f>
        <v>0</v>
      </c>
      <c r="AF63" s="145">
        <f>SUMIFS(student!$C:$C,student!$A:$A,管理表!$B$63,student!$B:$B,管理表!AF$3)</f>
        <v>0</v>
      </c>
      <c r="AG63" s="145">
        <f>SUMIFS(student!$C:$C,student!$A:$A,管理表!$B$63,student!$B:$B,管理表!AG$3)</f>
        <v>0</v>
      </c>
      <c r="AH63" s="145"/>
      <c r="AI63" s="145">
        <f>SUMIFS(student!$C:$C,student!$A:$A,管理表!$B$63,student!$B:$B,管理表!AI$3)</f>
        <v>0</v>
      </c>
      <c r="AJ63" s="145">
        <f>SUMIFS(student!$C:$C,student!$A:$A,管理表!$B$63,student!$B:$B,管理表!AJ$3)</f>
        <v>0</v>
      </c>
      <c r="AK63" s="145">
        <f>SUMIFS(student!$C:$C,student!$A:$A,管理表!$B$63,student!$B:$B,管理表!AK$3)</f>
        <v>0</v>
      </c>
      <c r="AL63" s="145"/>
      <c r="AM63" s="145">
        <f>SUMIFS(student!$C:$C,student!$A:$A,管理表!$B$63,student!$B:$B,管理表!AM$3)</f>
        <v>0</v>
      </c>
      <c r="AN63" s="145"/>
      <c r="AO63" s="145"/>
      <c r="AP63" s="145">
        <f>SUMIFS(student!$C:$C,student!$A:$A,管理表!$B$63,student!$B:$B,管理表!AP$3)</f>
        <v>0</v>
      </c>
      <c r="AQ63" s="145">
        <f>SUMIFS(student!$C:$C,student!$A:$A,管理表!$B$63,student!$B:$B,管理表!AQ$3)</f>
        <v>0</v>
      </c>
      <c r="AR63" s="145">
        <f>SUMIFS(student!$C:$C,student!$A:$A,管理表!$B$63,student!$B:$B,管理表!AR$3)</f>
        <v>12</v>
      </c>
      <c r="AS63" s="145"/>
      <c r="AT63" s="145">
        <f>SUMIFS(student!$C:$C,student!$A:$A,管理表!$B$63,student!$B:$B,管理表!AT$3)</f>
        <v>12</v>
      </c>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c r="BX63" s="145"/>
      <c r="BY63" s="145"/>
      <c r="BZ63" s="145"/>
      <c r="CA63" s="145"/>
      <c r="CB63" s="145"/>
      <c r="CC63" s="145"/>
      <c r="CD63" s="145"/>
      <c r="CE63" s="145"/>
      <c r="CF63" s="145"/>
      <c r="CG63" s="145"/>
      <c r="CH63" s="145"/>
      <c r="CI63" s="145"/>
      <c r="CJ63" s="145"/>
      <c r="CK63" s="145"/>
      <c r="CL63" s="145"/>
      <c r="CM63" s="145"/>
      <c r="CN63" s="145">
        <f>SUMIFS(student!$C:$C,student!$A:$A,管理表!$B$63,student!$B:$B,管理表!CN$3)</f>
        <v>0</v>
      </c>
      <c r="CO63" s="145">
        <f>SUMIFS(student!$C:$C,student!$A:$A,管理表!$B$63,student!$B:$B,管理表!CO$3)</f>
        <v>0</v>
      </c>
      <c r="CP63" s="145">
        <f>SUMIFS(student!$C:$C,student!$A:$A,管理表!$B$63,student!$B:$B,管理表!CP$3)</f>
        <v>0</v>
      </c>
    </row>
    <row r="64" spans="1:94" ht="15">
      <c r="A64" s="13"/>
      <c r="B64" s="8" t="s">
        <v>160</v>
      </c>
      <c r="C64" s="145">
        <f>SUMIFS(student!$C:$C,student!$A:$A,管理表!$B$64,student!$B:$B,管理表!C$3)</f>
        <v>0</v>
      </c>
      <c r="D64" s="145"/>
      <c r="E64" s="145">
        <f>SUMIFS(student!$C:$C,student!$A:$A,管理表!$B$64,student!$B:$B,管理表!E$3)</f>
        <v>0</v>
      </c>
      <c r="F64" s="145"/>
      <c r="G64" s="145"/>
      <c r="H64" s="145"/>
      <c r="I64" s="145"/>
      <c r="J64" s="145"/>
      <c r="K64" s="145"/>
      <c r="L64" s="145"/>
      <c r="M64" s="145">
        <f>SUMIFS(student!$C:$C,student!$A:$A,管理表!$B$64,student!$B:$B,管理表!M$3)</f>
        <v>0</v>
      </c>
      <c r="N64" s="145"/>
      <c r="O64" s="145"/>
      <c r="P64" s="145"/>
      <c r="Q64" s="145"/>
      <c r="R64" s="145"/>
      <c r="S64" s="145"/>
      <c r="T64" s="145"/>
      <c r="U64" s="145">
        <f>SUMIFS(student!$C:$C,student!$A:$A,管理表!$B$64,student!$B:$B,管理表!U$3)</f>
        <v>0</v>
      </c>
      <c r="V64" s="145"/>
      <c r="W64" s="145"/>
      <c r="X64" s="145"/>
      <c r="Y64" s="145"/>
      <c r="Z64" s="145"/>
      <c r="AA64" s="145"/>
      <c r="AB64" s="145"/>
      <c r="AC64" s="145">
        <f>SUMIFS(student!$C:$C,student!$A:$A,管理表!$B$64,student!$B:$B,管理表!AC$3)</f>
        <v>0</v>
      </c>
      <c r="AD64" s="145"/>
      <c r="AE64" s="145">
        <f>SUMIFS(student!$C:$C,student!$A:$A,管理表!$B$64,student!$B:$B,管理表!AE$3)</f>
        <v>0</v>
      </c>
      <c r="AF64" s="145">
        <f>SUMIFS(student!$C:$C,student!$A:$A,管理表!$B$64,student!$B:$B,管理表!AF$3)</f>
        <v>0</v>
      </c>
      <c r="AG64" s="145">
        <f>SUMIFS(student!$C:$C,student!$A:$A,管理表!$B$64,student!$B:$B,管理表!AG$3)</f>
        <v>0</v>
      </c>
      <c r="AH64" s="145"/>
      <c r="AI64" s="145">
        <f>SUMIFS(student!$C:$C,student!$A:$A,管理表!$B$64,student!$B:$B,管理表!AI$3)</f>
        <v>0</v>
      </c>
      <c r="AJ64" s="145">
        <f>SUMIFS(student!$C:$C,student!$A:$A,管理表!$B$64,student!$B:$B,管理表!AJ$3)</f>
        <v>0</v>
      </c>
      <c r="AK64" s="145">
        <f>SUMIFS(student!$C:$C,student!$A:$A,管理表!$B$64,student!$B:$B,管理表!AK$3)</f>
        <v>0</v>
      </c>
      <c r="AL64" s="145"/>
      <c r="AM64" s="145">
        <f>SUMIFS(student!$C:$C,student!$A:$A,管理表!$B$64,student!$B:$B,管理表!AM$3)</f>
        <v>0</v>
      </c>
      <c r="AN64" s="145"/>
      <c r="AO64" s="145"/>
      <c r="AP64" s="145">
        <f>SUMIFS(student!$C:$C,student!$A:$A,管理表!$B$64,student!$B:$B,管理表!AP$3)</f>
        <v>0</v>
      </c>
      <c r="AQ64" s="145">
        <f>SUMIFS(student!$C:$C,student!$A:$A,管理表!$B$64,student!$B:$B,管理表!AQ$3)</f>
        <v>0</v>
      </c>
      <c r="AR64" s="145">
        <f>SUMIFS(student!$C:$C,student!$A:$A,管理表!$B$64,student!$B:$B,管理表!AR$3)</f>
        <v>0</v>
      </c>
      <c r="AS64" s="145"/>
      <c r="AT64" s="145">
        <f>SUMIFS(student!$C:$C,student!$A:$A,管理表!$B$64,student!$B:$B,管理表!AT$3)</f>
        <v>0</v>
      </c>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c r="BX64" s="145"/>
      <c r="BY64" s="145"/>
      <c r="BZ64" s="145"/>
      <c r="CA64" s="145"/>
      <c r="CB64" s="145"/>
      <c r="CC64" s="145"/>
      <c r="CD64" s="145"/>
      <c r="CE64" s="145"/>
      <c r="CF64" s="145"/>
      <c r="CG64" s="145"/>
      <c r="CH64" s="145"/>
      <c r="CI64" s="145"/>
      <c r="CJ64" s="145"/>
      <c r="CK64" s="145"/>
      <c r="CL64" s="145"/>
      <c r="CM64" s="145"/>
      <c r="CN64" s="145">
        <f>SUMIFS(student!$C:$C,student!$A:$A,管理表!$B$64,student!$B:$B,管理表!CN$3)</f>
        <v>0</v>
      </c>
      <c r="CO64" s="145">
        <f>SUMIFS(student!$C:$C,student!$A:$A,管理表!$B$64,student!$B:$B,管理表!CO$3)</f>
        <v>0</v>
      </c>
      <c r="CP64" s="145">
        <f>SUMIFS(student!$C:$C,student!$A:$A,管理表!$B$64,student!$B:$B,管理表!CP$3)</f>
        <v>0</v>
      </c>
    </row>
    <row r="65" spans="1:94" ht="15">
      <c r="A65" s="13"/>
      <c r="B65" s="8" t="s">
        <v>161</v>
      </c>
      <c r="C65" s="145">
        <f>SUMIFS(student!$C:$C,student!$A:$A,管理表!$B$65,student!$B:$B,管理表!C$3)</f>
        <v>0</v>
      </c>
      <c r="D65" s="145"/>
      <c r="E65" s="145">
        <f>SUMIFS(student!$C:$C,student!$A:$A,管理表!$B$65,student!$B:$B,管理表!E$3)</f>
        <v>0</v>
      </c>
      <c r="F65" s="145"/>
      <c r="G65" s="145"/>
      <c r="H65" s="145"/>
      <c r="I65" s="145"/>
      <c r="J65" s="145"/>
      <c r="K65" s="145"/>
      <c r="L65" s="145"/>
      <c r="M65" s="145">
        <f>SUMIFS(student!$C:$C,student!$A:$A,管理表!$B$65,student!$B:$B,管理表!M$3)</f>
        <v>0</v>
      </c>
      <c r="N65" s="145"/>
      <c r="O65" s="145"/>
      <c r="P65" s="145"/>
      <c r="Q65" s="145"/>
      <c r="R65" s="145"/>
      <c r="S65" s="145"/>
      <c r="T65" s="145"/>
      <c r="U65" s="145">
        <f>SUMIFS(student!$C:$C,student!$A:$A,管理表!$B$65,student!$B:$B,管理表!U$3)</f>
        <v>0</v>
      </c>
      <c r="V65" s="145"/>
      <c r="W65" s="145"/>
      <c r="X65" s="145"/>
      <c r="Y65" s="145"/>
      <c r="Z65" s="145"/>
      <c r="AA65" s="145"/>
      <c r="AB65" s="145"/>
      <c r="AC65" s="145">
        <f>SUMIFS(student!$C:$C,student!$A:$A,管理表!$B$65,student!$B:$B,管理表!AC$3)</f>
        <v>0</v>
      </c>
      <c r="AD65" s="145"/>
      <c r="AE65" s="145">
        <f>SUMIFS(student!$C:$C,student!$A:$A,管理表!$B$65,student!$B:$B,管理表!AE$3)</f>
        <v>0</v>
      </c>
      <c r="AF65" s="145">
        <f>SUMIFS(student!$C:$C,student!$A:$A,管理表!$B$65,student!$B:$B,管理表!AF$3)</f>
        <v>0</v>
      </c>
      <c r="AG65" s="145">
        <f>SUMIFS(student!$C:$C,student!$A:$A,管理表!$B$65,student!$B:$B,管理表!AG$3)</f>
        <v>0</v>
      </c>
      <c r="AH65" s="145"/>
      <c r="AI65" s="145">
        <f>SUMIFS(student!$C:$C,student!$A:$A,管理表!$B$65,student!$B:$B,管理表!AI$3)</f>
        <v>0</v>
      </c>
      <c r="AJ65" s="145">
        <f>SUMIFS(student!$C:$C,student!$A:$A,管理表!$B$65,student!$B:$B,管理表!AJ$3)</f>
        <v>0</v>
      </c>
      <c r="AK65" s="145">
        <f>SUMIFS(student!$C:$C,student!$A:$A,管理表!$B$65,student!$B:$B,管理表!AK$3)</f>
        <v>0</v>
      </c>
      <c r="AL65" s="145"/>
      <c r="AM65" s="145">
        <f>SUMIFS(student!$C:$C,student!$A:$A,管理表!$B$65,student!$B:$B,管理表!AM$3)</f>
        <v>0</v>
      </c>
      <c r="AN65" s="145"/>
      <c r="AO65" s="145"/>
      <c r="AP65" s="145">
        <f>SUMIFS(student!$C:$C,student!$A:$A,管理表!$B$65,student!$B:$B,管理表!AP$3)</f>
        <v>0</v>
      </c>
      <c r="AQ65" s="145">
        <f>SUMIFS(student!$C:$C,student!$A:$A,管理表!$B$65,student!$B:$B,管理表!AQ$3)</f>
        <v>0</v>
      </c>
      <c r="AR65" s="145">
        <f>SUMIFS(student!$C:$C,student!$A:$A,管理表!$B$65,student!$B:$B,管理表!AR$3)</f>
        <v>0</v>
      </c>
      <c r="AS65" s="145"/>
      <c r="AT65" s="145">
        <f>SUMIFS(student!$C:$C,student!$A:$A,管理表!$B$65,student!$B:$B,管理表!AT$3)</f>
        <v>0</v>
      </c>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c r="BX65" s="145"/>
      <c r="BY65" s="145"/>
      <c r="BZ65" s="145"/>
      <c r="CA65" s="145"/>
      <c r="CB65" s="145"/>
      <c r="CC65" s="145"/>
      <c r="CD65" s="145"/>
      <c r="CE65" s="145"/>
      <c r="CF65" s="145"/>
      <c r="CG65" s="145"/>
      <c r="CH65" s="145"/>
      <c r="CI65" s="145"/>
      <c r="CJ65" s="145"/>
      <c r="CK65" s="145"/>
      <c r="CL65" s="145"/>
      <c r="CM65" s="145"/>
      <c r="CN65" s="145">
        <f>SUMIFS(student!$C:$C,student!$A:$A,管理表!$B$65,student!$B:$B,管理表!CN$3)</f>
        <v>0</v>
      </c>
      <c r="CO65" s="145">
        <f>SUMIFS(student!$C:$C,student!$A:$A,管理表!$B$65,student!$B:$B,管理表!CO$3)</f>
        <v>0</v>
      </c>
      <c r="CP65" s="145">
        <f>SUMIFS(student!$C:$C,student!$A:$A,管理表!$B$65,student!$B:$B,管理表!CP$3)</f>
        <v>0</v>
      </c>
    </row>
    <row r="66" spans="1:94" ht="13.2">
      <c r="A66" s="13"/>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row>
    <row r="67" spans="1:94" ht="13.2">
      <c r="A67" s="13"/>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row>
    <row r="68" spans="1:94" ht="13.2">
      <c r="A68" s="13"/>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row>
    <row r="69" spans="1:94" ht="13.2">
      <c r="A69" s="13"/>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row>
    <row r="70" spans="1:94" ht="13.2">
      <c r="A70" s="13"/>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row>
    <row r="71" spans="1:94" ht="13.2">
      <c r="A71" s="13"/>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row>
    <row r="72" spans="1:94" ht="13.2">
      <c r="A72" s="13"/>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row>
    <row r="73" spans="1:94" ht="13.2">
      <c r="A73" s="13"/>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row>
    <row r="74" spans="1:94" ht="13.2">
      <c r="A74" s="13"/>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row>
    <row r="75" spans="1:94" ht="13.2">
      <c r="A75" s="13"/>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row>
    <row r="76" spans="1:94" ht="13.2">
      <c r="A76" s="13"/>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row>
    <row r="77" spans="1:94" ht="13.2">
      <c r="A77" s="13"/>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row>
    <row r="78" spans="1:94" ht="13.2">
      <c r="A78" s="13"/>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row>
    <row r="79" spans="1:94" ht="13.2">
      <c r="A79" s="13"/>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row>
    <row r="80" spans="1:94" ht="13.2">
      <c r="A80" s="13"/>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row>
    <row r="81" spans="1:94" ht="13.2">
      <c r="A81" s="13"/>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row>
    <row r="82" spans="1:94" ht="13.2">
      <c r="A82" s="13"/>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row>
    <row r="83" spans="1:94" ht="13.2">
      <c r="A83" s="13"/>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row>
    <row r="84" spans="1:94" ht="13.2">
      <c r="A84" s="13"/>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row>
    <row r="85" spans="1:94" ht="13.2">
      <c r="A85" s="13"/>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row>
    <row r="86" spans="1:94" ht="13.2">
      <c r="A86" s="13"/>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row>
    <row r="87" spans="1:94" ht="13.2">
      <c r="A87" s="13"/>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row>
    <row r="88" spans="1:94" ht="13.2">
      <c r="A88" s="13"/>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row>
    <row r="89" spans="1:94" ht="13.2">
      <c r="A89" s="13"/>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row>
    <row r="90" spans="1:94" ht="13.2">
      <c r="A90" s="13"/>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row>
    <row r="91" spans="1:94" ht="13.2">
      <c r="A91" s="13"/>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row>
    <row r="92" spans="1:94" ht="13.2">
      <c r="A92" s="13"/>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row>
    <row r="93" spans="1:94" ht="13.2">
      <c r="A93" s="13"/>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row>
    <row r="94" spans="1:94" ht="13.2">
      <c r="A94" s="13"/>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row>
    <row r="95" spans="1:94" ht="13.2">
      <c r="A95" s="13"/>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row>
    <row r="96" spans="1:94" ht="13.2">
      <c r="A96" s="13"/>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row>
    <row r="97" spans="1:94" ht="13.2">
      <c r="A97" s="13"/>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row>
    <row r="98" spans="1:94" ht="13.2">
      <c r="A98" s="13"/>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row>
    <row r="99" spans="1:94" ht="13.2">
      <c r="A99" s="13"/>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row>
    <row r="100" spans="1:94" ht="13.2">
      <c r="A100" s="13"/>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row>
    <row r="101" spans="1:94" ht="13.2">
      <c r="A101" s="13"/>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row>
    <row r="102" spans="1:94" ht="13.2">
      <c r="A102" s="13"/>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row>
    <row r="103" spans="1:94" ht="13.2">
      <c r="A103" s="13"/>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row>
    <row r="104" spans="1:94" ht="13.2">
      <c r="A104" s="13"/>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row>
    <row r="105" spans="1:94" ht="13.2">
      <c r="A105" s="13"/>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row>
    <row r="106" spans="1:94" ht="13.2">
      <c r="A106" s="13"/>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row>
    <row r="107" spans="1:94" ht="13.2">
      <c r="A107" s="13"/>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row>
    <row r="108" spans="1:94" ht="13.2">
      <c r="A108" s="13"/>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row>
    <row r="109" spans="1:94" ht="13.2">
      <c r="A109" s="13"/>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row>
    <row r="110" spans="1:94" ht="13.2">
      <c r="A110" s="13"/>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row>
    <row r="111" spans="1:94" ht="13.2">
      <c r="A111" s="13"/>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row>
    <row r="112" spans="1:94" ht="13.2">
      <c r="A112" s="13"/>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row>
    <row r="113" spans="1:94" ht="13.2">
      <c r="A113" s="13"/>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row>
    <row r="114" spans="1:94" ht="13.2">
      <c r="A114" s="13"/>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row>
    <row r="115" spans="1:94" ht="13.2">
      <c r="A115" s="13"/>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row>
    <row r="116" spans="1:94" ht="13.2">
      <c r="A116" s="13"/>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row>
    <row r="117" spans="1:94" ht="13.2">
      <c r="A117" s="13"/>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row>
    <row r="118" spans="1:94" ht="13.2">
      <c r="A118" s="13"/>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row>
    <row r="119" spans="1:94" ht="13.2">
      <c r="A119" s="13"/>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row>
    <row r="120" spans="1:94" ht="13.2">
      <c r="A120" s="13"/>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row>
    <row r="121" spans="1:94" ht="13.2">
      <c r="A121" s="13"/>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row>
    <row r="122" spans="1:94" ht="13.2">
      <c r="A122" s="13"/>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row>
    <row r="123" spans="1:94" ht="13.2">
      <c r="A123" s="13"/>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row>
    <row r="124" spans="1:94" ht="13.2">
      <c r="A124" s="13"/>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row>
    <row r="125" spans="1:94" ht="13.2">
      <c r="A125" s="13"/>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row>
    <row r="126" spans="1:94" ht="13.2">
      <c r="A126" s="13"/>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row>
    <row r="127" spans="1:94" ht="13.2">
      <c r="A127" s="13"/>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row>
    <row r="128" spans="1:94" ht="13.2">
      <c r="A128" s="13"/>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row>
    <row r="129" spans="1:94" ht="13.2">
      <c r="A129" s="13"/>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row>
    <row r="130" spans="1:94" ht="13.2">
      <c r="A130" s="13"/>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row>
    <row r="131" spans="1:94" ht="13.2">
      <c r="A131" s="13"/>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row>
    <row r="132" spans="1:94" ht="13.2">
      <c r="A132" s="13"/>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row>
    <row r="133" spans="1:94" ht="13.2">
      <c r="A133" s="13"/>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row>
    <row r="134" spans="1:94" ht="13.2">
      <c r="A134" s="13"/>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row>
    <row r="135" spans="1:94" ht="13.2">
      <c r="A135" s="13"/>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row>
    <row r="136" spans="1:94" ht="13.2">
      <c r="A136" s="13"/>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row>
    <row r="137" spans="1:94" ht="13.2">
      <c r="A137" s="13"/>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row>
    <row r="138" spans="1:94" ht="13.2">
      <c r="A138" s="13"/>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row>
    <row r="139" spans="1:94" ht="13.2">
      <c r="A139" s="13"/>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row>
    <row r="140" spans="1:94" ht="13.2">
      <c r="A140" s="13"/>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row>
    <row r="141" spans="1:94" ht="13.2">
      <c r="A141" s="13"/>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row>
    <row r="142" spans="1:94" ht="13.2">
      <c r="A142" s="13"/>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row>
    <row r="143" spans="1:94" ht="13.2">
      <c r="A143" s="13"/>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row>
    <row r="144" spans="1:94" ht="13.2">
      <c r="A144" s="13"/>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row>
    <row r="145" spans="1:94" ht="13.2">
      <c r="A145" s="13"/>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row>
    <row r="146" spans="1:94" ht="13.2">
      <c r="A146" s="13"/>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row>
    <row r="147" spans="1:94" ht="13.2">
      <c r="A147" s="13"/>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row>
    <row r="148" spans="1:94" ht="13.2">
      <c r="A148" s="13"/>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row>
    <row r="149" spans="1:94" ht="13.2">
      <c r="A149" s="13"/>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row>
    <row r="150" spans="1:94" ht="13.2">
      <c r="A150" s="13"/>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row>
    <row r="151" spans="1:94" ht="13.2">
      <c r="A151" s="13"/>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row>
    <row r="152" spans="1:94" ht="13.2">
      <c r="A152" s="13"/>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row>
    <row r="153" spans="1:94" ht="13.2">
      <c r="A153" s="13"/>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row>
    <row r="154" spans="1:94" ht="13.2">
      <c r="A154" s="13"/>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row>
    <row r="155" spans="1:94" ht="13.2">
      <c r="A155" s="13"/>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row>
    <row r="156" spans="1:94" ht="13.2">
      <c r="A156" s="13"/>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row>
    <row r="157" spans="1:94" ht="13.2">
      <c r="A157" s="13"/>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row>
    <row r="158" spans="1:94" ht="13.2">
      <c r="A158" s="13"/>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row>
    <row r="159" spans="1:94" ht="13.2">
      <c r="A159" s="13"/>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row>
    <row r="160" spans="1:94" ht="13.2">
      <c r="A160" s="13"/>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row>
    <row r="161" spans="1:94" ht="13.2">
      <c r="A161" s="13"/>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row>
    <row r="162" spans="1:94" ht="13.2">
      <c r="A162" s="13"/>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row>
    <row r="163" spans="1:94" ht="13.2">
      <c r="A163" s="13"/>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row>
    <row r="164" spans="1:94" ht="13.2">
      <c r="A164" s="13"/>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row>
    <row r="165" spans="1:94" ht="13.2">
      <c r="A165" s="13"/>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row>
    <row r="166" spans="1:94" ht="13.2">
      <c r="A166" s="13"/>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row>
    <row r="167" spans="1:94" ht="13.2">
      <c r="A167" s="13"/>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row>
    <row r="168" spans="1:94" ht="13.2">
      <c r="A168" s="13"/>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row>
    <row r="169" spans="1:94" ht="13.2">
      <c r="A169" s="13"/>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row>
    <row r="170" spans="1:94" ht="13.2">
      <c r="A170" s="13"/>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row>
    <row r="171" spans="1:94" ht="13.2">
      <c r="A171" s="13"/>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row>
    <row r="172" spans="1:94" ht="13.2">
      <c r="A172" s="13"/>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row>
    <row r="173" spans="1:94" ht="13.2">
      <c r="A173" s="13"/>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row>
    <row r="174" spans="1:94" ht="13.2">
      <c r="A174" s="13"/>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row>
    <row r="175" spans="1:94" ht="13.2">
      <c r="A175" s="13"/>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row>
    <row r="176" spans="1:94" ht="13.2">
      <c r="A176" s="13"/>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row>
    <row r="177" spans="1:94" ht="13.2">
      <c r="A177" s="13"/>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row>
    <row r="178" spans="1:94" ht="13.2">
      <c r="A178" s="13"/>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row>
    <row r="179" spans="1:94" ht="13.2">
      <c r="A179" s="13"/>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row>
    <row r="180" spans="1:94" ht="13.2">
      <c r="A180" s="13"/>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row>
    <row r="181" spans="1:94" ht="13.2">
      <c r="A181" s="13"/>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row>
    <row r="182" spans="1:94" ht="13.2">
      <c r="A182" s="13"/>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row>
    <row r="183" spans="1:94" ht="13.2">
      <c r="A183" s="13"/>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row>
    <row r="184" spans="1:94" ht="13.2">
      <c r="A184" s="13"/>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row>
    <row r="185" spans="1:94" ht="13.2">
      <c r="A185" s="13"/>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row>
    <row r="186" spans="1:94" ht="13.2">
      <c r="A186" s="13"/>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row>
    <row r="187" spans="1:94" ht="13.2">
      <c r="A187" s="13"/>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row>
    <row r="188" spans="1:94" ht="13.2">
      <c r="A188" s="13"/>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row>
    <row r="189" spans="1:94" ht="13.2">
      <c r="A189" s="13"/>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row>
    <row r="190" spans="1:94" ht="13.2">
      <c r="A190" s="13"/>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row>
    <row r="191" spans="1:94" ht="13.2">
      <c r="A191" s="13"/>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row>
    <row r="192" spans="1:94" ht="13.2">
      <c r="A192" s="13"/>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row>
    <row r="193" spans="1:94" ht="13.2">
      <c r="A193" s="13"/>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row>
    <row r="194" spans="1:94" ht="13.2">
      <c r="A194" s="13"/>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row>
    <row r="195" spans="1:94" ht="13.2">
      <c r="A195" s="13"/>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row>
    <row r="196" spans="1:94" ht="13.2">
      <c r="A196" s="13"/>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row>
    <row r="197" spans="1:94" ht="13.2">
      <c r="A197" s="13"/>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row>
    <row r="198" spans="1:94" ht="13.2">
      <c r="A198" s="13"/>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row>
    <row r="199" spans="1:94" ht="13.2">
      <c r="A199" s="13"/>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row>
    <row r="200" spans="1:94" ht="13.2">
      <c r="A200" s="13"/>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row>
    <row r="201" spans="1:94" ht="13.2">
      <c r="A201" s="13"/>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row>
    <row r="202" spans="1:94" ht="13.2">
      <c r="A202" s="13"/>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row>
    <row r="203" spans="1:94" ht="13.2">
      <c r="A203" s="13"/>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row>
    <row r="204" spans="1:94" ht="13.2">
      <c r="A204" s="13"/>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row>
    <row r="205" spans="1:94" ht="13.2">
      <c r="A205" s="13"/>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row>
    <row r="206" spans="1:94" ht="13.2">
      <c r="A206" s="13"/>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row>
    <row r="207" spans="1:94" ht="13.2">
      <c r="A207" s="13"/>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row>
    <row r="208" spans="1:94" ht="13.2">
      <c r="A208" s="13"/>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row>
    <row r="209" spans="1:94" ht="13.2">
      <c r="A209" s="13"/>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row>
    <row r="210" spans="1:94" ht="13.2">
      <c r="A210" s="13"/>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row>
    <row r="211" spans="1:94" ht="13.2">
      <c r="A211" s="13"/>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row>
    <row r="212" spans="1:94" ht="13.2">
      <c r="A212" s="13"/>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row>
    <row r="213" spans="1:94" ht="13.2">
      <c r="A213" s="13"/>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row>
    <row r="214" spans="1:94" ht="13.2">
      <c r="A214" s="13"/>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row>
    <row r="215" spans="1:94" ht="13.2">
      <c r="A215" s="13"/>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row>
    <row r="216" spans="1:94" ht="13.2">
      <c r="A216" s="13"/>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row>
    <row r="217" spans="1:94" ht="13.2">
      <c r="A217" s="13"/>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row>
    <row r="218" spans="1:94" ht="13.2">
      <c r="A218" s="13"/>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row>
    <row r="219" spans="1:94" ht="13.2">
      <c r="A219" s="13"/>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row>
    <row r="220" spans="1:94" ht="13.2">
      <c r="A220" s="13"/>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row>
    <row r="221" spans="1:94" ht="13.2">
      <c r="A221" s="13"/>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row>
    <row r="222" spans="1:94" ht="13.2">
      <c r="A222" s="13"/>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row>
    <row r="223" spans="1:94" ht="13.2">
      <c r="A223" s="13"/>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row>
    <row r="224" spans="1:94" ht="13.2">
      <c r="A224" s="13"/>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row>
    <row r="225" spans="1:94" ht="13.2">
      <c r="A225" s="13"/>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row>
    <row r="226" spans="1:94" ht="13.2">
      <c r="A226" s="13"/>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row>
    <row r="227" spans="1:94" ht="13.2">
      <c r="A227" s="13"/>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row>
    <row r="228" spans="1:94" ht="13.2">
      <c r="A228" s="13"/>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row>
    <row r="229" spans="1:94" ht="13.2">
      <c r="A229" s="13"/>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row>
    <row r="230" spans="1:94" ht="13.2">
      <c r="A230" s="13"/>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row>
    <row r="231" spans="1:94" ht="13.2">
      <c r="A231" s="13"/>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row>
    <row r="232" spans="1:94" ht="13.2">
      <c r="A232" s="13"/>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row>
    <row r="233" spans="1:94" ht="13.2">
      <c r="A233" s="13"/>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row>
    <row r="234" spans="1:94" ht="13.2">
      <c r="A234" s="13"/>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row>
    <row r="235" spans="1:94" ht="13.2">
      <c r="A235" s="13"/>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row>
    <row r="236" spans="1:94" ht="13.2">
      <c r="A236" s="13"/>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row>
    <row r="237" spans="1:94" ht="13.2">
      <c r="A237" s="13"/>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row>
    <row r="238" spans="1:94" ht="13.2">
      <c r="A238" s="13"/>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row>
    <row r="239" spans="1:94" ht="13.2">
      <c r="A239" s="13"/>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row>
    <row r="240" spans="1:94" ht="13.2">
      <c r="A240" s="13"/>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row>
    <row r="241" spans="1:94" ht="13.2">
      <c r="A241" s="13"/>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row>
    <row r="242" spans="1:94" ht="13.2">
      <c r="A242" s="13"/>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row>
    <row r="243" spans="1:94" ht="13.2">
      <c r="A243" s="13"/>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row>
    <row r="244" spans="1:94" ht="13.2">
      <c r="A244" s="13"/>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row>
    <row r="245" spans="1:94" ht="13.2">
      <c r="A245" s="13"/>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row>
    <row r="246" spans="1:94" ht="13.2">
      <c r="A246" s="13"/>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row>
    <row r="247" spans="1:94" ht="13.2">
      <c r="A247" s="13"/>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row>
    <row r="248" spans="1:94" ht="13.2">
      <c r="A248" s="13"/>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row>
    <row r="249" spans="1:94" ht="13.2">
      <c r="A249" s="13"/>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row>
    <row r="250" spans="1:94" ht="13.2">
      <c r="A250" s="13"/>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row>
    <row r="251" spans="1:94" ht="13.2">
      <c r="A251" s="13"/>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row>
    <row r="252" spans="1:94" ht="13.2">
      <c r="A252" s="13"/>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row>
    <row r="253" spans="1:94" ht="13.2">
      <c r="A253" s="13"/>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row>
    <row r="254" spans="1:94" ht="13.2">
      <c r="A254" s="13"/>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row>
    <row r="255" spans="1:94" ht="13.2">
      <c r="A255" s="13"/>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row>
    <row r="256" spans="1:94" ht="13.2">
      <c r="A256" s="13"/>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row>
    <row r="257" spans="1:94" ht="13.2">
      <c r="A257" s="13"/>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row>
    <row r="258" spans="1:94" ht="13.2">
      <c r="A258" s="13"/>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row>
    <row r="259" spans="1:94" ht="13.2">
      <c r="A259" s="13"/>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row>
    <row r="260" spans="1:94" ht="13.2">
      <c r="A260" s="13"/>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row>
    <row r="261" spans="1:94" ht="13.2">
      <c r="A261" s="13"/>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row>
    <row r="262" spans="1:94" ht="13.2">
      <c r="A262" s="13"/>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row>
    <row r="263" spans="1:94" ht="13.2">
      <c r="A263" s="13"/>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row>
    <row r="264" spans="1:94" ht="13.2">
      <c r="A264" s="13"/>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row>
    <row r="265" spans="1:94" ht="13.2">
      <c r="A265" s="13"/>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row>
    <row r="266" spans="1:94" ht="13.2">
      <c r="A266" s="13"/>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row>
    <row r="267" spans="1:94" ht="13.2">
      <c r="A267" s="13"/>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row>
    <row r="268" spans="1:94" ht="13.2">
      <c r="A268" s="13"/>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row>
    <row r="269" spans="1:94" ht="13.2">
      <c r="A269" s="13"/>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row>
    <row r="270" spans="1:94" ht="13.2">
      <c r="A270" s="13"/>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row>
    <row r="271" spans="1:94" ht="13.2">
      <c r="A271" s="13"/>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row>
    <row r="272" spans="1:94" ht="13.2">
      <c r="A272" s="13"/>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row>
    <row r="273" spans="1:94" ht="13.2">
      <c r="A273" s="13"/>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row>
    <row r="274" spans="1:94" ht="13.2">
      <c r="A274" s="13"/>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row>
    <row r="275" spans="1:94" ht="13.2">
      <c r="A275" s="13"/>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row>
    <row r="276" spans="1:94" ht="13.2">
      <c r="A276" s="13"/>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row>
    <row r="277" spans="1:94" ht="13.2">
      <c r="A277" s="13"/>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row>
    <row r="278" spans="1:94" ht="13.2">
      <c r="A278" s="13"/>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row>
    <row r="279" spans="1:94" ht="13.2">
      <c r="A279" s="13"/>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row>
    <row r="280" spans="1:94" ht="13.2">
      <c r="A280" s="13"/>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row>
    <row r="281" spans="1:94" ht="13.2">
      <c r="A281" s="13"/>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row>
    <row r="282" spans="1:94" ht="13.2">
      <c r="A282" s="13"/>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row>
    <row r="283" spans="1:94" ht="13.2">
      <c r="A283" s="13"/>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row>
    <row r="284" spans="1:94" ht="13.2">
      <c r="A284" s="13"/>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row>
    <row r="285" spans="1:94" ht="13.2">
      <c r="A285" s="13"/>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row>
    <row r="286" spans="1:94" ht="13.2">
      <c r="A286" s="13"/>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row>
    <row r="287" spans="1:94" ht="13.2">
      <c r="A287" s="13"/>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row>
    <row r="288" spans="1:94" ht="13.2">
      <c r="A288" s="13"/>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row>
    <row r="289" spans="1:94" ht="13.2">
      <c r="A289" s="13"/>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row>
    <row r="290" spans="1:94" ht="13.2">
      <c r="A290" s="13"/>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row>
    <row r="291" spans="1:94" ht="13.2">
      <c r="A291" s="13"/>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row>
    <row r="292" spans="1:94" ht="13.2">
      <c r="A292" s="13"/>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row>
    <row r="293" spans="1:94" ht="13.2">
      <c r="A293" s="13"/>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row>
    <row r="294" spans="1:94" ht="13.2">
      <c r="A294" s="13"/>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row>
    <row r="295" spans="1:94" ht="13.2">
      <c r="A295" s="13"/>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row>
    <row r="296" spans="1:94" ht="13.2">
      <c r="A296" s="13"/>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row>
    <row r="297" spans="1:94" ht="13.2">
      <c r="A297" s="13"/>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row>
    <row r="298" spans="1:94" ht="13.2">
      <c r="A298" s="13"/>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row>
    <row r="299" spans="1:94" ht="13.2">
      <c r="A299" s="13"/>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row>
    <row r="300" spans="1:94" ht="13.2">
      <c r="A300" s="13"/>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row>
    <row r="301" spans="1:94" ht="13.2">
      <c r="A301" s="13"/>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row>
    <row r="302" spans="1:94" ht="13.2">
      <c r="A302" s="13"/>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row>
    <row r="303" spans="1:94" ht="13.2">
      <c r="A303" s="13"/>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row>
    <row r="304" spans="1:94" ht="13.2">
      <c r="A304" s="13"/>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row>
    <row r="305" spans="1:94" ht="13.2">
      <c r="A305" s="13"/>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row>
    <row r="306" spans="1:94" ht="13.2">
      <c r="A306" s="13"/>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row>
    <row r="307" spans="1:94" ht="13.2">
      <c r="A307" s="13"/>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row>
    <row r="308" spans="1:94" ht="13.2">
      <c r="A308" s="13"/>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row>
    <row r="309" spans="1:94" ht="13.2">
      <c r="A309" s="13"/>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row>
    <row r="310" spans="1:94" ht="13.2">
      <c r="A310" s="13"/>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row>
    <row r="311" spans="1:94" ht="13.2">
      <c r="A311" s="13"/>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row>
    <row r="312" spans="1:94" ht="13.2">
      <c r="A312" s="13"/>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row>
    <row r="313" spans="1:94" ht="13.2">
      <c r="A313" s="13"/>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row>
    <row r="314" spans="1:94" ht="13.2">
      <c r="A314" s="13"/>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row>
    <row r="315" spans="1:94" ht="13.2">
      <c r="A315" s="13"/>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row>
    <row r="316" spans="1:94" ht="13.2">
      <c r="A316" s="13"/>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row>
    <row r="317" spans="1:94" ht="13.2">
      <c r="A317" s="13"/>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row>
    <row r="318" spans="1:94" ht="13.2">
      <c r="A318" s="13"/>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row>
    <row r="319" spans="1:94" ht="13.2">
      <c r="A319" s="13"/>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row>
    <row r="320" spans="1:94" ht="13.2">
      <c r="A320" s="13"/>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row>
    <row r="321" spans="1:94" ht="13.2">
      <c r="A321" s="13"/>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row>
    <row r="322" spans="1:94" ht="13.2">
      <c r="A322" s="13"/>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row>
    <row r="323" spans="1:94" ht="13.2">
      <c r="A323" s="13"/>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row>
    <row r="324" spans="1:94" ht="13.2">
      <c r="A324" s="13"/>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row>
    <row r="325" spans="1:94" ht="13.2">
      <c r="A325" s="13"/>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row>
    <row r="326" spans="1:94" ht="13.2">
      <c r="A326" s="13"/>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row>
    <row r="327" spans="1:94" ht="13.2">
      <c r="A327" s="13"/>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row>
    <row r="328" spans="1:94" ht="13.2">
      <c r="A328" s="13"/>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row>
    <row r="329" spans="1:94" ht="13.2">
      <c r="A329" s="13"/>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row>
    <row r="330" spans="1:94" ht="13.2">
      <c r="A330" s="13"/>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row>
    <row r="331" spans="1:94" ht="13.2">
      <c r="A331" s="13"/>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row>
    <row r="332" spans="1:94" ht="13.2">
      <c r="A332" s="13"/>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row>
    <row r="333" spans="1:94" ht="13.2">
      <c r="A333" s="13"/>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row>
    <row r="334" spans="1:94" ht="13.2">
      <c r="A334" s="13"/>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row>
    <row r="335" spans="1:94" ht="13.2">
      <c r="A335" s="13"/>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row>
    <row r="336" spans="1:94" ht="13.2">
      <c r="A336" s="13"/>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row>
    <row r="337" spans="1:94" ht="13.2">
      <c r="A337" s="13"/>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row>
    <row r="338" spans="1:94" ht="13.2">
      <c r="A338" s="13"/>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row>
    <row r="339" spans="1:94" ht="13.2">
      <c r="A339" s="13"/>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row>
    <row r="340" spans="1:94" ht="13.2">
      <c r="A340" s="13"/>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row>
    <row r="341" spans="1:94" ht="13.2">
      <c r="A341" s="13"/>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row>
    <row r="342" spans="1:94" ht="13.2">
      <c r="A342" s="13"/>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row>
    <row r="343" spans="1:94" ht="13.2">
      <c r="A343" s="13"/>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row>
    <row r="344" spans="1:94" ht="13.2">
      <c r="A344" s="13"/>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row>
    <row r="345" spans="1:94" ht="13.2">
      <c r="A345" s="13"/>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row>
    <row r="346" spans="1:94" ht="13.2">
      <c r="A346" s="13"/>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row>
    <row r="347" spans="1:94" ht="13.2">
      <c r="A347" s="13"/>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row>
    <row r="348" spans="1:94" ht="13.2">
      <c r="A348" s="13"/>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row>
    <row r="349" spans="1:94" ht="13.2">
      <c r="A349" s="13"/>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row>
    <row r="350" spans="1:94" ht="13.2">
      <c r="A350" s="13"/>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row>
    <row r="351" spans="1:94" ht="13.2">
      <c r="A351" s="13"/>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row>
    <row r="352" spans="1:94" ht="13.2">
      <c r="A352" s="13"/>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row>
    <row r="353" spans="1:94" ht="13.2">
      <c r="A353" s="13"/>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row>
    <row r="354" spans="1:94" ht="13.2">
      <c r="A354" s="13"/>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row>
    <row r="355" spans="1:94" ht="13.2">
      <c r="A355" s="13"/>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row>
    <row r="356" spans="1:94" ht="13.2">
      <c r="A356" s="13"/>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row>
    <row r="357" spans="1:94" ht="13.2">
      <c r="A357" s="13"/>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row>
    <row r="358" spans="1:94" ht="13.2">
      <c r="A358" s="13"/>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row>
    <row r="359" spans="1:94" ht="13.2">
      <c r="A359" s="13"/>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row>
    <row r="360" spans="1:94" ht="13.2">
      <c r="A360" s="13"/>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row>
    <row r="361" spans="1:94" ht="13.2">
      <c r="A361" s="13"/>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row>
    <row r="362" spans="1:94" ht="13.2">
      <c r="A362" s="13"/>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row>
    <row r="363" spans="1:94" ht="13.2">
      <c r="A363" s="13"/>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row>
    <row r="364" spans="1:94" ht="13.2">
      <c r="A364" s="13"/>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row>
    <row r="365" spans="1:94" ht="13.2">
      <c r="A365" s="13"/>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row>
    <row r="366" spans="1:94" ht="13.2">
      <c r="A366" s="13"/>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row>
    <row r="367" spans="1:94" ht="13.2">
      <c r="A367" s="13"/>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row>
    <row r="368" spans="1:94" ht="13.2">
      <c r="A368" s="13"/>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row>
    <row r="369" spans="1:94" ht="13.2">
      <c r="A369" s="13"/>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row>
    <row r="370" spans="1:94" ht="13.2">
      <c r="A370" s="13"/>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row>
    <row r="371" spans="1:94" ht="13.2">
      <c r="A371" s="13"/>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row>
    <row r="372" spans="1:94" ht="13.2">
      <c r="A372" s="13"/>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row>
    <row r="373" spans="1:94" ht="13.2">
      <c r="A373" s="13"/>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row>
    <row r="374" spans="1:94" ht="13.2">
      <c r="A374" s="13"/>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row>
    <row r="375" spans="1:94" ht="13.2">
      <c r="A375" s="13"/>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row>
    <row r="376" spans="1:94" ht="13.2">
      <c r="A376" s="13"/>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row>
    <row r="377" spans="1:94" ht="13.2">
      <c r="A377" s="13"/>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row>
    <row r="378" spans="1:94" ht="13.2">
      <c r="A378" s="13"/>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row>
    <row r="379" spans="1:94" ht="13.2">
      <c r="A379" s="13"/>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row>
    <row r="380" spans="1:94" ht="13.2">
      <c r="A380" s="13"/>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row>
    <row r="381" spans="1:94" ht="13.2">
      <c r="A381" s="13"/>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row>
    <row r="382" spans="1:94" ht="13.2">
      <c r="A382" s="13"/>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row>
    <row r="383" spans="1:94" ht="13.2">
      <c r="A383" s="13"/>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row>
    <row r="384" spans="1:94" ht="13.2">
      <c r="A384" s="13"/>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row>
    <row r="385" spans="1:94" ht="13.2">
      <c r="A385" s="13"/>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row>
    <row r="386" spans="1:94" ht="13.2">
      <c r="A386" s="13"/>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row>
    <row r="387" spans="1:94" ht="13.2">
      <c r="A387" s="13"/>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row>
    <row r="388" spans="1:94" ht="13.2">
      <c r="A388" s="13"/>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row>
    <row r="389" spans="1:94" ht="13.2">
      <c r="A389" s="13"/>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row>
    <row r="390" spans="1:94" ht="13.2">
      <c r="A390" s="13"/>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row>
    <row r="391" spans="1:94" ht="13.2">
      <c r="A391" s="13"/>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row>
    <row r="392" spans="1:94" ht="13.2">
      <c r="A392" s="13"/>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row>
    <row r="393" spans="1:94" ht="13.2">
      <c r="A393" s="13"/>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row>
    <row r="394" spans="1:94" ht="13.2">
      <c r="A394" s="13"/>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row>
    <row r="395" spans="1:94" ht="13.2">
      <c r="A395" s="13"/>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row>
    <row r="396" spans="1:94" ht="13.2">
      <c r="A396" s="13"/>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row>
    <row r="397" spans="1:94" ht="13.2">
      <c r="A397" s="13"/>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row>
    <row r="398" spans="1:94" ht="13.2">
      <c r="A398" s="13"/>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row>
    <row r="399" spans="1:94" ht="13.2">
      <c r="A399" s="13"/>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row>
    <row r="400" spans="1:94" ht="13.2">
      <c r="A400" s="13"/>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row>
    <row r="401" spans="1:94" ht="13.2">
      <c r="A401" s="13"/>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row>
    <row r="402" spans="1:94" ht="13.2">
      <c r="A402" s="13"/>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row>
    <row r="403" spans="1:94" ht="13.2">
      <c r="A403" s="13"/>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row>
    <row r="404" spans="1:94" ht="13.2">
      <c r="A404" s="13"/>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row>
    <row r="405" spans="1:94" ht="13.2">
      <c r="A405" s="13"/>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row>
    <row r="406" spans="1:94" ht="13.2">
      <c r="A406" s="13"/>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row>
    <row r="407" spans="1:94" ht="13.2">
      <c r="A407" s="13"/>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row>
    <row r="408" spans="1:94" ht="13.2">
      <c r="A408" s="13"/>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row>
    <row r="409" spans="1:94" ht="13.2">
      <c r="A409" s="13"/>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row>
    <row r="410" spans="1:94" ht="13.2">
      <c r="A410" s="13"/>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row>
    <row r="411" spans="1:94" ht="13.2">
      <c r="A411" s="13"/>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row>
    <row r="412" spans="1:94" ht="13.2">
      <c r="A412" s="13"/>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row>
    <row r="413" spans="1:94" ht="13.2">
      <c r="A413" s="13"/>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row>
    <row r="414" spans="1:94" ht="13.2">
      <c r="A414" s="13"/>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row>
    <row r="415" spans="1:94" ht="13.2">
      <c r="A415" s="13"/>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row>
    <row r="416" spans="1:94" ht="13.2">
      <c r="A416" s="13"/>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row>
    <row r="417" spans="1:94" ht="13.2">
      <c r="A417" s="13"/>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row>
    <row r="418" spans="1:94" ht="13.2">
      <c r="A418" s="13"/>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row>
    <row r="419" spans="1:94" ht="13.2">
      <c r="A419" s="13"/>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row>
    <row r="420" spans="1:94" ht="13.2">
      <c r="A420" s="13"/>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row>
    <row r="421" spans="1:94" ht="13.2">
      <c r="A421" s="13"/>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row>
    <row r="422" spans="1:94" ht="13.2">
      <c r="A422" s="13"/>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row>
    <row r="423" spans="1:94" ht="13.2">
      <c r="A423" s="13"/>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row>
    <row r="424" spans="1:94" ht="13.2">
      <c r="A424" s="13"/>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row>
    <row r="425" spans="1:94" ht="13.2">
      <c r="A425" s="13"/>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row>
    <row r="426" spans="1:94" ht="13.2">
      <c r="A426" s="13"/>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row>
    <row r="427" spans="1:94" ht="13.2">
      <c r="A427" s="13"/>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row>
    <row r="428" spans="1:94" ht="13.2">
      <c r="A428" s="13"/>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row>
    <row r="429" spans="1:94" ht="13.2">
      <c r="A429" s="13"/>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row>
    <row r="430" spans="1:94" ht="13.2">
      <c r="A430" s="13"/>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row>
    <row r="431" spans="1:94" ht="13.2">
      <c r="A431" s="13"/>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row>
    <row r="432" spans="1:94" ht="13.2">
      <c r="A432" s="13"/>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row>
    <row r="433" spans="1:94" ht="13.2">
      <c r="A433" s="13"/>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row>
    <row r="434" spans="1:94" ht="13.2">
      <c r="A434" s="13"/>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row>
    <row r="435" spans="1:94" ht="13.2">
      <c r="A435" s="13"/>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row>
    <row r="436" spans="1:94" ht="13.2">
      <c r="A436" s="13"/>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row>
    <row r="437" spans="1:94" ht="13.2">
      <c r="A437" s="13"/>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row>
    <row r="438" spans="1:94" ht="13.2">
      <c r="A438" s="13"/>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row>
    <row r="439" spans="1:94" ht="13.2">
      <c r="A439" s="13"/>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row>
    <row r="440" spans="1:94" ht="13.2">
      <c r="A440" s="13"/>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row>
    <row r="441" spans="1:94" ht="13.2">
      <c r="A441" s="13"/>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row>
    <row r="442" spans="1:94" ht="13.2">
      <c r="A442" s="13"/>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row>
    <row r="443" spans="1:94" ht="13.2">
      <c r="A443" s="13"/>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row>
    <row r="444" spans="1:94" ht="13.2">
      <c r="A444" s="13"/>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row>
    <row r="445" spans="1:94" ht="13.2">
      <c r="A445" s="13"/>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row>
    <row r="446" spans="1:94" ht="13.2">
      <c r="A446" s="13"/>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row>
    <row r="447" spans="1:94" ht="13.2">
      <c r="A447" s="13"/>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row>
    <row r="448" spans="1:94" ht="13.2">
      <c r="A448" s="13"/>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row>
    <row r="449" spans="1:94" ht="13.2">
      <c r="A449" s="13"/>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row>
    <row r="450" spans="1:94" ht="13.2">
      <c r="A450" s="13"/>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row>
    <row r="451" spans="1:94" ht="13.2">
      <c r="A451" s="13"/>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row>
    <row r="452" spans="1:94" ht="13.2">
      <c r="A452" s="13"/>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row>
    <row r="453" spans="1:94" ht="13.2">
      <c r="A453" s="13"/>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row>
    <row r="454" spans="1:94" ht="13.2">
      <c r="A454" s="13"/>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row>
    <row r="455" spans="1:94" ht="13.2">
      <c r="A455" s="13"/>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row>
    <row r="456" spans="1:94" ht="13.2">
      <c r="A456" s="13"/>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row>
    <row r="457" spans="1:94" ht="13.2">
      <c r="A457" s="13"/>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row>
    <row r="458" spans="1:94" ht="13.2">
      <c r="A458" s="13"/>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row>
    <row r="459" spans="1:94" ht="13.2">
      <c r="A459" s="13"/>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row>
    <row r="460" spans="1:94" ht="13.2">
      <c r="A460" s="13"/>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row>
    <row r="461" spans="1:94" ht="13.2">
      <c r="A461" s="13"/>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row>
    <row r="462" spans="1:94" ht="13.2">
      <c r="A462" s="13"/>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row>
    <row r="463" spans="1:94" ht="13.2">
      <c r="A463" s="13"/>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row>
    <row r="464" spans="1:94" ht="13.2">
      <c r="A464" s="13"/>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row>
    <row r="465" spans="1:94" ht="13.2">
      <c r="A465" s="13"/>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row>
    <row r="466" spans="1:94" ht="13.2">
      <c r="A466" s="13"/>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row>
    <row r="467" spans="1:94" ht="13.2">
      <c r="A467" s="13"/>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row>
    <row r="468" spans="1:94" ht="13.2">
      <c r="A468" s="13"/>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row>
    <row r="469" spans="1:94" ht="13.2">
      <c r="A469" s="13"/>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row>
    <row r="470" spans="1:94" ht="13.2">
      <c r="A470" s="13"/>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row>
    <row r="471" spans="1:94" ht="13.2">
      <c r="A471" s="13"/>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row>
    <row r="472" spans="1:94" ht="13.2">
      <c r="A472" s="13"/>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row>
    <row r="473" spans="1:94" ht="13.2">
      <c r="A473" s="13"/>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row>
    <row r="474" spans="1:94" ht="13.2">
      <c r="A474" s="13"/>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row>
    <row r="475" spans="1:94" ht="13.2">
      <c r="A475" s="13"/>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row>
    <row r="476" spans="1:94" ht="13.2">
      <c r="A476" s="13"/>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row>
    <row r="477" spans="1:94" ht="13.2">
      <c r="A477" s="13"/>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row>
    <row r="478" spans="1:94" ht="13.2">
      <c r="A478" s="13"/>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row>
    <row r="479" spans="1:94" ht="13.2">
      <c r="A479" s="13"/>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row>
    <row r="480" spans="1:94" ht="13.2">
      <c r="A480" s="13"/>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row>
    <row r="481" spans="1:94" ht="13.2">
      <c r="A481" s="13"/>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row>
    <row r="482" spans="1:94" ht="13.2">
      <c r="A482" s="13"/>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row>
    <row r="483" spans="1:94" ht="13.2">
      <c r="A483" s="13"/>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row>
    <row r="484" spans="1:94" ht="13.2">
      <c r="A484" s="13"/>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row>
    <row r="485" spans="1:94" ht="13.2">
      <c r="A485" s="13"/>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row>
    <row r="486" spans="1:94" ht="13.2">
      <c r="A486" s="13"/>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row>
    <row r="487" spans="1:94" ht="13.2">
      <c r="A487" s="13"/>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row>
    <row r="488" spans="1:94" ht="13.2">
      <c r="A488" s="13"/>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row>
    <row r="489" spans="1:94" ht="13.2">
      <c r="A489" s="13"/>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row>
    <row r="490" spans="1:94" ht="13.2">
      <c r="A490" s="13"/>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row>
    <row r="491" spans="1:94" ht="13.2">
      <c r="A491" s="13"/>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row>
    <row r="492" spans="1:94" ht="13.2">
      <c r="A492" s="13"/>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row>
    <row r="493" spans="1:94" ht="13.2">
      <c r="A493" s="13"/>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row>
    <row r="494" spans="1:94" ht="13.2">
      <c r="A494" s="13"/>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row>
    <row r="495" spans="1:94" ht="13.2">
      <c r="A495" s="13"/>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row>
    <row r="496" spans="1:94" ht="13.2">
      <c r="A496" s="13"/>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row>
    <row r="497" spans="1:94" ht="13.2">
      <c r="A497" s="13"/>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row>
    <row r="498" spans="1:94" ht="13.2">
      <c r="A498" s="13"/>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row>
    <row r="499" spans="1:94" ht="13.2">
      <c r="A499" s="13"/>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row>
    <row r="500" spans="1:94" ht="13.2">
      <c r="A500" s="13"/>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row>
  </sheetData>
  <phoneticPr fontId="4"/>
  <conditionalFormatting sqref="B43:B53">
    <cfRule type="containsText" dxfId="687" priority="5303" operator="containsText" text="修了生">
      <formula>NOT(ISERROR(SEARCH("修了生",B43)))</formula>
    </cfRule>
    <cfRule type="containsText" dxfId="686" priority="5304" operator="containsText" text="6G">
      <formula>NOT(ISERROR(SEARCH("6G",B43)))</formula>
    </cfRule>
    <cfRule type="containsText" dxfId="685" priority="5305" operator="containsText" text="6F">
      <formula>NOT(ISERROR(SEARCH("6F",B43)))</formula>
    </cfRule>
    <cfRule type="containsText" dxfId="684" priority="5306" operator="containsText" text="6E">
      <formula>NOT(ISERROR(SEARCH("6E",B43)))</formula>
    </cfRule>
    <cfRule type="containsText" dxfId="683" priority="5307" operator="containsText" text="6D">
      <formula>NOT(ISERROR(SEARCH("6D",B43)))</formula>
    </cfRule>
    <cfRule type="containsText" dxfId="682" priority="5308" operator="containsText" text="6C">
      <formula>NOT(ISERROR(SEARCH("6C",B43)))</formula>
    </cfRule>
    <cfRule type="containsText" dxfId="681" priority="5309" operator="containsText" text="6B">
      <formula>NOT(ISERROR(SEARCH("6B",B43)))</formula>
    </cfRule>
    <cfRule type="containsText" dxfId="680" priority="5310" operator="containsText" text="6A">
      <formula>NOT(ISERROR(SEARCH("6A",B43)))</formula>
    </cfRule>
    <cfRule type="containsText" dxfId="679" priority="5311" operator="containsText" text="7D">
      <formula>NOT(ISERROR(SEARCH("7D",B43)))</formula>
    </cfRule>
    <cfRule type="containsText" dxfId="678" priority="5312" operator="containsText" text="7C">
      <formula>NOT(ISERROR(SEARCH("7C",B43)))</formula>
    </cfRule>
    <cfRule type="containsText" dxfId="677" priority="5313" operator="containsText" text="7B">
      <formula>NOT(ISERROR(SEARCH("7B",B43)))</formula>
    </cfRule>
    <cfRule type="containsText" dxfId="676" priority="5314" operator="containsText" text="7A">
      <formula>NOT(ISERROR(SEARCH("7A",B43)))</formula>
    </cfRule>
  </conditionalFormatting>
  <conditionalFormatting sqref="C19:AU41 AY19:CP41">
    <cfRule type="containsText" dxfId="675" priority="4991" operator="containsText" text="不可">
      <formula>NOT(ISERROR(SEARCH("不可",C19)))</formula>
    </cfRule>
    <cfRule type="containsText" dxfId="674" priority="4992" operator="containsText" text="修了生">
      <formula>NOT(ISERROR(SEARCH("修了生",C19)))</formula>
    </cfRule>
    <cfRule type="containsText" dxfId="673" priority="4993" operator="containsText" text="6G">
      <formula>NOT(ISERROR(SEARCH("6G",C19)))</formula>
    </cfRule>
    <cfRule type="containsText" dxfId="672" priority="4994" operator="containsText" text="6F">
      <formula>NOT(ISERROR(SEARCH("6F",C19)))</formula>
    </cfRule>
    <cfRule type="containsText" dxfId="671" priority="4995" operator="containsText" text="6E">
      <formula>NOT(ISERROR(SEARCH("6E",C19)))</formula>
    </cfRule>
    <cfRule type="containsText" dxfId="670" priority="4996" operator="containsText" text="6D">
      <formula>NOT(ISERROR(SEARCH("6D",C19)))</formula>
    </cfRule>
    <cfRule type="containsText" dxfId="669" priority="4997" operator="containsText" text="6C">
      <formula>NOT(ISERROR(SEARCH("6C",C19)))</formula>
    </cfRule>
    <cfRule type="containsText" dxfId="668" priority="4998" operator="containsText" text="6B">
      <formula>NOT(ISERROR(SEARCH("6B",C19)))</formula>
    </cfRule>
    <cfRule type="containsText" dxfId="667" priority="4999" operator="containsText" text="6A">
      <formula>NOT(ISERROR(SEARCH("6A",C19)))</formula>
    </cfRule>
    <cfRule type="containsText" dxfId="666" priority="5000" operator="containsText" text="7D">
      <formula>NOT(ISERROR(SEARCH("7D",C19)))</formula>
    </cfRule>
    <cfRule type="containsText" dxfId="665" priority="5001" operator="containsText" text="7C">
      <formula>NOT(ISERROR(SEARCH("7C",C19)))</formula>
    </cfRule>
    <cfRule type="containsText" dxfId="664" priority="5002" operator="containsText" text="7B">
      <formula>NOT(ISERROR(SEARCH("7B",C19)))</formula>
    </cfRule>
    <cfRule type="containsText" dxfId="663" priority="5003" operator="containsText" text="7A">
      <formula>NOT(ISERROR(SEARCH("7A",C19)))</formula>
    </cfRule>
  </conditionalFormatting>
  <conditionalFormatting sqref="T12:AU12 C12:R12 AY12:CP12">
    <cfRule type="containsText" dxfId="662" priority="5320" operator="containsText" text="調整">
      <formula>NOT(ISERROR(SEARCH("調整",C12)))</formula>
    </cfRule>
  </conditionalFormatting>
  <conditionalFormatting sqref="C16:AU16 AY16:CP16">
    <cfRule type="cellIs" dxfId="661" priority="5315" operator="greaterThan">
      <formula>13</formula>
    </cfRule>
    <cfRule type="cellIs" dxfId="660" priority="5316" operator="greaterThan">
      <formula>13</formula>
    </cfRule>
    <cfRule type="cellIs" dxfId="659" priority="5317" operator="greaterThan">
      <formula>14</formula>
    </cfRule>
    <cfRule type="cellIs" dxfId="658" priority="5318" operator="greaterThan">
      <formula>13</formula>
    </cfRule>
    <cfRule type="cellIs" dxfId="657" priority="5319" operator="greaterThan">
      <formula>14</formula>
    </cfRule>
  </conditionalFormatting>
  <conditionalFormatting sqref="C15:AU15 AY15:CP15">
    <cfRule type="cellIs" dxfId="656" priority="5321" operator="equal">
      <formula>5</formula>
    </cfRule>
  </conditionalFormatting>
  <conditionalFormatting sqref="B55:B65">
    <cfRule type="containsText" dxfId="655" priority="4709" operator="containsText" text="修了生">
      <formula>NOT(ISERROR(SEARCH("修了生",B55)))</formula>
    </cfRule>
    <cfRule type="containsText" dxfId="654" priority="4710" operator="containsText" text="6G">
      <formula>NOT(ISERROR(SEARCH("6G",B55)))</formula>
    </cfRule>
    <cfRule type="containsText" dxfId="653" priority="4711" operator="containsText" text="6F">
      <formula>NOT(ISERROR(SEARCH("6F",B55)))</formula>
    </cfRule>
    <cfRule type="containsText" dxfId="652" priority="4712" operator="containsText" text="6E">
      <formula>NOT(ISERROR(SEARCH("6E",B55)))</formula>
    </cfRule>
    <cfRule type="containsText" dxfId="651" priority="4713" operator="containsText" text="6D">
      <formula>NOT(ISERROR(SEARCH("6D",B55)))</formula>
    </cfRule>
    <cfRule type="containsText" dxfId="650" priority="4714" operator="containsText" text="6C">
      <formula>NOT(ISERROR(SEARCH("6C",B55)))</formula>
    </cfRule>
    <cfRule type="containsText" dxfId="649" priority="4715" operator="containsText" text="6B">
      <formula>NOT(ISERROR(SEARCH("6B",B55)))</formula>
    </cfRule>
    <cfRule type="containsText" dxfId="648" priority="4716" operator="containsText" text="6A">
      <formula>NOT(ISERROR(SEARCH("6A",B55)))</formula>
    </cfRule>
    <cfRule type="containsText" dxfId="647" priority="4717" operator="containsText" text="7D">
      <formula>NOT(ISERROR(SEARCH("7D",B55)))</formula>
    </cfRule>
    <cfRule type="containsText" dxfId="646" priority="4718" operator="containsText" text="7C">
      <formula>NOT(ISERROR(SEARCH("7C",B55)))</formula>
    </cfRule>
    <cfRule type="containsText" dxfId="645" priority="4719" operator="containsText" text="7B">
      <formula>NOT(ISERROR(SEARCH("7B",B55)))</formula>
    </cfRule>
    <cfRule type="containsText" dxfId="644" priority="4720" operator="containsText" text="7A">
      <formula>NOT(ISERROR(SEARCH("7A",B55)))</formula>
    </cfRule>
  </conditionalFormatting>
  <conditionalFormatting sqref="K14:L14">
    <cfRule type="cellIs" dxfId="643" priority="12" operator="equal">
      <formula>5</formula>
    </cfRule>
  </conditionalFormatting>
  <conditionalFormatting sqref="S12">
    <cfRule type="containsText" dxfId="642" priority="11" operator="containsText" text="調整">
      <formula>NOT(ISERROR(SEARCH("調整",S12)))</formula>
    </cfRule>
  </conditionalFormatting>
  <conditionalFormatting sqref="AX16">
    <cfRule type="cellIs" dxfId="641" priority="6" operator="greaterThan">
      <formula>13</formula>
    </cfRule>
    <cfRule type="cellIs" dxfId="640" priority="7" operator="greaterThan">
      <formula>13</formula>
    </cfRule>
    <cfRule type="cellIs" dxfId="639" priority="8" operator="greaterThan">
      <formula>14</formula>
    </cfRule>
    <cfRule type="cellIs" dxfId="638" priority="9" operator="greaterThan">
      <formula>13</formula>
    </cfRule>
    <cfRule type="cellIs" dxfId="637" priority="10" operator="greaterThan">
      <formula>14</formula>
    </cfRule>
  </conditionalFormatting>
  <conditionalFormatting sqref="AW16">
    <cfRule type="cellIs" dxfId="636" priority="1" operator="greaterThan">
      <formula>13</formula>
    </cfRule>
    <cfRule type="cellIs" dxfId="635" priority="2" operator="greaterThan">
      <formula>13</formula>
    </cfRule>
    <cfRule type="cellIs" dxfId="634" priority="3" operator="greaterThan">
      <formula>14</formula>
    </cfRule>
    <cfRule type="cellIs" dxfId="633" priority="4" operator="greaterThan">
      <formula>13</formula>
    </cfRule>
    <cfRule type="cellIs" dxfId="632" priority="5" operator="greaterThan">
      <formula>14</formula>
    </cfRule>
  </conditionalFormatting>
  <printOptions horizontalCentered="1" gridLines="1"/>
  <pageMargins left="0.25" right="0.25" top="0.75" bottom="0.75" header="0.3" footer="0.3"/>
  <pageSetup paperSize="8" fitToHeight="0" pageOrder="overThenDown" orientation="portrait" cellComments="atEnd"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7BA4323-31F6-40E3-BB71-6BFE6300744D}">
          <x14:formula1>
            <xm:f>リスト表!$A$3:$A$20</xm:f>
          </x14:formula1>
          <xm:sqref>B43:B53 C19:AU41 AY5:CP11 C5:AU11 AW5:AX15 AV5:AV41 AW17:AX41 AY19:CP41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D7AA-1339-4334-9104-8613AF482321}">
  <sheetPr codeName="Sheet1"/>
  <dimension ref="E2:H14"/>
  <sheetViews>
    <sheetView showGridLines="0" workbookViewId="0">
      <selection activeCell="G6" sqref="G6"/>
    </sheetView>
  </sheetViews>
  <sheetFormatPr defaultRowHeight="13.2"/>
  <cols>
    <col min="7" max="7" width="13.5546875" bestFit="1" customWidth="1"/>
    <col min="8" max="8" width="12.44140625" bestFit="1" customWidth="1"/>
  </cols>
  <sheetData>
    <row r="2" spans="5:8">
      <c r="E2" s="199" t="s">
        <v>173</v>
      </c>
      <c r="F2" s="199" t="s">
        <v>172</v>
      </c>
      <c r="G2" s="199" t="s">
        <v>174</v>
      </c>
      <c r="H2" s="199" t="s">
        <v>175</v>
      </c>
    </row>
    <row r="3" spans="5:8">
      <c r="E3" s="198" t="s">
        <v>12</v>
      </c>
      <c r="F3" s="202">
        <f>COUNTIF(list!A:A,top!E3)</f>
        <v>0</v>
      </c>
      <c r="G3" s="202">
        <f>COUNTIF(student!A:A,top!E3)</f>
        <v>0</v>
      </c>
      <c r="H3" s="202">
        <f>SUMIF(student!A:A,top!E3,student!C:C)</f>
        <v>0</v>
      </c>
    </row>
    <row r="4" spans="5:8">
      <c r="E4" s="198" t="s">
        <v>13</v>
      </c>
      <c r="F4" s="202">
        <f>COUNTIF(list!A:A,top!E4)</f>
        <v>10</v>
      </c>
      <c r="G4" s="202">
        <f>COUNTIF(student!A:A,top!E4)</f>
        <v>6</v>
      </c>
      <c r="H4" s="202">
        <f>SUMIF(student!A:A,top!E4,student!C:C)</f>
        <v>65</v>
      </c>
    </row>
    <row r="5" spans="5:8">
      <c r="E5" s="198" t="s">
        <v>14</v>
      </c>
      <c r="F5" s="202">
        <f>COUNTIF(list!A:A,top!E5)</f>
        <v>0</v>
      </c>
      <c r="G5" s="202">
        <f>COUNTIF(student!A:A,top!E5)</f>
        <v>0</v>
      </c>
      <c r="H5" s="202">
        <f>SUMIF(student!A:A,top!E5,student!C:C)</f>
        <v>0</v>
      </c>
    </row>
    <row r="6" spans="5:8">
      <c r="E6" s="198" t="s">
        <v>15</v>
      </c>
      <c r="F6" s="202">
        <f>COUNTIF(list!A:A,top!E6)</f>
        <v>8</v>
      </c>
      <c r="G6" s="202">
        <f>COUNTIF(student!A:A,top!E6)</f>
        <v>6</v>
      </c>
      <c r="H6" s="202">
        <f>SUMIF(student!A:A,top!E6,student!C:C)</f>
        <v>33</v>
      </c>
    </row>
    <row r="7" spans="5:8">
      <c r="E7" s="198" t="s">
        <v>16</v>
      </c>
      <c r="F7" s="202">
        <f>COUNTIF(list!A:A,top!E7)</f>
        <v>8</v>
      </c>
      <c r="G7" s="202">
        <f>COUNTIF(student!A:A,top!E7)</f>
        <v>6</v>
      </c>
      <c r="H7" s="202">
        <f>SUMIF(student!A:A,top!E7,student!C:C)</f>
        <v>27</v>
      </c>
    </row>
    <row r="8" spans="5:8">
      <c r="E8" s="198" t="s">
        <v>17</v>
      </c>
      <c r="F8" s="202">
        <f>COUNTIF(list!A:A,top!E8)</f>
        <v>11</v>
      </c>
      <c r="G8" s="202">
        <f>COUNTIF(student!A:A,top!E8)</f>
        <v>0</v>
      </c>
      <c r="H8" s="202">
        <f>SUMIF(student!A:A,top!E8,student!C:C)</f>
        <v>0</v>
      </c>
    </row>
    <row r="9" spans="5:8">
      <c r="E9" s="198" t="s">
        <v>18</v>
      </c>
      <c r="F9" s="202">
        <f>COUNTIF(list!A:A,top!E9)</f>
        <v>0</v>
      </c>
      <c r="G9" s="202">
        <f>COUNTIF(student!A:A,top!E9)</f>
        <v>0</v>
      </c>
      <c r="H9" s="202">
        <f>SUMIF(student!A:A,top!E9,student!C:C)</f>
        <v>0</v>
      </c>
    </row>
    <row r="10" spans="5:8">
      <c r="E10" s="198" t="s">
        <v>19</v>
      </c>
      <c r="F10" s="202">
        <f>COUNTIF(list!A:A,top!E10)</f>
        <v>10</v>
      </c>
      <c r="G10" s="202">
        <f>COUNTIF(student!A:A,top!E10)</f>
        <v>0</v>
      </c>
      <c r="H10" s="202">
        <f>SUMIF(student!A:A,top!E10,student!C:C)</f>
        <v>0</v>
      </c>
    </row>
    <row r="11" spans="5:8">
      <c r="E11" s="198" t="s">
        <v>20</v>
      </c>
      <c r="F11" s="202">
        <f>COUNTIF(list!A:A,top!E11)</f>
        <v>7</v>
      </c>
      <c r="G11" s="202">
        <f>COUNTIF(student!A:A,top!E11)</f>
        <v>0</v>
      </c>
      <c r="H11" s="202">
        <f>SUMIF(student!A:A,top!E11,student!C:C)</f>
        <v>0</v>
      </c>
    </row>
    <row r="12" spans="5:8">
      <c r="E12" s="198" t="s">
        <v>21</v>
      </c>
      <c r="F12" s="202">
        <f>COUNTIF(list!A:A,top!E12)</f>
        <v>8</v>
      </c>
      <c r="G12" s="202">
        <f>COUNTIF(student!A:A,top!E12)</f>
        <v>6</v>
      </c>
      <c r="H12" s="202">
        <f>SUMIF(student!A:A,top!E12,student!C:C)</f>
        <v>70</v>
      </c>
    </row>
    <row r="13" spans="5:8">
      <c r="E13" s="198" t="s">
        <v>22</v>
      </c>
      <c r="F13" s="202">
        <f>COUNTIF(list!A:A,top!E13)</f>
        <v>10</v>
      </c>
      <c r="G13" s="202">
        <f>COUNTIF(student!A:A,top!E13)</f>
        <v>0</v>
      </c>
      <c r="H13" s="202">
        <f>SUMIF(student!A:A,top!E13,student!C:C)</f>
        <v>0</v>
      </c>
    </row>
    <row r="14" spans="5:8">
      <c r="E14" s="198" t="s">
        <v>23</v>
      </c>
      <c r="F14" s="202">
        <f>COUNTIF(list!A:A,top!E14)</f>
        <v>6</v>
      </c>
      <c r="G14" s="202">
        <f>COUNTIF(student!A:A,top!E14)</f>
        <v>0</v>
      </c>
      <c r="H14" s="202">
        <f>SUMIF(student!A:A,top!E14,student!C:C)</f>
        <v>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日別表読込">
                <anchor moveWithCells="1">
                  <from>
                    <xdr:col>1</xdr:col>
                    <xdr:colOff>144780</xdr:colOff>
                    <xdr:row>1</xdr:row>
                    <xdr:rowOff>76200</xdr:rowOff>
                  </from>
                  <to>
                    <xdr:col>3</xdr:col>
                    <xdr:colOff>0</xdr:colOff>
                    <xdr:row>2</xdr:row>
                    <xdr:rowOff>144780</xdr:rowOff>
                  </to>
                </anchor>
              </controlPr>
            </control>
          </mc:Choice>
        </mc:AlternateContent>
        <mc:AlternateContent xmlns:mc="http://schemas.openxmlformats.org/markup-compatibility/2006">
          <mc:Choice Requires="x14">
            <control shapeId="41986" r:id="rId5" name="Button 2">
              <controlPr defaultSize="0" print="0" autoFill="0" autoPict="0" macro="[0]!日程表読込">
                <anchor moveWithCells="1">
                  <from>
                    <xdr:col>1</xdr:col>
                    <xdr:colOff>144780</xdr:colOff>
                    <xdr:row>3</xdr:row>
                    <xdr:rowOff>76200</xdr:rowOff>
                  </from>
                  <to>
                    <xdr:col>3</xdr:col>
                    <xdr:colOff>0</xdr:colOff>
                    <xdr:row>4</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3F7EB-F043-45E1-BDD2-ADA3D7971F04}">
  <sheetPr codeName="Sheet2"/>
  <dimension ref="A1:C79"/>
  <sheetViews>
    <sheetView zoomScale="90" workbookViewId="0">
      <selection activeCell="B1691" sqref="B1691:C1721"/>
    </sheetView>
  </sheetViews>
  <sheetFormatPr defaultRowHeight="13.2"/>
  <cols>
    <col min="2" max="2" width="11" bestFit="1" customWidth="1"/>
    <col min="3" max="3" width="30" bestFit="1" customWidth="1"/>
    <col min="8" max="8" width="9.44140625" bestFit="1" customWidth="1"/>
  </cols>
  <sheetData>
    <row r="1" spans="1:3">
      <c r="A1" t="s">
        <v>121</v>
      </c>
      <c r="B1" t="s">
        <v>122</v>
      </c>
      <c r="C1" t="s">
        <v>123</v>
      </c>
    </row>
    <row r="2" spans="1:3">
      <c r="A2" t="s">
        <v>7</v>
      </c>
      <c r="B2" s="151">
        <v>45997</v>
      </c>
      <c r="C2" t="s">
        <v>56</v>
      </c>
    </row>
    <row r="3" spans="1:3">
      <c r="A3" t="s">
        <v>7</v>
      </c>
      <c r="B3" s="151">
        <v>46004</v>
      </c>
      <c r="C3" t="s">
        <v>56</v>
      </c>
    </row>
    <row r="4" spans="1:3">
      <c r="A4" t="s">
        <v>7</v>
      </c>
      <c r="B4" s="151">
        <v>46053</v>
      </c>
      <c r="C4" t="s">
        <v>67</v>
      </c>
    </row>
    <row r="5" spans="1:3">
      <c r="A5" t="s">
        <v>7</v>
      </c>
      <c r="B5" s="151">
        <v>46060</v>
      </c>
      <c r="C5" t="s">
        <v>67</v>
      </c>
    </row>
    <row r="6" spans="1:3">
      <c r="A6" t="s">
        <v>10</v>
      </c>
      <c r="B6" s="151">
        <v>46088</v>
      </c>
      <c r="C6" t="s">
        <v>56</v>
      </c>
    </row>
    <row r="7" spans="1:3">
      <c r="A7" t="s">
        <v>10</v>
      </c>
      <c r="B7" s="151">
        <v>46095</v>
      </c>
      <c r="C7" t="s">
        <v>56</v>
      </c>
    </row>
    <row r="8" spans="1:3">
      <c r="A8" t="s">
        <v>11</v>
      </c>
      <c r="B8" s="151">
        <v>46060</v>
      </c>
      <c r="C8" t="s">
        <v>56</v>
      </c>
    </row>
    <row r="9" spans="1:3">
      <c r="A9" t="s">
        <v>11</v>
      </c>
      <c r="B9" s="151">
        <v>46067</v>
      </c>
      <c r="C9" t="s">
        <v>56</v>
      </c>
    </row>
    <row r="10" spans="1:3">
      <c r="A10" t="s">
        <v>4</v>
      </c>
      <c r="B10" s="151">
        <v>45969</v>
      </c>
      <c r="C10" t="s">
        <v>56</v>
      </c>
    </row>
    <row r="11" spans="1:3">
      <c r="A11" t="s">
        <v>4</v>
      </c>
      <c r="B11" s="151">
        <v>45976</v>
      </c>
      <c r="C11" t="s">
        <v>56</v>
      </c>
    </row>
    <row r="12" spans="1:3">
      <c r="A12" t="s">
        <v>4</v>
      </c>
      <c r="B12" s="151">
        <v>46032</v>
      </c>
      <c r="C12" t="s">
        <v>67</v>
      </c>
    </row>
    <row r="13" spans="1:3">
      <c r="A13" t="s">
        <v>4</v>
      </c>
      <c r="B13" s="151">
        <v>46039</v>
      </c>
      <c r="C13" t="s">
        <v>67</v>
      </c>
    </row>
    <row r="14" spans="1:3">
      <c r="A14" t="s">
        <v>4</v>
      </c>
      <c r="B14" s="151">
        <v>46109</v>
      </c>
      <c r="C14" t="s">
        <v>68</v>
      </c>
    </row>
    <row r="15" spans="1:3">
      <c r="A15" t="s">
        <v>235</v>
      </c>
      <c r="B15" s="151">
        <v>46032</v>
      </c>
      <c r="C15" t="s">
        <v>56</v>
      </c>
    </row>
    <row r="16" spans="1:3">
      <c r="A16" t="s">
        <v>235</v>
      </c>
      <c r="B16" s="151">
        <v>46039</v>
      </c>
      <c r="C16" t="s">
        <v>56</v>
      </c>
    </row>
    <row r="17" spans="1:3">
      <c r="A17" t="s">
        <v>235</v>
      </c>
      <c r="B17" s="151">
        <v>46088</v>
      </c>
      <c r="C17" t="s">
        <v>67</v>
      </c>
    </row>
    <row r="18" spans="1:3">
      <c r="A18" t="s">
        <v>235</v>
      </c>
      <c r="B18" s="151">
        <v>46095</v>
      </c>
      <c r="C18" t="s">
        <v>67</v>
      </c>
    </row>
    <row r="19" spans="1:3">
      <c r="A19" t="s">
        <v>1</v>
      </c>
      <c r="B19" s="151">
        <v>46109</v>
      </c>
      <c r="C19" t="s">
        <v>56</v>
      </c>
    </row>
    <row r="20" spans="1:3">
      <c r="A20" t="s">
        <v>8</v>
      </c>
      <c r="B20" s="151">
        <v>46060</v>
      </c>
      <c r="C20" t="s">
        <v>56</v>
      </c>
    </row>
    <row r="21" spans="1:3">
      <c r="A21" t="s">
        <v>8</v>
      </c>
      <c r="B21" s="151">
        <v>46067</v>
      </c>
      <c r="C21" t="s">
        <v>56</v>
      </c>
    </row>
    <row r="22" spans="1:3">
      <c r="A22" t="s">
        <v>3</v>
      </c>
      <c r="B22" s="151">
        <v>46032</v>
      </c>
      <c r="C22" t="s">
        <v>56</v>
      </c>
    </row>
    <row r="23" spans="1:3">
      <c r="A23" t="s">
        <v>3</v>
      </c>
      <c r="B23" s="151">
        <v>46039</v>
      </c>
      <c r="C23" t="s">
        <v>56</v>
      </c>
    </row>
    <row r="24" spans="1:3">
      <c r="A24" t="s">
        <v>3</v>
      </c>
      <c r="B24" s="151">
        <v>46088</v>
      </c>
      <c r="C24" t="s">
        <v>67</v>
      </c>
    </row>
    <row r="25" spans="1:3">
      <c r="A25" t="s">
        <v>3</v>
      </c>
      <c r="B25" s="151">
        <v>46095</v>
      </c>
      <c r="C25" t="s">
        <v>67</v>
      </c>
    </row>
    <row r="26" spans="1:3">
      <c r="A26" t="s">
        <v>7</v>
      </c>
      <c r="B26" s="151">
        <v>45997</v>
      </c>
      <c r="C26" t="s">
        <v>56</v>
      </c>
    </row>
    <row r="27" spans="1:3">
      <c r="A27" t="s">
        <v>7</v>
      </c>
      <c r="B27" s="151">
        <v>46004</v>
      </c>
      <c r="C27" t="s">
        <v>56</v>
      </c>
    </row>
    <row r="28" spans="1:3">
      <c r="A28" t="s">
        <v>7</v>
      </c>
      <c r="B28" s="151">
        <v>46053</v>
      </c>
      <c r="C28" t="s">
        <v>67</v>
      </c>
    </row>
    <row r="29" spans="1:3">
      <c r="A29" t="s">
        <v>7</v>
      </c>
      <c r="B29" s="151">
        <v>46060</v>
      </c>
      <c r="C29" t="s">
        <v>67</v>
      </c>
    </row>
    <row r="30" spans="1:3">
      <c r="A30" t="s">
        <v>7</v>
      </c>
      <c r="B30" s="151">
        <v>46137</v>
      </c>
      <c r="C30" t="s">
        <v>68</v>
      </c>
    </row>
    <row r="31" spans="1:3">
      <c r="A31" t="s">
        <v>7</v>
      </c>
      <c r="B31" s="151">
        <v>46151</v>
      </c>
      <c r="C31" t="s">
        <v>68</v>
      </c>
    </row>
    <row r="32" spans="1:3">
      <c r="A32" t="s">
        <v>10</v>
      </c>
      <c r="B32" s="151">
        <v>46088</v>
      </c>
      <c r="C32" t="s">
        <v>56</v>
      </c>
    </row>
    <row r="33" spans="1:3">
      <c r="A33" t="s">
        <v>10</v>
      </c>
      <c r="B33" s="151">
        <v>46095</v>
      </c>
      <c r="C33" t="s">
        <v>56</v>
      </c>
    </row>
    <row r="34" spans="1:3">
      <c r="A34" t="s">
        <v>10</v>
      </c>
      <c r="B34" s="151">
        <v>46151</v>
      </c>
      <c r="C34" t="s">
        <v>67</v>
      </c>
    </row>
    <row r="35" spans="1:3">
      <c r="A35" t="s">
        <v>10</v>
      </c>
      <c r="B35" s="151">
        <v>46158</v>
      </c>
      <c r="C35" t="s">
        <v>67</v>
      </c>
    </row>
    <row r="36" spans="1:3">
      <c r="A36" t="s">
        <v>10</v>
      </c>
      <c r="B36" s="151">
        <v>46235</v>
      </c>
      <c r="C36" t="s">
        <v>68</v>
      </c>
    </row>
    <row r="37" spans="1:3">
      <c r="A37" t="s">
        <v>10</v>
      </c>
      <c r="B37" s="151">
        <v>46242</v>
      </c>
      <c r="C37" t="s">
        <v>68</v>
      </c>
    </row>
    <row r="38" spans="1:3">
      <c r="A38" t="s">
        <v>11</v>
      </c>
      <c r="B38" s="151">
        <v>46060</v>
      </c>
      <c r="C38" t="s">
        <v>56</v>
      </c>
    </row>
    <row r="39" spans="1:3">
      <c r="A39" t="s">
        <v>11</v>
      </c>
      <c r="B39" s="151">
        <v>46067</v>
      </c>
      <c r="C39" t="s">
        <v>56</v>
      </c>
    </row>
    <row r="40" spans="1:3">
      <c r="A40" t="s">
        <v>11</v>
      </c>
      <c r="B40" s="151">
        <v>46116</v>
      </c>
      <c r="C40" t="s">
        <v>67</v>
      </c>
    </row>
    <row r="41" spans="1:3">
      <c r="A41" t="s">
        <v>11</v>
      </c>
      <c r="B41" s="151">
        <v>46123</v>
      </c>
      <c r="C41" t="s">
        <v>67</v>
      </c>
    </row>
    <row r="42" spans="1:3">
      <c r="A42" t="s">
        <v>11</v>
      </c>
      <c r="B42" s="151">
        <v>46207</v>
      </c>
      <c r="C42" t="s">
        <v>68</v>
      </c>
    </row>
    <row r="43" spans="1:3">
      <c r="A43" t="s">
        <v>11</v>
      </c>
      <c r="B43" s="151">
        <v>46214</v>
      </c>
      <c r="C43" t="s">
        <v>68</v>
      </c>
    </row>
    <row r="44" spans="1:3">
      <c r="A44" t="s">
        <v>4</v>
      </c>
      <c r="B44" s="151">
        <v>45969</v>
      </c>
      <c r="C44" t="s">
        <v>56</v>
      </c>
    </row>
    <row r="45" spans="1:3">
      <c r="A45" t="s">
        <v>4</v>
      </c>
      <c r="B45" s="151">
        <v>45976</v>
      </c>
      <c r="C45" t="s">
        <v>56</v>
      </c>
    </row>
    <row r="46" spans="1:3">
      <c r="A46" t="s">
        <v>4</v>
      </c>
      <c r="B46" s="151">
        <v>46032</v>
      </c>
      <c r="C46" t="s">
        <v>67</v>
      </c>
    </row>
    <row r="47" spans="1:3">
      <c r="A47" t="s">
        <v>4</v>
      </c>
      <c r="B47" s="151">
        <v>46039</v>
      </c>
      <c r="C47" t="s">
        <v>67</v>
      </c>
    </row>
    <row r="48" spans="1:3">
      <c r="A48" t="s">
        <v>4</v>
      </c>
      <c r="B48" s="151">
        <v>46109</v>
      </c>
      <c r="C48" t="s">
        <v>68</v>
      </c>
    </row>
    <row r="49" spans="1:3">
      <c r="A49" t="s">
        <v>4</v>
      </c>
      <c r="B49" s="151">
        <v>46116</v>
      </c>
      <c r="C49" t="s">
        <v>68</v>
      </c>
    </row>
    <row r="50" spans="1:3">
      <c r="A50" t="s">
        <v>235</v>
      </c>
      <c r="B50" s="151">
        <v>46032</v>
      </c>
      <c r="C50" t="s">
        <v>56</v>
      </c>
    </row>
    <row r="51" spans="1:3">
      <c r="A51" t="s">
        <v>235</v>
      </c>
      <c r="B51" s="151">
        <v>46039</v>
      </c>
      <c r="C51" t="s">
        <v>56</v>
      </c>
    </row>
    <row r="52" spans="1:3">
      <c r="A52" t="s">
        <v>235</v>
      </c>
      <c r="B52" s="151">
        <v>46088</v>
      </c>
      <c r="C52" t="s">
        <v>67</v>
      </c>
    </row>
    <row r="53" spans="1:3">
      <c r="A53" t="s">
        <v>235</v>
      </c>
      <c r="B53" s="151">
        <v>46095</v>
      </c>
      <c r="C53" t="s">
        <v>67</v>
      </c>
    </row>
    <row r="54" spans="1:3">
      <c r="A54" t="s">
        <v>235</v>
      </c>
      <c r="B54" s="151">
        <v>46172</v>
      </c>
      <c r="C54" t="s">
        <v>68</v>
      </c>
    </row>
    <row r="55" spans="1:3">
      <c r="A55" t="s">
        <v>235</v>
      </c>
      <c r="B55" s="151">
        <v>46179</v>
      </c>
      <c r="C55" t="s">
        <v>68</v>
      </c>
    </row>
    <row r="56" spans="1:3">
      <c r="A56" t="s">
        <v>1</v>
      </c>
      <c r="B56" s="151">
        <v>46109</v>
      </c>
      <c r="C56" t="s">
        <v>56</v>
      </c>
    </row>
    <row r="57" spans="1:3">
      <c r="A57" t="s">
        <v>1</v>
      </c>
      <c r="B57" s="151">
        <v>46116</v>
      </c>
      <c r="C57" t="s">
        <v>56</v>
      </c>
    </row>
    <row r="58" spans="1:3">
      <c r="A58" t="s">
        <v>1</v>
      </c>
      <c r="B58" s="151">
        <v>46179</v>
      </c>
      <c r="C58" t="s">
        <v>67</v>
      </c>
    </row>
    <row r="59" spans="1:3">
      <c r="A59" t="s">
        <v>1</v>
      </c>
      <c r="B59" s="151">
        <v>46186</v>
      </c>
      <c r="C59" t="s">
        <v>67</v>
      </c>
    </row>
    <row r="60" spans="1:3">
      <c r="A60" t="s">
        <v>1</v>
      </c>
      <c r="B60" s="151">
        <v>46256</v>
      </c>
      <c r="C60" t="s">
        <v>68</v>
      </c>
    </row>
    <row r="61" spans="1:3">
      <c r="A61" t="s">
        <v>1</v>
      </c>
      <c r="B61" s="151">
        <v>46263</v>
      </c>
      <c r="C61" t="s">
        <v>68</v>
      </c>
    </row>
    <row r="62" spans="1:3">
      <c r="A62" t="s">
        <v>8</v>
      </c>
      <c r="B62" s="151">
        <v>46060</v>
      </c>
      <c r="C62" t="s">
        <v>56</v>
      </c>
    </row>
    <row r="63" spans="1:3">
      <c r="A63" t="s">
        <v>8</v>
      </c>
      <c r="B63" s="151">
        <v>46067</v>
      </c>
      <c r="C63" t="s">
        <v>56</v>
      </c>
    </row>
    <row r="64" spans="1:3">
      <c r="A64" t="s">
        <v>8</v>
      </c>
      <c r="B64" s="151">
        <v>46116</v>
      </c>
      <c r="C64" t="s">
        <v>67</v>
      </c>
    </row>
    <row r="65" spans="1:3">
      <c r="A65" t="s">
        <v>8</v>
      </c>
      <c r="B65" s="151">
        <v>46123</v>
      </c>
      <c r="C65" t="s">
        <v>67</v>
      </c>
    </row>
    <row r="66" spans="1:3">
      <c r="A66" t="s">
        <v>8</v>
      </c>
      <c r="B66" s="151">
        <v>46207</v>
      </c>
      <c r="C66" t="s">
        <v>68</v>
      </c>
    </row>
    <row r="67" spans="1:3">
      <c r="A67" t="s">
        <v>8</v>
      </c>
      <c r="B67" s="151">
        <v>46214</v>
      </c>
      <c r="C67" t="s">
        <v>68</v>
      </c>
    </row>
    <row r="68" spans="1:3">
      <c r="A68" t="s">
        <v>3</v>
      </c>
      <c r="B68" s="151">
        <v>46032</v>
      </c>
      <c r="C68" t="s">
        <v>56</v>
      </c>
    </row>
    <row r="69" spans="1:3">
      <c r="A69" t="s">
        <v>3</v>
      </c>
      <c r="B69" s="151">
        <v>46039</v>
      </c>
      <c r="C69" t="s">
        <v>56</v>
      </c>
    </row>
    <row r="70" spans="1:3">
      <c r="A70" t="s">
        <v>3</v>
      </c>
      <c r="B70" s="151">
        <v>46088</v>
      </c>
      <c r="C70" t="s">
        <v>67</v>
      </c>
    </row>
    <row r="71" spans="1:3">
      <c r="A71" t="s">
        <v>3</v>
      </c>
      <c r="B71" s="151">
        <v>46095</v>
      </c>
      <c r="C71" t="s">
        <v>67</v>
      </c>
    </row>
    <row r="72" spans="1:3">
      <c r="A72" t="s">
        <v>3</v>
      </c>
      <c r="B72" s="151">
        <v>46179</v>
      </c>
      <c r="C72" t="s">
        <v>68</v>
      </c>
    </row>
    <row r="73" spans="1:3">
      <c r="A73" t="s">
        <v>3</v>
      </c>
      <c r="B73" s="151">
        <v>46186</v>
      </c>
      <c r="C73" t="s">
        <v>68</v>
      </c>
    </row>
    <row r="74" spans="1:3">
      <c r="A74" t="s">
        <v>0</v>
      </c>
      <c r="B74" s="151">
        <v>46116</v>
      </c>
      <c r="C74" t="s">
        <v>56</v>
      </c>
    </row>
    <row r="75" spans="1:3">
      <c r="A75" t="s">
        <v>0</v>
      </c>
      <c r="B75" s="151">
        <v>46123</v>
      </c>
      <c r="C75" t="s">
        <v>56</v>
      </c>
    </row>
    <row r="76" spans="1:3">
      <c r="A76" t="s">
        <v>0</v>
      </c>
      <c r="B76" s="151">
        <v>46179</v>
      </c>
      <c r="C76" t="s">
        <v>67</v>
      </c>
    </row>
    <row r="77" spans="1:3">
      <c r="A77" t="s">
        <v>0</v>
      </c>
      <c r="B77" s="151">
        <v>46186</v>
      </c>
      <c r="C77" t="s">
        <v>67</v>
      </c>
    </row>
    <row r="78" spans="1:3">
      <c r="A78" t="s">
        <v>0</v>
      </c>
      <c r="B78" s="151">
        <v>46263</v>
      </c>
      <c r="C78" t="s">
        <v>68</v>
      </c>
    </row>
    <row r="79" spans="1:3">
      <c r="A79" t="s">
        <v>0</v>
      </c>
      <c r="B79" s="151">
        <v>46270</v>
      </c>
      <c r="C79" t="s">
        <v>68</v>
      </c>
    </row>
  </sheetData>
  <phoneticPr fontId="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88B7B-86D8-4C0C-B844-071754E7A195}">
  <sheetPr codeName="Sheet33"/>
  <dimension ref="A1:C25"/>
  <sheetViews>
    <sheetView workbookViewId="0"/>
  </sheetViews>
  <sheetFormatPr defaultRowHeight="13.2"/>
  <cols>
    <col min="2" max="2" width="11" bestFit="1" customWidth="1"/>
    <col min="3" max="3" width="9.5546875" bestFit="1" customWidth="1"/>
    <col min="5" max="5" width="18.44140625" bestFit="1" customWidth="1"/>
  </cols>
  <sheetData>
    <row r="1" spans="1:3">
      <c r="A1" t="s">
        <v>121</v>
      </c>
      <c r="B1" t="s">
        <v>122</v>
      </c>
      <c r="C1" t="s">
        <v>150</v>
      </c>
    </row>
    <row r="2" spans="1:3">
      <c r="A2" t="s">
        <v>7</v>
      </c>
      <c r="B2" s="151">
        <v>45997</v>
      </c>
      <c r="C2">
        <v>12</v>
      </c>
    </row>
    <row r="3" spans="1:3">
      <c r="A3" t="s">
        <v>7</v>
      </c>
      <c r="B3" s="151">
        <v>46004</v>
      </c>
      <c r="C3">
        <v>12</v>
      </c>
    </row>
    <row r="4" spans="1:3">
      <c r="A4" t="s">
        <v>7</v>
      </c>
      <c r="B4" s="151">
        <v>46053</v>
      </c>
      <c r="C4">
        <v>10</v>
      </c>
    </row>
    <row r="5" spans="1:3">
      <c r="A5" t="s">
        <v>7</v>
      </c>
      <c r="B5" s="151">
        <v>46060</v>
      </c>
      <c r="C5">
        <v>11</v>
      </c>
    </row>
    <row r="6" spans="1:3">
      <c r="A6" t="s">
        <v>7</v>
      </c>
      <c r="B6" s="151">
        <v>46137</v>
      </c>
      <c r="C6">
        <v>10</v>
      </c>
    </row>
    <row r="7" spans="1:3">
      <c r="A7" t="s">
        <v>7</v>
      </c>
      <c r="B7" s="151">
        <v>46151</v>
      </c>
      <c r="C7">
        <v>10</v>
      </c>
    </row>
    <row r="8" spans="1:3">
      <c r="A8" t="s">
        <v>10</v>
      </c>
      <c r="B8" s="151">
        <v>46088</v>
      </c>
      <c r="C8">
        <v>6</v>
      </c>
    </row>
    <row r="9" spans="1:3">
      <c r="A9" t="s">
        <v>10</v>
      </c>
      <c r="B9" s="151">
        <v>46095</v>
      </c>
      <c r="C9">
        <v>5</v>
      </c>
    </row>
    <row r="10" spans="1:3">
      <c r="A10" t="s">
        <v>10</v>
      </c>
      <c r="B10" s="151">
        <v>46151</v>
      </c>
      <c r="C10">
        <v>6</v>
      </c>
    </row>
    <row r="11" spans="1:3">
      <c r="A11" t="s">
        <v>10</v>
      </c>
      <c r="B11" s="151">
        <v>46158</v>
      </c>
      <c r="C11">
        <v>5</v>
      </c>
    </row>
    <row r="12" spans="1:3">
      <c r="A12" t="s">
        <v>10</v>
      </c>
      <c r="B12" s="151">
        <v>46235</v>
      </c>
      <c r="C12">
        <v>6</v>
      </c>
    </row>
    <row r="13" spans="1:3">
      <c r="A13" t="s">
        <v>10</v>
      </c>
      <c r="B13" s="151">
        <v>46242</v>
      </c>
      <c r="C13">
        <v>5</v>
      </c>
    </row>
    <row r="14" spans="1:3">
      <c r="A14" t="s">
        <v>11</v>
      </c>
      <c r="B14" s="151">
        <v>46060</v>
      </c>
      <c r="C14">
        <v>3</v>
      </c>
    </row>
    <row r="15" spans="1:3">
      <c r="A15" t="s">
        <v>11</v>
      </c>
      <c r="B15" s="151">
        <v>46067</v>
      </c>
      <c r="C15">
        <v>6</v>
      </c>
    </row>
    <row r="16" spans="1:3">
      <c r="A16" t="s">
        <v>11</v>
      </c>
      <c r="B16" s="151">
        <v>46116</v>
      </c>
      <c r="C16">
        <v>3</v>
      </c>
    </row>
    <row r="17" spans="1:3">
      <c r="A17" t="s">
        <v>11</v>
      </c>
      <c r="B17" s="151">
        <v>46123</v>
      </c>
      <c r="C17">
        <v>6</v>
      </c>
    </row>
    <row r="18" spans="1:3">
      <c r="A18" t="s">
        <v>11</v>
      </c>
      <c r="B18" s="151">
        <v>46207</v>
      </c>
      <c r="C18">
        <v>3</v>
      </c>
    </row>
    <row r="19" spans="1:3">
      <c r="A19" t="s">
        <v>11</v>
      </c>
      <c r="B19" s="151">
        <v>46214</v>
      </c>
      <c r="C19">
        <v>6</v>
      </c>
    </row>
    <row r="20" spans="1:3">
      <c r="A20" t="s">
        <v>8</v>
      </c>
      <c r="B20" s="151">
        <v>46060</v>
      </c>
      <c r="C20">
        <v>12</v>
      </c>
    </row>
    <row r="21" spans="1:3">
      <c r="A21" t="s">
        <v>8</v>
      </c>
      <c r="B21" s="151">
        <v>46067</v>
      </c>
      <c r="C21">
        <v>12</v>
      </c>
    </row>
    <row r="22" spans="1:3">
      <c r="A22" t="s">
        <v>8</v>
      </c>
      <c r="B22" s="151">
        <v>46116</v>
      </c>
      <c r="C22">
        <v>12</v>
      </c>
    </row>
    <row r="23" spans="1:3">
      <c r="A23" t="s">
        <v>8</v>
      </c>
      <c r="B23" s="151">
        <v>46123</v>
      </c>
      <c r="C23">
        <v>11</v>
      </c>
    </row>
    <row r="24" spans="1:3">
      <c r="A24" t="s">
        <v>8</v>
      </c>
      <c r="B24" s="151">
        <v>46207</v>
      </c>
      <c r="C24">
        <v>12</v>
      </c>
    </row>
    <row r="25" spans="1:3">
      <c r="A25" t="s">
        <v>8</v>
      </c>
      <c r="B25" s="151">
        <v>46214</v>
      </c>
      <c r="C25">
        <v>11</v>
      </c>
    </row>
  </sheetData>
  <phoneticPr fontId="4"/>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09F79-8F1B-41CD-A511-9221DB56166B}">
  <sheetPr codeName="Sheet4"/>
  <dimension ref="A4:R18"/>
  <sheetViews>
    <sheetView workbookViewId="0">
      <selection activeCell="P4" sqref="P4:R18"/>
    </sheetView>
  </sheetViews>
  <sheetFormatPr defaultColWidth="9.44140625" defaultRowHeight="12"/>
  <cols>
    <col min="1" max="1" width="12.5546875" style="148" customWidth="1"/>
    <col min="2" max="16384" width="9.44140625" style="148"/>
  </cols>
  <sheetData>
    <row r="4" spans="1:18" ht="14.4">
      <c r="A4" s="146">
        <v>44932</v>
      </c>
      <c r="B4" s="8" t="s">
        <v>22</v>
      </c>
      <c r="C4" s="148" t="s">
        <v>1</v>
      </c>
      <c r="D4" s="148" t="s">
        <v>0</v>
      </c>
      <c r="E4" s="148">
        <v>3</v>
      </c>
      <c r="F4" s="148" t="s">
        <v>0</v>
      </c>
      <c r="G4" s="148" t="s">
        <v>6</v>
      </c>
      <c r="H4" s="148" t="s">
        <v>41</v>
      </c>
      <c r="I4" s="148" t="s">
        <v>2</v>
      </c>
      <c r="J4" s="148" t="s">
        <v>24</v>
      </c>
      <c r="K4" s="148" t="s">
        <v>1</v>
      </c>
      <c r="L4" s="148" t="s">
        <v>41</v>
      </c>
      <c r="M4" s="148" t="s">
        <v>24</v>
      </c>
      <c r="N4" s="148" t="s">
        <v>2</v>
      </c>
      <c r="P4" s="6">
        <v>44932</v>
      </c>
      <c r="Q4" s="8" t="s">
        <v>11</v>
      </c>
    </row>
    <row r="5" spans="1:18" ht="14.4">
      <c r="A5" s="146">
        <v>44939</v>
      </c>
      <c r="B5" s="8" t="s">
        <v>1</v>
      </c>
      <c r="P5" s="6">
        <v>44939</v>
      </c>
      <c r="Q5" s="8" t="s">
        <v>2</v>
      </c>
    </row>
    <row r="6" spans="1:18" ht="14.4">
      <c r="A6" s="146">
        <v>44946</v>
      </c>
      <c r="B6" s="8" t="s">
        <v>0</v>
      </c>
      <c r="P6" s="6">
        <v>44946</v>
      </c>
      <c r="Q6" s="8" t="s">
        <v>41</v>
      </c>
    </row>
    <row r="7" spans="1:18" ht="14.4">
      <c r="A7" s="146">
        <v>44953</v>
      </c>
      <c r="B7" s="8">
        <v>3</v>
      </c>
      <c r="P7" s="6">
        <v>44953</v>
      </c>
      <c r="Q7" s="8">
        <v>3</v>
      </c>
      <c r="R7" s="149" t="s">
        <v>118</v>
      </c>
    </row>
    <row r="8" spans="1:18" ht="14.4">
      <c r="A8" s="147">
        <v>44960</v>
      </c>
      <c r="B8" s="8" t="s">
        <v>0</v>
      </c>
      <c r="P8" s="7">
        <v>44960</v>
      </c>
      <c r="Q8" s="8" t="s">
        <v>2</v>
      </c>
    </row>
    <row r="9" spans="1:18" ht="14.4">
      <c r="A9" s="147">
        <v>44967</v>
      </c>
      <c r="B9" s="8" t="s">
        <v>6</v>
      </c>
      <c r="P9" s="7">
        <v>45329</v>
      </c>
      <c r="Q9" s="8" t="s">
        <v>24</v>
      </c>
      <c r="R9" s="148" t="s">
        <v>117</v>
      </c>
    </row>
    <row r="10" spans="1:18" ht="14.4">
      <c r="A10" s="147">
        <v>44974</v>
      </c>
      <c r="B10" s="8" t="s">
        <v>41</v>
      </c>
      <c r="P10" s="7">
        <v>44967</v>
      </c>
      <c r="Q10" s="8" t="s">
        <v>7</v>
      </c>
    </row>
    <row r="11" spans="1:18" ht="14.4">
      <c r="A11" s="147">
        <v>44981</v>
      </c>
      <c r="B11" s="11" t="s">
        <v>2</v>
      </c>
      <c r="C11" s="148" t="s">
        <v>116</v>
      </c>
      <c r="P11" s="7">
        <v>44974</v>
      </c>
      <c r="Q11" s="8" t="s">
        <v>1</v>
      </c>
    </row>
    <row r="12" spans="1:18" ht="14.4">
      <c r="A12" s="147">
        <v>44987</v>
      </c>
      <c r="B12" s="8" t="s">
        <v>24</v>
      </c>
      <c r="P12" s="7">
        <v>45343</v>
      </c>
      <c r="Q12" s="8" t="s">
        <v>24</v>
      </c>
      <c r="R12" s="148" t="s">
        <v>117</v>
      </c>
    </row>
    <row r="13" spans="1:18" ht="14.4">
      <c r="A13" s="147">
        <v>44994</v>
      </c>
      <c r="B13" s="8" t="s">
        <v>1</v>
      </c>
      <c r="P13" s="7">
        <v>44981</v>
      </c>
      <c r="Q13" s="12" t="s">
        <v>2</v>
      </c>
      <c r="R13" s="148" t="s">
        <v>116</v>
      </c>
    </row>
    <row r="14" spans="1:18" ht="14.4">
      <c r="A14" s="147">
        <v>45001</v>
      </c>
      <c r="B14" s="8" t="s">
        <v>41</v>
      </c>
      <c r="P14" s="7">
        <v>44987</v>
      </c>
      <c r="Q14" s="8" t="s">
        <v>7</v>
      </c>
    </row>
    <row r="15" spans="1:18" ht="14.4">
      <c r="A15" s="147">
        <v>45008</v>
      </c>
      <c r="B15" s="8" t="s">
        <v>24</v>
      </c>
      <c r="P15" s="7">
        <v>44994</v>
      </c>
      <c r="Q15" s="8" t="s">
        <v>7</v>
      </c>
    </row>
    <row r="16" spans="1:18" ht="14.4">
      <c r="A16" s="147">
        <v>45015</v>
      </c>
      <c r="B16" s="12" t="s">
        <v>2</v>
      </c>
      <c r="C16" s="148" t="s">
        <v>116</v>
      </c>
      <c r="P16" s="7">
        <v>45001</v>
      </c>
      <c r="Q16" s="8" t="s">
        <v>5</v>
      </c>
    </row>
    <row r="17" spans="16:18" ht="14.4">
      <c r="P17" s="7">
        <v>45008</v>
      </c>
      <c r="Q17" s="8" t="s">
        <v>2</v>
      </c>
    </row>
    <row r="18" spans="16:18" ht="14.4">
      <c r="P18" s="7">
        <v>45015</v>
      </c>
      <c r="Q18" s="12" t="s">
        <v>2</v>
      </c>
      <c r="R18" s="148" t="s">
        <v>116</v>
      </c>
    </row>
  </sheetData>
  <phoneticPr fontId="4"/>
  <conditionalFormatting sqref="B4:B6">
    <cfRule type="containsText" dxfId="631" priority="1163" operator="containsText" text="修了生">
      <formula>NOT(ISERROR(SEARCH("修了生",B4)))</formula>
    </cfRule>
    <cfRule type="containsText" dxfId="630" priority="1164" operator="containsText" text="6G">
      <formula>NOT(ISERROR(SEARCH("6G",B4)))</formula>
    </cfRule>
    <cfRule type="containsText" dxfId="629" priority="1165" operator="containsText" text="6F">
      <formula>NOT(ISERROR(SEARCH("6F",B4)))</formula>
    </cfRule>
    <cfRule type="containsText" dxfId="628" priority="1166" operator="containsText" text="6E">
      <formula>NOT(ISERROR(SEARCH("6E",B4)))</formula>
    </cfRule>
    <cfRule type="containsText" dxfId="627" priority="1167" operator="containsText" text="6D">
      <formula>NOT(ISERROR(SEARCH("6D",B4)))</formula>
    </cfRule>
    <cfRule type="containsText" dxfId="626" priority="1168" operator="containsText" text="6C">
      <formula>NOT(ISERROR(SEARCH("6C",B4)))</formula>
    </cfRule>
    <cfRule type="containsText" dxfId="625" priority="1169" operator="containsText" text="6B">
      <formula>NOT(ISERROR(SEARCH("6B",B4)))</formula>
    </cfRule>
    <cfRule type="containsText" dxfId="624" priority="1170" operator="containsText" text="6A">
      <formula>NOT(ISERROR(SEARCH("6A",B4)))</formula>
    </cfRule>
    <cfRule type="containsText" dxfId="623" priority="1171" operator="containsText" text="7D">
      <formula>NOT(ISERROR(SEARCH("7D",B4)))</formula>
    </cfRule>
    <cfRule type="containsText" dxfId="622" priority="1172" operator="containsText" text="7C">
      <formula>NOT(ISERROR(SEARCH("7C",B4)))</formula>
    </cfRule>
    <cfRule type="containsText" dxfId="621" priority="1173" operator="containsText" text="7B">
      <formula>NOT(ISERROR(SEARCH("7B",B4)))</formula>
    </cfRule>
    <cfRule type="containsText" dxfId="620" priority="1174" operator="containsText" text="7A">
      <formula>NOT(ISERROR(SEARCH("7A",B4)))</formula>
    </cfRule>
  </conditionalFormatting>
  <conditionalFormatting sqref="B8:B10">
    <cfRule type="containsText" dxfId="619" priority="1162" operator="containsText" text="修了生">
      <formula>NOT(ISERROR(SEARCH("修了生",B8)))</formula>
    </cfRule>
    <cfRule type="containsText" dxfId="618" priority="1189" operator="containsText" text="6G">
      <formula>NOT(ISERROR(SEARCH("6G",B8)))</formula>
    </cfRule>
    <cfRule type="containsText" dxfId="617" priority="1190" operator="containsText" text="6F">
      <formula>NOT(ISERROR(SEARCH("6F",B8)))</formula>
    </cfRule>
    <cfRule type="containsText" dxfId="616" priority="1191" operator="containsText" text="6E">
      <formula>NOT(ISERROR(SEARCH("6E",B8)))</formula>
    </cfRule>
    <cfRule type="containsText" dxfId="615" priority="1192" operator="containsText" text="6D">
      <formula>NOT(ISERROR(SEARCH("6D",B8)))</formula>
    </cfRule>
    <cfRule type="containsText" dxfId="614" priority="1193" operator="containsText" text="6C">
      <formula>NOT(ISERROR(SEARCH("6C",B8)))</formula>
    </cfRule>
    <cfRule type="containsText" dxfId="613" priority="1194" operator="containsText" text="6B">
      <formula>NOT(ISERROR(SEARCH("6B",B8)))</formula>
    </cfRule>
    <cfRule type="containsText" dxfId="612" priority="1195" operator="containsText" text="6A">
      <formula>NOT(ISERROR(SEARCH("6A",B8)))</formula>
    </cfRule>
    <cfRule type="containsText" dxfId="611" priority="1196" operator="containsText" text="7D">
      <formula>NOT(ISERROR(SEARCH("7D",B8)))</formula>
    </cfRule>
    <cfRule type="containsText" dxfId="610" priority="1197" operator="containsText" text="7C">
      <formula>NOT(ISERROR(SEARCH("7C",B8)))</formula>
    </cfRule>
    <cfRule type="containsText" dxfId="609" priority="1198" operator="containsText" text="7B">
      <formula>NOT(ISERROR(SEARCH("7B",B8)))</formula>
    </cfRule>
    <cfRule type="containsText" dxfId="608" priority="1199" operator="containsText" text="7A">
      <formula>NOT(ISERROR(SEARCH("7A",B8)))</formula>
    </cfRule>
  </conditionalFormatting>
  <conditionalFormatting sqref="B9:B10">
    <cfRule type="containsText" dxfId="607" priority="1188" operator="containsText" text="不可">
      <formula>NOT(ISERROR(SEARCH("不可",B9)))</formula>
    </cfRule>
  </conditionalFormatting>
  <conditionalFormatting sqref="B12:B15">
    <cfRule type="containsText" dxfId="606" priority="1175" operator="containsText" text="不可">
      <formula>NOT(ISERROR(SEARCH("不可",B12)))</formula>
    </cfRule>
    <cfRule type="containsText" dxfId="605" priority="1176" operator="containsText" text="修了生">
      <formula>NOT(ISERROR(SEARCH("修了生",B12)))</formula>
    </cfRule>
    <cfRule type="containsText" dxfId="604" priority="1177" operator="containsText" text="6G">
      <formula>NOT(ISERROR(SEARCH("6G",B12)))</formula>
    </cfRule>
    <cfRule type="containsText" dxfId="603" priority="1178" operator="containsText" text="6F">
      <formula>NOT(ISERROR(SEARCH("6F",B12)))</formula>
    </cfRule>
    <cfRule type="containsText" dxfId="602" priority="1179" operator="containsText" text="6E">
      <formula>NOT(ISERROR(SEARCH("6E",B12)))</formula>
    </cfRule>
    <cfRule type="containsText" dxfId="601" priority="1180" operator="containsText" text="6D">
      <formula>NOT(ISERROR(SEARCH("6D",B12)))</formula>
    </cfRule>
    <cfRule type="containsText" dxfId="600" priority="1181" operator="containsText" text="6C">
      <formula>NOT(ISERROR(SEARCH("6C",B12)))</formula>
    </cfRule>
    <cfRule type="containsText" dxfId="599" priority="1182" operator="containsText" text="6B">
      <formula>NOT(ISERROR(SEARCH("6B",B12)))</formula>
    </cfRule>
    <cfRule type="containsText" dxfId="598" priority="1183" operator="containsText" text="6A">
      <formula>NOT(ISERROR(SEARCH("6A",B12)))</formula>
    </cfRule>
    <cfRule type="containsText" dxfId="597" priority="1184" operator="containsText" text="7D">
      <formula>NOT(ISERROR(SEARCH("7D",B12)))</formula>
    </cfRule>
    <cfRule type="containsText" dxfId="596" priority="1185" operator="containsText" text="7C">
      <formula>NOT(ISERROR(SEARCH("7C",B12)))</formula>
    </cfRule>
    <cfRule type="containsText" dxfId="595" priority="1186" operator="containsText" text="7B">
      <formula>NOT(ISERROR(SEARCH("7B",B12)))</formula>
    </cfRule>
    <cfRule type="containsText" dxfId="594" priority="1187" operator="containsText" text="7A">
      <formula>NOT(ISERROR(SEARCH("7A",B12)))</formula>
    </cfRule>
  </conditionalFormatting>
  <conditionalFormatting sqref="Q4">
    <cfRule type="containsText" dxfId="593" priority="40" operator="containsText" text="不可">
      <formula>NOT(ISERROR(SEARCH("不可",Q4)))</formula>
    </cfRule>
  </conditionalFormatting>
  <conditionalFormatting sqref="Q4:Q6">
    <cfRule type="containsText" dxfId="592" priority="41" operator="containsText" text="修了生">
      <formula>NOT(ISERROR(SEARCH("修了生",Q4)))</formula>
    </cfRule>
    <cfRule type="containsText" dxfId="591" priority="42" operator="containsText" text="6G">
      <formula>NOT(ISERROR(SEARCH("6G",Q4)))</formula>
    </cfRule>
    <cfRule type="containsText" dxfId="590" priority="43" operator="containsText" text="6F">
      <formula>NOT(ISERROR(SEARCH("6F",Q4)))</formula>
    </cfRule>
    <cfRule type="containsText" dxfId="589" priority="44" operator="containsText" text="6E">
      <formula>NOT(ISERROR(SEARCH("6E",Q4)))</formula>
    </cfRule>
    <cfRule type="containsText" dxfId="588" priority="45" operator="containsText" text="6D">
      <formula>NOT(ISERROR(SEARCH("6D",Q4)))</formula>
    </cfRule>
    <cfRule type="containsText" dxfId="587" priority="46" operator="containsText" text="6C">
      <formula>NOT(ISERROR(SEARCH("6C",Q4)))</formula>
    </cfRule>
    <cfRule type="containsText" dxfId="586" priority="47" operator="containsText" text="6B">
      <formula>NOT(ISERROR(SEARCH("6B",Q4)))</formula>
    </cfRule>
    <cfRule type="containsText" dxfId="585" priority="48" operator="containsText" text="6A">
      <formula>NOT(ISERROR(SEARCH("6A",Q4)))</formula>
    </cfRule>
    <cfRule type="containsText" dxfId="584" priority="49" operator="containsText" text="7D">
      <formula>NOT(ISERROR(SEARCH("7D",Q4)))</formula>
    </cfRule>
    <cfRule type="containsText" dxfId="583" priority="50" operator="containsText" text="7C">
      <formula>NOT(ISERROR(SEARCH("7C",Q4)))</formula>
    </cfRule>
    <cfRule type="containsText" dxfId="582" priority="51" operator="containsText" text="7B">
      <formula>NOT(ISERROR(SEARCH("7B",Q4)))</formula>
    </cfRule>
    <cfRule type="containsText" dxfId="581" priority="52" operator="containsText" text="7A">
      <formula>NOT(ISERROR(SEARCH("7A",Q4)))</formula>
    </cfRule>
  </conditionalFormatting>
  <conditionalFormatting sqref="Q8:Q12">
    <cfRule type="containsText" dxfId="580" priority="1" operator="containsText" text="修了生">
      <formula>NOT(ISERROR(SEARCH("修了生",Q8)))</formula>
    </cfRule>
    <cfRule type="containsText" dxfId="579" priority="3" operator="containsText" text="6G">
      <formula>NOT(ISERROR(SEARCH("6G",Q8)))</formula>
    </cfRule>
    <cfRule type="containsText" dxfId="578" priority="4" operator="containsText" text="6F">
      <formula>NOT(ISERROR(SEARCH("6F",Q8)))</formula>
    </cfRule>
    <cfRule type="containsText" dxfId="577" priority="5" operator="containsText" text="6E">
      <formula>NOT(ISERROR(SEARCH("6E",Q8)))</formula>
    </cfRule>
    <cfRule type="containsText" dxfId="576" priority="6" operator="containsText" text="6D">
      <formula>NOT(ISERROR(SEARCH("6D",Q8)))</formula>
    </cfRule>
    <cfRule type="containsText" dxfId="575" priority="7" operator="containsText" text="6C">
      <formula>NOT(ISERROR(SEARCH("6C",Q8)))</formula>
    </cfRule>
    <cfRule type="containsText" dxfId="574" priority="8" operator="containsText" text="6B">
      <formula>NOT(ISERROR(SEARCH("6B",Q8)))</formula>
    </cfRule>
    <cfRule type="containsText" dxfId="573" priority="9" operator="containsText" text="6A">
      <formula>NOT(ISERROR(SEARCH("6A",Q8)))</formula>
    </cfRule>
    <cfRule type="containsText" dxfId="572" priority="10" operator="containsText" text="7D">
      <formula>NOT(ISERROR(SEARCH("7D",Q8)))</formula>
    </cfRule>
    <cfRule type="containsText" dxfId="571" priority="11" operator="containsText" text="7C">
      <formula>NOT(ISERROR(SEARCH("7C",Q8)))</formula>
    </cfRule>
    <cfRule type="containsText" dxfId="570" priority="12" operator="containsText" text="7B">
      <formula>NOT(ISERROR(SEARCH("7B",Q8)))</formula>
    </cfRule>
    <cfRule type="containsText" dxfId="569" priority="13" operator="containsText" text="7A">
      <formula>NOT(ISERROR(SEARCH("7A",Q8)))</formula>
    </cfRule>
  </conditionalFormatting>
  <conditionalFormatting sqref="Q9:Q12">
    <cfRule type="containsText" dxfId="568" priority="2" operator="containsText" text="不可">
      <formula>NOT(ISERROR(SEARCH("不可",Q9)))</formula>
    </cfRule>
  </conditionalFormatting>
  <conditionalFormatting sqref="Q14:Q17">
    <cfRule type="containsText" dxfId="567" priority="53" operator="containsText" text="不可">
      <formula>NOT(ISERROR(SEARCH("不可",Q14)))</formula>
    </cfRule>
    <cfRule type="containsText" dxfId="566" priority="54" operator="containsText" text="修了生">
      <formula>NOT(ISERROR(SEARCH("修了生",Q14)))</formula>
    </cfRule>
    <cfRule type="containsText" dxfId="565" priority="55" operator="containsText" text="6G">
      <formula>NOT(ISERROR(SEARCH("6G",Q14)))</formula>
    </cfRule>
    <cfRule type="containsText" dxfId="564" priority="56" operator="containsText" text="6F">
      <formula>NOT(ISERROR(SEARCH("6F",Q14)))</formula>
    </cfRule>
    <cfRule type="containsText" dxfId="563" priority="57" operator="containsText" text="6E">
      <formula>NOT(ISERROR(SEARCH("6E",Q14)))</formula>
    </cfRule>
    <cfRule type="containsText" dxfId="562" priority="58" operator="containsText" text="6D">
      <formula>NOT(ISERROR(SEARCH("6D",Q14)))</formula>
    </cfRule>
    <cfRule type="containsText" dxfId="561" priority="59" operator="containsText" text="6C">
      <formula>NOT(ISERROR(SEARCH("6C",Q14)))</formula>
    </cfRule>
    <cfRule type="containsText" dxfId="560" priority="60" operator="containsText" text="6B">
      <formula>NOT(ISERROR(SEARCH("6B",Q14)))</formula>
    </cfRule>
    <cfRule type="containsText" dxfId="559" priority="61" operator="containsText" text="6A">
      <formula>NOT(ISERROR(SEARCH("6A",Q14)))</formula>
    </cfRule>
    <cfRule type="containsText" dxfId="558" priority="62" operator="containsText" text="7D">
      <formula>NOT(ISERROR(SEARCH("7D",Q14)))</formula>
    </cfRule>
    <cfRule type="containsText" dxfId="557" priority="63" operator="containsText" text="7C">
      <formula>NOT(ISERROR(SEARCH("7C",Q14)))</formula>
    </cfRule>
    <cfRule type="containsText" dxfId="556" priority="64" operator="containsText" text="7B">
      <formula>NOT(ISERROR(SEARCH("7B",Q14)))</formula>
    </cfRule>
    <cfRule type="containsText" dxfId="555" priority="65" operator="containsText" text="7A">
      <formula>NOT(ISERROR(SEARCH("7A",Q14)))</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A85D024-5E90-49E7-98BD-595BD32E1CF6}">
          <x14:formula1>
            <xm:f>リスト表!$A$3:$A$18</xm:f>
          </x14:formula1>
          <xm:sqref>B12:B15 B4:B6 B8:B10 Q8:Q12 Q4:Q6 Q14:Q17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91FF-C74B-4A7F-A77A-7574D36CA550}">
  <sheetPr codeName="Sheet19"/>
  <dimension ref="B2:W15"/>
  <sheetViews>
    <sheetView showGridLines="0" zoomScale="99" workbookViewId="0">
      <selection activeCell="B1" sqref="B1"/>
    </sheetView>
  </sheetViews>
  <sheetFormatPr defaultRowHeight="13.2"/>
  <cols>
    <col min="2" max="2" width="18.5546875" bestFit="1" customWidth="1"/>
    <col min="3" max="3" width="7.5546875" customWidth="1"/>
    <col min="4" max="4" width="9.44140625" bestFit="1" customWidth="1"/>
    <col min="5" max="5" width="2.44140625" bestFit="1" customWidth="1"/>
    <col min="6" max="6" width="7.44140625" bestFit="1" customWidth="1"/>
    <col min="11" max="11" width="10.44140625" bestFit="1" customWidth="1"/>
    <col min="12" max="13" width="14" bestFit="1" customWidth="1"/>
    <col min="14" max="14" width="9.44140625" bestFit="1" customWidth="1"/>
    <col min="15" max="15" width="11" bestFit="1" customWidth="1"/>
    <col min="16" max="16" width="2.44140625" bestFit="1" customWidth="1"/>
    <col min="17" max="17" width="8.5546875" bestFit="1" customWidth="1"/>
    <col min="18" max="18" width="11" bestFit="1" customWidth="1"/>
    <col min="19" max="19" width="9.44140625" bestFit="1" customWidth="1"/>
    <col min="20" max="20" width="11" bestFit="1" customWidth="1"/>
    <col min="21" max="21" width="2.44140625" bestFit="1" customWidth="1"/>
    <col min="22" max="22" width="8.5546875" bestFit="1" customWidth="1"/>
    <col min="23" max="23" width="11" bestFit="1" customWidth="1"/>
  </cols>
  <sheetData>
    <row r="2" spans="2:23">
      <c r="B2" s="206" t="s">
        <v>171</v>
      </c>
    </row>
    <row r="3" spans="2:23">
      <c r="B3" s="199" t="s">
        <v>163</v>
      </c>
      <c r="C3" s="199" t="s">
        <v>164</v>
      </c>
      <c r="D3" s="200" t="s">
        <v>168</v>
      </c>
      <c r="E3" s="200" t="s">
        <v>170</v>
      </c>
      <c r="F3" s="200" t="s">
        <v>166</v>
      </c>
      <c r="G3" s="200" t="s">
        <v>169</v>
      </c>
      <c r="K3" s="207" t="s">
        <v>176</v>
      </c>
      <c r="L3" s="207" t="s">
        <v>192</v>
      </c>
      <c r="M3" s="207" t="s">
        <v>193</v>
      </c>
      <c r="N3" s="209" t="s">
        <v>194</v>
      </c>
      <c r="O3" s="200" t="s">
        <v>195</v>
      </c>
      <c r="P3" s="200" t="s">
        <v>170</v>
      </c>
      <c r="Q3" s="200" t="s">
        <v>196</v>
      </c>
      <c r="R3" s="200" t="s">
        <v>197</v>
      </c>
      <c r="S3" s="209" t="s">
        <v>198</v>
      </c>
      <c r="T3" s="200" t="s">
        <v>199</v>
      </c>
      <c r="U3" s="200" t="s">
        <v>170</v>
      </c>
      <c r="V3" s="200" t="s">
        <v>200</v>
      </c>
      <c r="W3" s="200" t="s">
        <v>201</v>
      </c>
    </row>
    <row r="4" spans="2:23">
      <c r="B4" s="201" t="str">
        <f t="shared" ref="B4:B9" si="0">_xlfn.CONCAT(C4:G4)</f>
        <v>C8:AG9</v>
      </c>
      <c r="C4" s="203" t="s">
        <v>165</v>
      </c>
      <c r="D4" s="204">
        <v>8</v>
      </c>
      <c r="E4" s="205" t="s">
        <v>170</v>
      </c>
      <c r="F4" s="203" t="s">
        <v>167</v>
      </c>
      <c r="G4" s="204">
        <v>9</v>
      </c>
      <c r="K4" s="208" t="s">
        <v>177</v>
      </c>
      <c r="L4" s="201" t="str">
        <f>_xlfn.CONCAT(N4:R4)</f>
        <v>C8:C13</v>
      </c>
      <c r="M4" s="201" t="str">
        <f t="shared" ref="M4:M15" si="1">_xlfn.CONCAT(S4:W4)</f>
        <v>I8:I13</v>
      </c>
      <c r="N4" s="203" t="s">
        <v>165</v>
      </c>
      <c r="O4" s="204">
        <v>8</v>
      </c>
      <c r="P4" s="205" t="s">
        <v>170</v>
      </c>
      <c r="Q4" s="203" t="s">
        <v>165</v>
      </c>
      <c r="R4" s="204">
        <v>13</v>
      </c>
      <c r="S4" s="203" t="s">
        <v>190</v>
      </c>
      <c r="T4" s="204">
        <v>8</v>
      </c>
      <c r="U4" s="205" t="s">
        <v>170</v>
      </c>
      <c r="V4" s="203" t="s">
        <v>190</v>
      </c>
      <c r="W4" s="204">
        <v>13</v>
      </c>
    </row>
    <row r="5" spans="2:23">
      <c r="B5" s="201" t="str">
        <f t="shared" si="0"/>
        <v>C31:AG32</v>
      </c>
      <c r="C5" s="203" t="s">
        <v>165</v>
      </c>
      <c r="D5" s="204">
        <v>31</v>
      </c>
      <c r="E5" s="205" t="s">
        <v>170</v>
      </c>
      <c r="F5" s="203" t="s">
        <v>167</v>
      </c>
      <c r="G5" s="204">
        <v>32</v>
      </c>
      <c r="K5" s="208" t="s">
        <v>178</v>
      </c>
      <c r="L5" s="201" t="str">
        <f t="shared" ref="L5:L15" si="2">_xlfn.CONCAT(N5:R5)</f>
        <v>C19:C24</v>
      </c>
      <c r="M5" s="201" t="str">
        <f t="shared" si="1"/>
        <v>I19:I24</v>
      </c>
      <c r="N5" s="203" t="s">
        <v>165</v>
      </c>
      <c r="O5" s="204">
        <v>19</v>
      </c>
      <c r="P5" s="205" t="s">
        <v>170</v>
      </c>
      <c r="Q5" s="203" t="s">
        <v>165</v>
      </c>
      <c r="R5" s="204">
        <v>24</v>
      </c>
      <c r="S5" s="203" t="s">
        <v>190</v>
      </c>
      <c r="T5" s="204">
        <v>19</v>
      </c>
      <c r="U5" s="205" t="s">
        <v>170</v>
      </c>
      <c r="V5" s="203" t="s">
        <v>190</v>
      </c>
      <c r="W5" s="204">
        <v>24</v>
      </c>
    </row>
    <row r="6" spans="2:23">
      <c r="B6" s="201" t="str">
        <f t="shared" si="0"/>
        <v>C53:AG54</v>
      </c>
      <c r="C6" s="203" t="s">
        <v>165</v>
      </c>
      <c r="D6" s="204">
        <v>53</v>
      </c>
      <c r="E6" s="205" t="s">
        <v>170</v>
      </c>
      <c r="F6" s="203" t="s">
        <v>167</v>
      </c>
      <c r="G6" s="204">
        <v>54</v>
      </c>
      <c r="K6" s="208" t="s">
        <v>187</v>
      </c>
      <c r="L6" s="201" t="str">
        <f t="shared" si="2"/>
        <v>C30:C35</v>
      </c>
      <c r="M6" s="201" t="str">
        <f t="shared" si="1"/>
        <v>I30:I35</v>
      </c>
      <c r="N6" s="203" t="s">
        <v>165</v>
      </c>
      <c r="O6" s="204">
        <v>30</v>
      </c>
      <c r="P6" s="205" t="s">
        <v>170</v>
      </c>
      <c r="Q6" s="203" t="s">
        <v>165</v>
      </c>
      <c r="R6" s="204">
        <v>35</v>
      </c>
      <c r="S6" s="203" t="s">
        <v>190</v>
      </c>
      <c r="T6" s="204">
        <v>30</v>
      </c>
      <c r="U6" s="205" t="s">
        <v>170</v>
      </c>
      <c r="V6" s="203" t="s">
        <v>190</v>
      </c>
      <c r="W6" s="204">
        <v>35</v>
      </c>
    </row>
    <row r="7" spans="2:23">
      <c r="B7" s="201" t="str">
        <f t="shared" si="0"/>
        <v>C75:AG76</v>
      </c>
      <c r="C7" s="203" t="s">
        <v>165</v>
      </c>
      <c r="D7" s="204">
        <v>75</v>
      </c>
      <c r="E7" s="205" t="s">
        <v>170</v>
      </c>
      <c r="F7" s="203" t="s">
        <v>167</v>
      </c>
      <c r="G7" s="204">
        <v>76</v>
      </c>
      <c r="K7" s="208" t="s">
        <v>179</v>
      </c>
      <c r="L7" s="201" t="str">
        <f t="shared" si="2"/>
        <v>C41:C46</v>
      </c>
      <c r="M7" s="201" t="str">
        <f t="shared" si="1"/>
        <v>I41:I46</v>
      </c>
      <c r="N7" s="203" t="s">
        <v>165</v>
      </c>
      <c r="O7" s="204">
        <v>41</v>
      </c>
      <c r="P7" s="205" t="s">
        <v>170</v>
      </c>
      <c r="Q7" s="203" t="s">
        <v>165</v>
      </c>
      <c r="R7" s="204">
        <v>46</v>
      </c>
      <c r="S7" s="203" t="s">
        <v>190</v>
      </c>
      <c r="T7" s="204">
        <v>41</v>
      </c>
      <c r="U7" s="205" t="s">
        <v>170</v>
      </c>
      <c r="V7" s="203" t="s">
        <v>190</v>
      </c>
      <c r="W7" s="204">
        <v>46</v>
      </c>
    </row>
    <row r="8" spans="2:23">
      <c r="B8" s="201" t="str">
        <f t="shared" si="0"/>
        <v>C97:AG98</v>
      </c>
      <c r="C8" s="203" t="s">
        <v>165</v>
      </c>
      <c r="D8" s="204">
        <v>97</v>
      </c>
      <c r="E8" s="205" t="s">
        <v>170</v>
      </c>
      <c r="F8" s="203" t="s">
        <v>167</v>
      </c>
      <c r="G8" s="204">
        <v>98</v>
      </c>
      <c r="K8" s="208" t="s">
        <v>180</v>
      </c>
      <c r="L8" s="201" t="str">
        <f t="shared" si="2"/>
        <v>C55:C60</v>
      </c>
      <c r="M8" s="201" t="str">
        <f t="shared" si="1"/>
        <v>I55:I60</v>
      </c>
      <c r="N8" s="203" t="s">
        <v>165</v>
      </c>
      <c r="O8" s="204">
        <v>55</v>
      </c>
      <c r="P8" s="205" t="s">
        <v>170</v>
      </c>
      <c r="Q8" s="203" t="s">
        <v>165</v>
      </c>
      <c r="R8" s="204">
        <v>60</v>
      </c>
      <c r="S8" s="203" t="s">
        <v>190</v>
      </c>
      <c r="T8" s="204">
        <v>55</v>
      </c>
      <c r="U8" s="205" t="s">
        <v>170</v>
      </c>
      <c r="V8" s="203" t="s">
        <v>190</v>
      </c>
      <c r="W8" s="204">
        <v>60</v>
      </c>
    </row>
    <row r="9" spans="2:23">
      <c r="B9" s="201" t="str">
        <f t="shared" si="0"/>
        <v>C118:AG119</v>
      </c>
      <c r="C9" s="203" t="s">
        <v>165</v>
      </c>
      <c r="D9" s="204">
        <v>118</v>
      </c>
      <c r="E9" s="205" t="s">
        <v>170</v>
      </c>
      <c r="F9" s="203" t="s">
        <v>167</v>
      </c>
      <c r="G9" s="204">
        <v>119</v>
      </c>
      <c r="K9" s="208" t="s">
        <v>181</v>
      </c>
      <c r="L9" s="201" t="str">
        <f t="shared" si="2"/>
        <v>C66:C71</v>
      </c>
      <c r="M9" s="201" t="str">
        <f t="shared" si="1"/>
        <v>I66:I71</v>
      </c>
      <c r="N9" s="203" t="s">
        <v>165</v>
      </c>
      <c r="O9" s="204">
        <v>66</v>
      </c>
      <c r="P9" s="205" t="s">
        <v>170</v>
      </c>
      <c r="Q9" s="203" t="s">
        <v>165</v>
      </c>
      <c r="R9" s="204">
        <v>71</v>
      </c>
      <c r="S9" s="203" t="s">
        <v>190</v>
      </c>
      <c r="T9" s="204">
        <v>66</v>
      </c>
      <c r="U9" s="205" t="s">
        <v>170</v>
      </c>
      <c r="V9" s="203" t="s">
        <v>190</v>
      </c>
      <c r="W9" s="204">
        <v>71</v>
      </c>
    </row>
    <row r="10" spans="2:23">
      <c r="K10" s="208" t="s">
        <v>182</v>
      </c>
      <c r="L10" s="201" t="str">
        <f t="shared" si="2"/>
        <v>O8:O13</v>
      </c>
      <c r="M10" s="201" t="str">
        <f t="shared" si="1"/>
        <v>U8:U13</v>
      </c>
      <c r="N10" s="203" t="s">
        <v>188</v>
      </c>
      <c r="O10" s="204">
        <v>8</v>
      </c>
      <c r="P10" s="205" t="s">
        <v>170</v>
      </c>
      <c r="Q10" s="203" t="s">
        <v>188</v>
      </c>
      <c r="R10" s="204">
        <v>13</v>
      </c>
      <c r="S10" s="203" t="s">
        <v>191</v>
      </c>
      <c r="T10" s="204">
        <v>8</v>
      </c>
      <c r="U10" s="205" t="s">
        <v>170</v>
      </c>
      <c r="V10" s="203" t="s">
        <v>191</v>
      </c>
      <c r="W10" s="204">
        <v>13</v>
      </c>
    </row>
    <row r="11" spans="2:23">
      <c r="K11" s="208" t="s">
        <v>183</v>
      </c>
      <c r="L11" s="201" t="str">
        <f t="shared" si="2"/>
        <v>O19:O24</v>
      </c>
      <c r="M11" s="201" t="str">
        <f t="shared" si="1"/>
        <v>U19:U24</v>
      </c>
      <c r="N11" s="203" t="s">
        <v>188</v>
      </c>
      <c r="O11" s="204">
        <v>19</v>
      </c>
      <c r="P11" s="205" t="s">
        <v>170</v>
      </c>
      <c r="Q11" s="203" t="s">
        <v>188</v>
      </c>
      <c r="R11" s="204">
        <v>24</v>
      </c>
      <c r="S11" s="203" t="s">
        <v>191</v>
      </c>
      <c r="T11" s="204">
        <v>19</v>
      </c>
      <c r="U11" s="205" t="s">
        <v>170</v>
      </c>
      <c r="V11" s="203" t="s">
        <v>191</v>
      </c>
      <c r="W11" s="204">
        <v>24</v>
      </c>
    </row>
    <row r="12" spans="2:23">
      <c r="K12" s="208" t="s">
        <v>189</v>
      </c>
      <c r="L12" s="201" t="str">
        <f t="shared" si="2"/>
        <v>O30:O35</v>
      </c>
      <c r="M12" s="201" t="str">
        <f t="shared" si="1"/>
        <v>U30:U35</v>
      </c>
      <c r="N12" s="203" t="s">
        <v>188</v>
      </c>
      <c r="O12" s="204">
        <v>30</v>
      </c>
      <c r="P12" s="205" t="s">
        <v>170</v>
      </c>
      <c r="Q12" s="203" t="s">
        <v>188</v>
      </c>
      <c r="R12" s="204">
        <v>35</v>
      </c>
      <c r="S12" s="203" t="s">
        <v>191</v>
      </c>
      <c r="T12" s="204">
        <v>30</v>
      </c>
      <c r="U12" s="205" t="s">
        <v>170</v>
      </c>
      <c r="V12" s="203" t="s">
        <v>191</v>
      </c>
      <c r="W12" s="204">
        <v>35</v>
      </c>
    </row>
    <row r="13" spans="2:23">
      <c r="K13" s="208" t="s">
        <v>184</v>
      </c>
      <c r="L13" s="201" t="str">
        <f t="shared" si="2"/>
        <v>O41:O46</v>
      </c>
      <c r="M13" s="201" t="str">
        <f t="shared" si="1"/>
        <v>U41:U46</v>
      </c>
      <c r="N13" s="203" t="s">
        <v>188</v>
      </c>
      <c r="O13" s="204">
        <v>41</v>
      </c>
      <c r="P13" s="205" t="s">
        <v>170</v>
      </c>
      <c r="Q13" s="203" t="s">
        <v>188</v>
      </c>
      <c r="R13" s="204">
        <v>46</v>
      </c>
      <c r="S13" s="203" t="s">
        <v>191</v>
      </c>
      <c r="T13" s="204">
        <v>41</v>
      </c>
      <c r="U13" s="205" t="s">
        <v>170</v>
      </c>
      <c r="V13" s="203" t="s">
        <v>191</v>
      </c>
      <c r="W13" s="204">
        <v>46</v>
      </c>
    </row>
    <row r="14" spans="2:23">
      <c r="K14" s="208" t="s">
        <v>185</v>
      </c>
      <c r="L14" s="201" t="str">
        <f t="shared" si="2"/>
        <v>O55:O60</v>
      </c>
      <c r="M14" s="201" t="str">
        <f t="shared" si="1"/>
        <v>U55:U60</v>
      </c>
      <c r="N14" s="203" t="s">
        <v>188</v>
      </c>
      <c r="O14" s="204">
        <v>55</v>
      </c>
      <c r="P14" s="205" t="s">
        <v>170</v>
      </c>
      <c r="Q14" s="203" t="s">
        <v>188</v>
      </c>
      <c r="R14" s="204">
        <v>60</v>
      </c>
      <c r="S14" s="203" t="s">
        <v>191</v>
      </c>
      <c r="T14" s="204">
        <v>55</v>
      </c>
      <c r="U14" s="205" t="s">
        <v>170</v>
      </c>
      <c r="V14" s="203" t="s">
        <v>191</v>
      </c>
      <c r="W14" s="204">
        <v>60</v>
      </c>
    </row>
    <row r="15" spans="2:23">
      <c r="K15" s="208" t="s">
        <v>186</v>
      </c>
      <c r="L15" s="201" t="str">
        <f t="shared" si="2"/>
        <v>O66:O71</v>
      </c>
      <c r="M15" s="201" t="str">
        <f t="shared" si="1"/>
        <v>U66:U71</v>
      </c>
      <c r="N15" s="203" t="s">
        <v>188</v>
      </c>
      <c r="O15" s="204">
        <v>66</v>
      </c>
      <c r="P15" s="205" t="s">
        <v>170</v>
      </c>
      <c r="Q15" s="203" t="s">
        <v>188</v>
      </c>
      <c r="R15" s="204">
        <v>71</v>
      </c>
      <c r="S15" s="203" t="s">
        <v>191</v>
      </c>
      <c r="T15" s="204">
        <v>66</v>
      </c>
      <c r="U15" s="205" t="s">
        <v>170</v>
      </c>
      <c r="V15" s="203" t="s">
        <v>191</v>
      </c>
      <c r="W15" s="204">
        <v>71</v>
      </c>
    </row>
  </sheetData>
  <phoneticPr fontId="4"/>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D7A25-4CA6-4FBF-8BC0-9A1D17242DE4}">
  <sheetPr codeName="Sheet31">
    <tabColor theme="1"/>
  </sheetPr>
  <dimension ref="A1"/>
  <sheetViews>
    <sheetView workbookViewId="0"/>
  </sheetViews>
  <sheetFormatPr defaultRowHeight="13.2"/>
  <sheetData/>
  <phoneticPr fontId="4"/>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55E1D-34CD-4CE2-8E0A-EE4EF3193D2A}">
  <sheetPr codeName="Sheet45"/>
  <dimension ref="A1:X64"/>
  <sheetViews>
    <sheetView view="pageBreakPreview" topLeftCell="F4" zoomScale="70" zoomScaleNormal="70" zoomScaleSheetLayoutView="70" workbookViewId="0">
      <selection activeCell="N35" sqref="N35"/>
    </sheetView>
  </sheetViews>
  <sheetFormatPr defaultColWidth="10" defaultRowHeight="15"/>
  <cols>
    <col min="1" max="1" width="3.44140625" style="154" customWidth="1"/>
    <col min="2" max="2" width="10" style="154"/>
    <col min="3" max="3" width="17.5546875" style="154" customWidth="1"/>
    <col min="4" max="5" width="7.5546875" style="154" customWidth="1"/>
    <col min="6" max="6" width="3.44140625" style="154" customWidth="1"/>
    <col min="7" max="7" width="6.5546875" style="154" customWidth="1"/>
    <col min="8" max="8" width="10" style="154"/>
    <col min="9" max="9" width="17.5546875" style="154" customWidth="1"/>
    <col min="10" max="11" width="7.5546875" style="154" customWidth="1"/>
    <col min="12" max="12" width="3.44140625" style="154" customWidth="1"/>
    <col min="13" max="13" width="6.5546875" style="154" customWidth="1"/>
    <col min="14" max="14" width="10" style="154"/>
    <col min="15" max="15" width="17.5546875" style="154" customWidth="1"/>
    <col min="16" max="17" width="7.5546875" style="154" customWidth="1"/>
    <col min="18" max="18" width="3.44140625" style="154" customWidth="1"/>
    <col min="19" max="19" width="6.5546875" style="154" customWidth="1"/>
    <col min="20" max="20" width="10" style="154"/>
    <col min="21" max="21" width="17.5546875" style="154" customWidth="1"/>
    <col min="22" max="23" width="7.5546875" style="154" customWidth="1"/>
    <col min="24" max="16384" width="10" style="154"/>
  </cols>
  <sheetData>
    <row r="1" spans="1:23" s="152" customFormat="1" ht="24.6">
      <c r="A1" s="152" t="s">
        <v>124</v>
      </c>
      <c r="I1" s="153" t="s">
        <v>358</v>
      </c>
    </row>
    <row r="2" spans="1:23">
      <c r="B2" s="154" t="s">
        <v>125</v>
      </c>
      <c r="C2" s="154" t="s">
        <v>13</v>
      </c>
    </row>
    <row r="3" spans="1:23">
      <c r="B3" s="154" t="s">
        <v>126</v>
      </c>
      <c r="C3" s="154" t="s">
        <v>357</v>
      </c>
    </row>
    <row r="4" spans="1:23" ht="4.5" customHeight="1" thickBot="1"/>
    <row r="5" spans="1:23" ht="20.25" customHeight="1" thickTop="1" thickBot="1">
      <c r="B5" s="155" t="s">
        <v>127</v>
      </c>
      <c r="C5" s="233">
        <v>45997</v>
      </c>
      <c r="D5" s="156" t="s">
        <v>125</v>
      </c>
      <c r="E5" s="157"/>
      <c r="F5" s="158"/>
      <c r="G5" s="158"/>
      <c r="H5" s="155" t="s">
        <v>127</v>
      </c>
      <c r="I5" s="233">
        <v>45997</v>
      </c>
      <c r="J5" s="156" t="s">
        <v>125</v>
      </c>
      <c r="K5" s="157"/>
      <c r="L5" s="263"/>
      <c r="M5" s="158"/>
      <c r="N5" s="190" t="s">
        <v>145</v>
      </c>
      <c r="O5" s="197">
        <v>46137</v>
      </c>
      <c r="P5" s="156" t="s">
        <v>125</v>
      </c>
      <c r="Q5" s="157"/>
      <c r="R5" s="158"/>
      <c r="S5" s="158"/>
      <c r="T5" s="190" t="s">
        <v>145</v>
      </c>
      <c r="U5" s="197">
        <v>46137</v>
      </c>
      <c r="V5" s="156" t="s">
        <v>125</v>
      </c>
      <c r="W5" s="157"/>
    </row>
    <row r="6" spans="1:23" ht="20.25" customHeight="1" thickTop="1">
      <c r="B6" s="161" t="s">
        <v>129</v>
      </c>
      <c r="C6" s="162"/>
      <c r="D6" s="163" t="s">
        <v>130</v>
      </c>
      <c r="E6" s="163" t="s">
        <v>131</v>
      </c>
      <c r="F6" s="158"/>
      <c r="G6" s="158"/>
      <c r="H6" s="161" t="s">
        <v>129</v>
      </c>
      <c r="I6" s="162"/>
      <c r="J6" s="163" t="s">
        <v>130</v>
      </c>
      <c r="K6" s="163" t="s">
        <v>131</v>
      </c>
      <c r="L6" s="263"/>
      <c r="M6" s="158"/>
      <c r="N6" s="164" t="s">
        <v>132</v>
      </c>
      <c r="O6" s="165"/>
      <c r="P6" s="163" t="s">
        <v>130</v>
      </c>
      <c r="Q6" s="163" t="s">
        <v>131</v>
      </c>
      <c r="R6" s="158"/>
      <c r="S6" s="158"/>
      <c r="T6" s="164" t="s">
        <v>133</v>
      </c>
      <c r="U6" s="165"/>
      <c r="V6" s="163" t="s">
        <v>130</v>
      </c>
      <c r="W6" s="163" t="s">
        <v>131</v>
      </c>
    </row>
    <row r="7" spans="1:23">
      <c r="B7" s="166"/>
      <c r="C7" s="167" t="s">
        <v>134</v>
      </c>
      <c r="D7" s="168"/>
      <c r="E7" s="169"/>
      <c r="F7" s="158"/>
      <c r="G7" s="158"/>
      <c r="H7" s="166"/>
      <c r="I7" s="170" t="s">
        <v>134</v>
      </c>
      <c r="J7" s="168"/>
      <c r="K7" s="169"/>
      <c r="L7" s="263"/>
      <c r="M7" s="158"/>
      <c r="N7" s="166"/>
      <c r="O7" s="170" t="s">
        <v>134</v>
      </c>
      <c r="P7" s="168"/>
      <c r="Q7" s="169"/>
      <c r="R7" s="158"/>
      <c r="S7" s="158"/>
      <c r="T7" s="166"/>
      <c r="U7" s="170" t="s">
        <v>134</v>
      </c>
      <c r="V7" s="168"/>
      <c r="W7" s="169"/>
    </row>
    <row r="8" spans="1:23">
      <c r="A8" s="154">
        <v>1</v>
      </c>
      <c r="B8" s="171" t="s">
        <v>135</v>
      </c>
      <c r="C8" s="194" t="s">
        <v>443</v>
      </c>
      <c r="D8" s="172"/>
      <c r="E8" s="173"/>
      <c r="G8" s="154">
        <v>1</v>
      </c>
      <c r="H8" s="171" t="s">
        <v>135</v>
      </c>
      <c r="I8" s="194" t="s">
        <v>449</v>
      </c>
      <c r="J8" s="172"/>
      <c r="K8" s="173"/>
      <c r="L8" s="264"/>
      <c r="M8" s="154">
        <v>1</v>
      </c>
      <c r="N8" s="171" t="s">
        <v>135</v>
      </c>
      <c r="O8" s="194" t="s">
        <v>443</v>
      </c>
      <c r="P8" s="172"/>
      <c r="Q8" s="173"/>
      <c r="S8" s="154">
        <v>1</v>
      </c>
      <c r="T8" s="171" t="s">
        <v>135</v>
      </c>
      <c r="U8" s="194" t="s">
        <v>449</v>
      </c>
      <c r="V8" s="172"/>
      <c r="W8" s="173"/>
    </row>
    <row r="9" spans="1:23">
      <c r="A9" s="154">
        <v>2</v>
      </c>
      <c r="B9" s="171" t="s">
        <v>136</v>
      </c>
      <c r="C9" s="194" t="s">
        <v>444</v>
      </c>
      <c r="D9" s="172"/>
      <c r="E9" s="173"/>
      <c r="G9" s="154">
        <v>2</v>
      </c>
      <c r="H9" s="171" t="s">
        <v>136</v>
      </c>
      <c r="I9" s="194" t="s">
        <v>450</v>
      </c>
      <c r="J9" s="172"/>
      <c r="K9" s="173"/>
      <c r="L9" s="264"/>
      <c r="M9" s="154">
        <v>2</v>
      </c>
      <c r="N9" s="171" t="s">
        <v>136</v>
      </c>
      <c r="O9" s="194" t="s">
        <v>444</v>
      </c>
      <c r="P9" s="172"/>
      <c r="Q9" s="173"/>
      <c r="S9" s="154">
        <v>2</v>
      </c>
      <c r="T9" s="171" t="s">
        <v>136</v>
      </c>
      <c r="U9" s="194" t="s">
        <v>450</v>
      </c>
      <c r="V9" s="172"/>
      <c r="W9" s="173"/>
    </row>
    <row r="10" spans="1:23">
      <c r="A10" s="154">
        <v>3</v>
      </c>
      <c r="B10" s="171" t="s">
        <v>137</v>
      </c>
      <c r="C10" s="194" t="s">
        <v>445</v>
      </c>
      <c r="D10" s="172"/>
      <c r="E10" s="173"/>
      <c r="G10" s="154">
        <v>3</v>
      </c>
      <c r="H10" s="171" t="s">
        <v>137</v>
      </c>
      <c r="I10" s="194" t="s">
        <v>451</v>
      </c>
      <c r="J10" s="172"/>
      <c r="K10" s="173"/>
      <c r="L10" s="264"/>
      <c r="M10" s="154">
        <v>3</v>
      </c>
      <c r="N10" s="171" t="s">
        <v>137</v>
      </c>
      <c r="O10" s="194" t="s">
        <v>445</v>
      </c>
      <c r="P10" s="172"/>
      <c r="Q10" s="173"/>
      <c r="S10" s="154">
        <v>3</v>
      </c>
      <c r="T10" s="171" t="s">
        <v>137</v>
      </c>
      <c r="U10" s="194" t="s">
        <v>451</v>
      </c>
      <c r="V10" s="172"/>
      <c r="W10" s="173"/>
    </row>
    <row r="11" spans="1:23">
      <c r="A11" s="154">
        <v>4</v>
      </c>
      <c r="B11" s="171" t="s">
        <v>138</v>
      </c>
      <c r="C11" s="194" t="s">
        <v>446</v>
      </c>
      <c r="D11" s="172"/>
      <c r="E11" s="173"/>
      <c r="G11" s="154">
        <v>4</v>
      </c>
      <c r="H11" s="171" t="s">
        <v>138</v>
      </c>
      <c r="I11" s="194" t="s">
        <v>452</v>
      </c>
      <c r="J11" s="172"/>
      <c r="K11" s="173"/>
      <c r="L11" s="264"/>
      <c r="M11" s="154">
        <v>4</v>
      </c>
      <c r="N11" s="171" t="s">
        <v>138</v>
      </c>
      <c r="O11" s="194" t="s">
        <v>446</v>
      </c>
      <c r="P11" s="172"/>
      <c r="Q11" s="173"/>
      <c r="S11" s="154">
        <v>4</v>
      </c>
      <c r="T11" s="171" t="s">
        <v>138</v>
      </c>
      <c r="U11" s="194" t="s">
        <v>452</v>
      </c>
      <c r="V11" s="172"/>
      <c r="W11" s="173"/>
    </row>
    <row r="12" spans="1:23">
      <c r="A12" s="154">
        <v>5</v>
      </c>
      <c r="B12" s="171" t="s">
        <v>139</v>
      </c>
      <c r="C12" s="194" t="s">
        <v>447</v>
      </c>
      <c r="D12" s="172"/>
      <c r="E12" s="173"/>
      <c r="G12" s="154">
        <v>5</v>
      </c>
      <c r="H12" s="171" t="s">
        <v>139</v>
      </c>
      <c r="I12" s="194" t="s">
        <v>453</v>
      </c>
      <c r="J12" s="172"/>
      <c r="K12" s="173"/>
      <c r="L12" s="264"/>
      <c r="M12" s="154">
        <v>5</v>
      </c>
      <c r="N12" s="171" t="s">
        <v>139</v>
      </c>
      <c r="O12" s="194" t="s">
        <v>447</v>
      </c>
      <c r="P12" s="172"/>
      <c r="Q12" s="173"/>
      <c r="S12" s="154">
        <v>5</v>
      </c>
      <c r="T12" s="171" t="s">
        <v>139</v>
      </c>
      <c r="U12" s="194" t="s">
        <v>453</v>
      </c>
      <c r="V12" s="172"/>
      <c r="W12" s="173"/>
    </row>
    <row r="13" spans="1:23">
      <c r="A13" s="154">
        <v>6</v>
      </c>
      <c r="B13" s="171" t="s">
        <v>140</v>
      </c>
      <c r="C13" s="194" t="s">
        <v>448</v>
      </c>
      <c r="D13" s="175"/>
      <c r="E13" s="176"/>
      <c r="G13" s="154">
        <v>6</v>
      </c>
      <c r="H13" s="171" t="s">
        <v>140</v>
      </c>
      <c r="I13" s="194" t="s">
        <v>454</v>
      </c>
      <c r="J13" s="175"/>
      <c r="K13" s="176"/>
      <c r="L13" s="264"/>
      <c r="M13" s="154">
        <v>6</v>
      </c>
      <c r="N13" s="171" t="s">
        <v>140</v>
      </c>
      <c r="O13" s="194" t="s">
        <v>448</v>
      </c>
      <c r="P13" s="175"/>
      <c r="Q13" s="176"/>
      <c r="S13" s="154">
        <v>6</v>
      </c>
      <c r="T13" s="171" t="s">
        <v>140</v>
      </c>
      <c r="U13" s="194" t="s">
        <v>454</v>
      </c>
      <c r="V13" s="175"/>
      <c r="W13" s="176"/>
    </row>
    <row r="14" spans="1:23">
      <c r="L14" s="264"/>
    </row>
    <row r="15" spans="1:23" ht="16.5" customHeight="1" thickBot="1">
      <c r="A15" s="158"/>
      <c r="B15" s="158"/>
      <c r="C15" s="177"/>
      <c r="D15" s="178"/>
      <c r="E15" s="178"/>
      <c r="G15" s="158"/>
      <c r="H15" s="158"/>
      <c r="I15" s="177"/>
      <c r="J15" s="178"/>
      <c r="K15" s="178"/>
      <c r="L15" s="264"/>
      <c r="M15" s="158"/>
      <c r="N15" s="158"/>
      <c r="O15" s="177"/>
      <c r="P15" s="178"/>
      <c r="Q15" s="178"/>
      <c r="R15" s="322"/>
      <c r="S15" s="158"/>
      <c r="T15" s="158"/>
      <c r="U15" s="177"/>
      <c r="V15" s="178"/>
      <c r="W15" s="178"/>
    </row>
    <row r="16" spans="1:23" ht="17.25" customHeight="1" thickTop="1" thickBot="1">
      <c r="A16" s="158"/>
      <c r="B16" s="179" t="s">
        <v>127</v>
      </c>
      <c r="C16" s="232">
        <v>46004</v>
      </c>
      <c r="D16" s="156" t="s">
        <v>125</v>
      </c>
      <c r="E16" s="157"/>
      <c r="G16" s="158"/>
      <c r="H16" s="179" t="s">
        <v>127</v>
      </c>
      <c r="I16" s="232">
        <v>46004</v>
      </c>
      <c r="J16" s="156" t="s">
        <v>125</v>
      </c>
      <c r="K16" s="157"/>
      <c r="L16" s="264"/>
      <c r="M16" s="158"/>
      <c r="N16" s="190" t="s">
        <v>145</v>
      </c>
      <c r="O16" s="197">
        <v>46151</v>
      </c>
      <c r="P16" s="156" t="s">
        <v>125</v>
      </c>
      <c r="Q16" s="157"/>
      <c r="R16" s="322"/>
      <c r="S16" s="158"/>
      <c r="T16" s="190" t="s">
        <v>145</v>
      </c>
      <c r="U16" s="197">
        <v>46151</v>
      </c>
      <c r="V16" s="156" t="s">
        <v>125</v>
      </c>
      <c r="W16" s="157"/>
    </row>
    <row r="17" spans="1:23" ht="17.25" customHeight="1" thickTop="1">
      <c r="A17" s="158"/>
      <c r="B17" s="164" t="s">
        <v>133</v>
      </c>
      <c r="C17" s="180"/>
      <c r="D17" s="181" t="s">
        <v>130</v>
      </c>
      <c r="E17" s="181" t="s">
        <v>131</v>
      </c>
      <c r="G17" s="158"/>
      <c r="H17" s="164" t="s">
        <v>133</v>
      </c>
      <c r="I17" s="180"/>
      <c r="J17" s="181" t="s">
        <v>130</v>
      </c>
      <c r="K17" s="181" t="s">
        <v>131</v>
      </c>
      <c r="L17" s="264"/>
      <c r="M17" s="158"/>
      <c r="N17" s="164" t="s">
        <v>133</v>
      </c>
      <c r="O17" s="180"/>
      <c r="P17" s="181" t="s">
        <v>130</v>
      </c>
      <c r="Q17" s="181" t="s">
        <v>131</v>
      </c>
      <c r="R17" s="178"/>
      <c r="S17" s="158"/>
      <c r="T17" s="164" t="s">
        <v>133</v>
      </c>
      <c r="U17" s="180"/>
      <c r="V17" s="181" t="s">
        <v>130</v>
      </c>
      <c r="W17" s="181" t="s">
        <v>131</v>
      </c>
    </row>
    <row r="18" spans="1:23">
      <c r="A18" s="158"/>
      <c r="B18" s="166"/>
      <c r="C18" s="170" t="s">
        <v>134</v>
      </c>
      <c r="D18" s="182"/>
      <c r="E18" s="183"/>
      <c r="G18" s="158"/>
      <c r="H18" s="166"/>
      <c r="I18" s="170" t="s">
        <v>134</v>
      </c>
      <c r="J18" s="182"/>
      <c r="K18" s="183"/>
      <c r="L18" s="264"/>
      <c r="M18" s="158"/>
      <c r="N18" s="166"/>
      <c r="O18" s="170" t="s">
        <v>134</v>
      </c>
      <c r="P18" s="182"/>
      <c r="Q18" s="183"/>
      <c r="R18" s="158"/>
      <c r="S18" s="158"/>
      <c r="T18" s="166"/>
      <c r="U18" s="170" t="s">
        <v>134</v>
      </c>
      <c r="V18" s="182"/>
      <c r="W18" s="183"/>
    </row>
    <row r="19" spans="1:23">
      <c r="A19" s="154">
        <v>1</v>
      </c>
      <c r="B19" s="171" t="s">
        <v>135</v>
      </c>
      <c r="C19" s="194" t="s">
        <v>455</v>
      </c>
      <c r="D19" s="172"/>
      <c r="E19" s="173"/>
      <c r="G19" s="154">
        <v>1</v>
      </c>
      <c r="H19" s="171" t="s">
        <v>135</v>
      </c>
      <c r="I19" s="243" t="s">
        <v>461</v>
      </c>
      <c r="J19" s="172"/>
      <c r="K19" s="173"/>
      <c r="L19" s="264"/>
      <c r="M19" s="154">
        <v>1</v>
      </c>
      <c r="N19" s="171" t="s">
        <v>135</v>
      </c>
      <c r="O19" s="194" t="s">
        <v>455</v>
      </c>
      <c r="P19" s="172"/>
      <c r="Q19" s="173"/>
      <c r="S19" s="154">
        <v>1</v>
      </c>
      <c r="T19" s="171" t="s">
        <v>135</v>
      </c>
      <c r="U19" s="243" t="s">
        <v>461</v>
      </c>
      <c r="V19" s="172"/>
      <c r="W19" s="173"/>
    </row>
    <row r="20" spans="1:23">
      <c r="A20" s="154">
        <v>2</v>
      </c>
      <c r="B20" s="171" t="s">
        <v>136</v>
      </c>
      <c r="C20" s="194" t="s">
        <v>456</v>
      </c>
      <c r="D20" s="172"/>
      <c r="E20" s="173"/>
      <c r="G20" s="154">
        <v>2</v>
      </c>
      <c r="H20" s="171" t="s">
        <v>136</v>
      </c>
      <c r="I20" s="243" t="s">
        <v>462</v>
      </c>
      <c r="J20" s="172"/>
      <c r="K20" s="173"/>
      <c r="L20" s="264"/>
      <c r="M20" s="154">
        <v>2</v>
      </c>
      <c r="N20" s="171" t="s">
        <v>136</v>
      </c>
      <c r="O20" s="194" t="s">
        <v>456</v>
      </c>
      <c r="P20" s="172"/>
      <c r="Q20" s="173"/>
      <c r="S20" s="154">
        <v>2</v>
      </c>
      <c r="T20" s="171" t="s">
        <v>136</v>
      </c>
      <c r="U20" s="243" t="s">
        <v>462</v>
      </c>
      <c r="V20" s="172"/>
      <c r="W20" s="173"/>
    </row>
    <row r="21" spans="1:23">
      <c r="A21" s="154">
        <v>3</v>
      </c>
      <c r="B21" s="171" t="s">
        <v>137</v>
      </c>
      <c r="C21" s="194" t="s">
        <v>457</v>
      </c>
      <c r="D21" s="172"/>
      <c r="E21" s="173"/>
      <c r="G21" s="154">
        <v>3</v>
      </c>
      <c r="H21" s="171" t="s">
        <v>137</v>
      </c>
      <c r="I21" s="194"/>
      <c r="J21" s="172"/>
      <c r="K21" s="173"/>
      <c r="L21" s="264"/>
      <c r="M21" s="154">
        <v>3</v>
      </c>
      <c r="N21" s="171" t="s">
        <v>137</v>
      </c>
      <c r="O21" s="194" t="s">
        <v>457</v>
      </c>
      <c r="P21" s="172"/>
      <c r="Q21" s="173"/>
      <c r="S21" s="154">
        <v>3</v>
      </c>
      <c r="T21" s="171" t="s">
        <v>137</v>
      </c>
      <c r="U21" s="194"/>
      <c r="V21" s="172"/>
      <c r="W21" s="173"/>
    </row>
    <row r="22" spans="1:23">
      <c r="A22" s="154">
        <v>4</v>
      </c>
      <c r="B22" s="171" t="s">
        <v>138</v>
      </c>
      <c r="C22" s="194" t="s">
        <v>458</v>
      </c>
      <c r="D22" s="172"/>
      <c r="E22" s="173"/>
      <c r="G22" s="154">
        <v>4</v>
      </c>
      <c r="H22" s="171" t="s">
        <v>138</v>
      </c>
      <c r="I22" s="194"/>
      <c r="J22" s="172"/>
      <c r="K22" s="173"/>
      <c r="L22" s="264"/>
      <c r="M22" s="154">
        <v>4</v>
      </c>
      <c r="N22" s="171" t="s">
        <v>138</v>
      </c>
      <c r="O22" s="194" t="s">
        <v>458</v>
      </c>
      <c r="P22" s="172"/>
      <c r="Q22" s="173"/>
      <c r="S22" s="154">
        <v>4</v>
      </c>
      <c r="T22" s="171" t="s">
        <v>138</v>
      </c>
      <c r="U22" s="194"/>
      <c r="V22" s="172"/>
      <c r="W22" s="173"/>
    </row>
    <row r="23" spans="1:23">
      <c r="A23" s="154">
        <v>5</v>
      </c>
      <c r="B23" s="171" t="s">
        <v>139</v>
      </c>
      <c r="C23" s="194" t="s">
        <v>459</v>
      </c>
      <c r="D23" s="172"/>
      <c r="E23" s="173"/>
      <c r="G23" s="154">
        <v>5</v>
      </c>
      <c r="H23" s="171" t="s">
        <v>139</v>
      </c>
      <c r="I23" s="194"/>
      <c r="J23" s="172"/>
      <c r="K23" s="173"/>
      <c r="L23" s="264"/>
      <c r="M23" s="154">
        <v>5</v>
      </c>
      <c r="N23" s="171" t="s">
        <v>139</v>
      </c>
      <c r="O23" s="194" t="s">
        <v>459</v>
      </c>
      <c r="P23" s="172"/>
      <c r="Q23" s="173"/>
      <c r="S23" s="154">
        <v>5</v>
      </c>
      <c r="T23" s="171" t="s">
        <v>139</v>
      </c>
      <c r="U23" s="194"/>
      <c r="V23" s="172"/>
      <c r="W23" s="173"/>
    </row>
    <row r="24" spans="1:23">
      <c r="A24" s="154">
        <v>6</v>
      </c>
      <c r="B24" s="171" t="s">
        <v>140</v>
      </c>
      <c r="C24" s="194" t="s">
        <v>460</v>
      </c>
      <c r="D24" s="175"/>
      <c r="E24" s="176"/>
      <c r="G24" s="154">
        <v>6</v>
      </c>
      <c r="H24" s="171" t="s">
        <v>140</v>
      </c>
      <c r="I24" s="194"/>
      <c r="J24" s="175"/>
      <c r="K24" s="176"/>
      <c r="L24" s="264"/>
      <c r="M24" s="154">
        <v>6</v>
      </c>
      <c r="N24" s="171" t="s">
        <v>140</v>
      </c>
      <c r="O24" s="194" t="s">
        <v>460</v>
      </c>
      <c r="P24" s="175"/>
      <c r="Q24" s="176"/>
      <c r="S24" s="154">
        <v>6</v>
      </c>
      <c r="T24" s="171" t="s">
        <v>140</v>
      </c>
      <c r="U24" s="194"/>
      <c r="V24" s="175"/>
      <c r="W24" s="176"/>
    </row>
    <row r="25" spans="1:23">
      <c r="L25" s="264"/>
    </row>
    <row r="26" spans="1:23" ht="16.5" customHeight="1" thickBot="1">
      <c r="B26" s="154" t="s">
        <v>141</v>
      </c>
      <c r="C26" s="177"/>
      <c r="D26" s="178"/>
      <c r="E26" s="178"/>
      <c r="I26" s="177"/>
      <c r="J26" s="178"/>
      <c r="K26" s="178"/>
      <c r="L26" s="264"/>
      <c r="O26" s="177"/>
      <c r="P26" s="178"/>
      <c r="Q26" s="178"/>
      <c r="U26" s="184"/>
      <c r="V26" s="178"/>
      <c r="W26" s="178"/>
    </row>
    <row r="27" spans="1:23" ht="16.350000000000001" customHeight="1" thickTop="1" thickBot="1">
      <c r="B27" s="185" t="s">
        <v>142</v>
      </c>
      <c r="C27" s="232">
        <v>46053</v>
      </c>
      <c r="D27" s="156" t="s">
        <v>125</v>
      </c>
      <c r="E27" s="157"/>
      <c r="F27" s="158"/>
      <c r="G27" s="158"/>
      <c r="H27" s="185" t="s">
        <v>143</v>
      </c>
      <c r="I27" s="232">
        <v>46053</v>
      </c>
      <c r="J27" s="156" t="s">
        <v>125</v>
      </c>
      <c r="K27" s="157"/>
      <c r="L27" s="263"/>
    </row>
    <row r="28" spans="1:23" ht="16.350000000000001" customHeight="1" thickTop="1">
      <c r="B28" s="164" t="s">
        <v>133</v>
      </c>
      <c r="C28" s="180"/>
      <c r="D28" s="181" t="s">
        <v>130</v>
      </c>
      <c r="E28" s="181" t="s">
        <v>131</v>
      </c>
      <c r="F28" s="158"/>
      <c r="G28" s="158"/>
      <c r="H28" s="164" t="s">
        <v>133</v>
      </c>
      <c r="I28" s="180"/>
      <c r="J28" s="181" t="s">
        <v>130</v>
      </c>
      <c r="K28" s="181" t="s">
        <v>131</v>
      </c>
      <c r="L28" s="263"/>
    </row>
    <row r="29" spans="1:23" ht="16.350000000000001" customHeight="1">
      <c r="B29" s="166"/>
      <c r="C29" s="170" t="s">
        <v>134</v>
      </c>
      <c r="D29" s="182"/>
      <c r="E29" s="183"/>
      <c r="F29" s="158"/>
      <c r="G29" s="158"/>
      <c r="H29" s="166"/>
      <c r="I29" s="170" t="s">
        <v>134</v>
      </c>
      <c r="J29" s="182"/>
      <c r="K29" s="183"/>
      <c r="L29" s="263"/>
    </row>
    <row r="30" spans="1:23">
      <c r="A30" s="154">
        <v>1</v>
      </c>
      <c r="B30" s="171" t="s">
        <v>135</v>
      </c>
      <c r="C30" s="194" t="s">
        <v>443</v>
      </c>
      <c r="D30" s="172"/>
      <c r="E30" s="173"/>
      <c r="G30" s="154">
        <v>1</v>
      </c>
      <c r="H30" s="171" t="s">
        <v>135</v>
      </c>
      <c r="I30" s="194" t="s">
        <v>449</v>
      </c>
      <c r="J30" s="172"/>
      <c r="K30" s="173"/>
      <c r="L30" s="264"/>
    </row>
    <row r="31" spans="1:23">
      <c r="A31" s="154">
        <v>2</v>
      </c>
      <c r="B31" s="171" t="s">
        <v>136</v>
      </c>
      <c r="C31" s="194" t="s">
        <v>444</v>
      </c>
      <c r="D31" s="172"/>
      <c r="E31" s="173"/>
      <c r="G31" s="154">
        <v>2</v>
      </c>
      <c r="H31" s="171" t="s">
        <v>136</v>
      </c>
      <c r="I31" s="194" t="s">
        <v>450</v>
      </c>
      <c r="J31" s="172"/>
      <c r="K31" s="173"/>
      <c r="L31" s="264"/>
    </row>
    <row r="32" spans="1:23">
      <c r="A32" s="154">
        <v>3</v>
      </c>
      <c r="B32" s="171" t="s">
        <v>137</v>
      </c>
      <c r="C32" s="194" t="s">
        <v>445</v>
      </c>
      <c r="D32" s="172"/>
      <c r="E32" s="173"/>
      <c r="G32" s="154">
        <v>3</v>
      </c>
      <c r="H32" s="171" t="s">
        <v>137</v>
      </c>
      <c r="I32" s="194" t="s">
        <v>451</v>
      </c>
      <c r="J32" s="172"/>
      <c r="K32" s="173"/>
      <c r="L32" s="264"/>
    </row>
    <row r="33" spans="1:12">
      <c r="A33" s="154">
        <v>4</v>
      </c>
      <c r="B33" s="171" t="s">
        <v>138</v>
      </c>
      <c r="C33" s="194" t="s">
        <v>446</v>
      </c>
      <c r="D33" s="172"/>
      <c r="E33" s="173"/>
      <c r="G33" s="154">
        <v>4</v>
      </c>
      <c r="H33" s="171" t="s">
        <v>138</v>
      </c>
      <c r="I33" s="194" t="s">
        <v>452</v>
      </c>
      <c r="J33" s="172"/>
      <c r="K33" s="173"/>
      <c r="L33" s="264"/>
    </row>
    <row r="34" spans="1:12">
      <c r="A34" s="154">
        <v>5</v>
      </c>
      <c r="B34" s="171" t="s">
        <v>139</v>
      </c>
      <c r="C34" s="194" t="s">
        <v>447</v>
      </c>
      <c r="D34" s="172"/>
      <c r="E34" s="173"/>
      <c r="G34" s="154">
        <v>5</v>
      </c>
      <c r="H34" s="171" t="s">
        <v>139</v>
      </c>
      <c r="I34" s="194" t="s">
        <v>453</v>
      </c>
      <c r="J34" s="172"/>
      <c r="K34" s="173"/>
      <c r="L34" s="264"/>
    </row>
    <row r="35" spans="1:12">
      <c r="A35" s="154">
        <v>6</v>
      </c>
      <c r="B35" s="171" t="s">
        <v>140</v>
      </c>
      <c r="C35" s="194" t="s">
        <v>448</v>
      </c>
      <c r="D35" s="175"/>
      <c r="E35" s="176"/>
      <c r="G35" s="154">
        <v>6</v>
      </c>
      <c r="H35" s="171" t="s">
        <v>140</v>
      </c>
      <c r="I35" s="194" t="s">
        <v>454</v>
      </c>
      <c r="J35" s="175"/>
      <c r="K35" s="176"/>
      <c r="L35" s="264"/>
    </row>
    <row r="36" spans="1:12">
      <c r="L36" s="264"/>
    </row>
    <row r="37" spans="1:12" ht="16.5" customHeight="1" thickBot="1">
      <c r="C37" s="177"/>
      <c r="D37" s="178"/>
      <c r="E37" s="178"/>
      <c r="I37" s="177"/>
      <c r="J37" s="178"/>
      <c r="K37" s="178"/>
      <c r="L37" s="264"/>
    </row>
    <row r="38" spans="1:12" ht="17.25" customHeight="1" thickTop="1" thickBot="1">
      <c r="B38" s="185" t="s">
        <v>142</v>
      </c>
      <c r="C38" s="232">
        <v>46060</v>
      </c>
      <c r="D38" s="156" t="s">
        <v>125</v>
      </c>
      <c r="E38" s="157"/>
      <c r="F38" s="158"/>
      <c r="G38" s="158"/>
      <c r="H38" s="185" t="s">
        <v>143</v>
      </c>
      <c r="I38" s="232">
        <v>46060</v>
      </c>
      <c r="J38" s="156" t="s">
        <v>125</v>
      </c>
      <c r="K38" s="157"/>
      <c r="L38" s="263"/>
    </row>
    <row r="39" spans="1:12" ht="17.25" customHeight="1" thickTop="1">
      <c r="B39" s="164" t="s">
        <v>133</v>
      </c>
      <c r="C39" s="180"/>
      <c r="D39" s="181" t="s">
        <v>130</v>
      </c>
      <c r="E39" s="181" t="s">
        <v>131</v>
      </c>
      <c r="F39" s="158"/>
      <c r="G39" s="158"/>
      <c r="H39" s="164" t="s">
        <v>133</v>
      </c>
      <c r="I39" s="180"/>
      <c r="J39" s="181" t="s">
        <v>130</v>
      </c>
      <c r="K39" s="181" t="s">
        <v>131</v>
      </c>
      <c r="L39" s="263"/>
    </row>
    <row r="40" spans="1:12">
      <c r="B40" s="166"/>
      <c r="C40" s="170" t="s">
        <v>134</v>
      </c>
      <c r="D40" s="182"/>
      <c r="E40" s="183"/>
      <c r="F40" s="158"/>
      <c r="G40" s="158"/>
      <c r="H40" s="166"/>
      <c r="I40" s="170" t="s">
        <v>134</v>
      </c>
      <c r="J40" s="182"/>
      <c r="K40" s="183"/>
      <c r="L40" s="263"/>
    </row>
    <row r="41" spans="1:12">
      <c r="A41" s="154">
        <v>1</v>
      </c>
      <c r="B41" s="171" t="s">
        <v>135</v>
      </c>
      <c r="C41" s="194" t="s">
        <v>455</v>
      </c>
      <c r="D41" s="172"/>
      <c r="E41" s="173"/>
      <c r="G41" s="154">
        <v>1</v>
      </c>
      <c r="H41" s="171" t="s">
        <v>135</v>
      </c>
      <c r="I41" s="243" t="s">
        <v>461</v>
      </c>
      <c r="J41" s="172"/>
      <c r="K41" s="173"/>
      <c r="L41" s="264"/>
    </row>
    <row r="42" spans="1:12">
      <c r="A42" s="154">
        <v>2</v>
      </c>
      <c r="B42" s="171" t="s">
        <v>136</v>
      </c>
      <c r="C42" s="194" t="s">
        <v>456</v>
      </c>
      <c r="D42" s="172"/>
      <c r="E42" s="173"/>
      <c r="G42" s="154">
        <v>2</v>
      </c>
      <c r="H42" s="171" t="s">
        <v>136</v>
      </c>
      <c r="I42" s="243" t="s">
        <v>462</v>
      </c>
      <c r="J42" s="172"/>
      <c r="K42" s="173"/>
      <c r="L42" s="264"/>
    </row>
    <row r="43" spans="1:12">
      <c r="A43" s="154">
        <v>3</v>
      </c>
      <c r="B43" s="171" t="s">
        <v>137</v>
      </c>
      <c r="C43" s="194" t="s">
        <v>457</v>
      </c>
      <c r="D43" s="172"/>
      <c r="E43" s="173"/>
      <c r="G43" s="154">
        <v>3</v>
      </c>
      <c r="H43" s="171" t="s">
        <v>137</v>
      </c>
      <c r="I43" s="194"/>
      <c r="J43" s="172"/>
      <c r="K43" s="173"/>
      <c r="L43" s="264"/>
    </row>
    <row r="44" spans="1:12">
      <c r="A44" s="154">
        <v>4</v>
      </c>
      <c r="B44" s="171" t="s">
        <v>138</v>
      </c>
      <c r="C44" s="194" t="s">
        <v>458</v>
      </c>
      <c r="D44" s="172"/>
      <c r="E44" s="173"/>
      <c r="G44" s="154">
        <v>4</v>
      </c>
      <c r="H44" s="171" t="s">
        <v>138</v>
      </c>
      <c r="I44" s="194"/>
      <c r="J44" s="172"/>
      <c r="K44" s="173"/>
      <c r="L44" s="264"/>
    </row>
    <row r="45" spans="1:12">
      <c r="A45" s="154">
        <v>5</v>
      </c>
      <c r="B45" s="171" t="s">
        <v>139</v>
      </c>
      <c r="C45" s="194" t="s">
        <v>459</v>
      </c>
      <c r="D45" s="172"/>
      <c r="E45" s="173"/>
      <c r="G45" s="154">
        <v>5</v>
      </c>
      <c r="H45" s="171" t="s">
        <v>139</v>
      </c>
      <c r="I45" s="194"/>
      <c r="J45" s="172"/>
      <c r="K45" s="173"/>
      <c r="L45" s="264"/>
    </row>
    <row r="46" spans="1:12">
      <c r="A46" s="154">
        <v>6</v>
      </c>
      <c r="B46" s="171" t="s">
        <v>140</v>
      </c>
      <c r="C46" s="194" t="s">
        <v>460</v>
      </c>
      <c r="D46" s="175"/>
      <c r="E46" s="176"/>
      <c r="G46" s="154">
        <v>6</v>
      </c>
      <c r="H46" s="171" t="s">
        <v>140</v>
      </c>
      <c r="I46" s="194"/>
      <c r="J46" s="175"/>
      <c r="K46" s="176"/>
      <c r="L46" s="264"/>
    </row>
    <row r="47" spans="1:12">
      <c r="I47" s="285"/>
      <c r="L47" s="264"/>
    </row>
    <row r="48" spans="1:12" ht="16.5" customHeight="1"/>
    <row r="49" spans="1:24" s="152" customFormat="1" ht="24.6">
      <c r="A49" s="154"/>
      <c r="B49" s="154"/>
      <c r="C49" s="154"/>
      <c r="D49" s="154"/>
      <c r="E49" s="154"/>
      <c r="F49" s="154"/>
      <c r="G49" s="154"/>
      <c r="H49" s="154"/>
      <c r="I49" s="154"/>
      <c r="J49" s="154"/>
      <c r="K49" s="154"/>
      <c r="L49" s="154"/>
      <c r="M49" s="154"/>
      <c r="N49" s="154"/>
      <c r="O49" s="154"/>
      <c r="P49" s="154"/>
      <c r="Q49" s="154"/>
      <c r="R49" s="154"/>
      <c r="S49" s="154"/>
      <c r="T49" s="154"/>
      <c r="U49" s="154"/>
      <c r="V49" s="154"/>
      <c r="W49" s="154"/>
      <c r="X49" s="154"/>
    </row>
    <row r="52" spans="1:24" ht="17.25" customHeight="1"/>
    <row r="53" spans="1:24" ht="17.25" customHeight="1"/>
    <row r="62" spans="1:24" ht="16.5" customHeight="1"/>
    <row r="63" spans="1:24" ht="17.25" customHeight="1"/>
    <row r="64" spans="1:24" ht="17.25" customHeight="1"/>
  </sheetData>
  <mergeCells count="1">
    <mergeCell ref="R15:R16"/>
  </mergeCells>
  <phoneticPr fontId="4"/>
  <pageMargins left="0.7" right="0.7" top="0.75" bottom="0.75" header="0.3" footer="0.3"/>
  <pageSetup paperSize="9" scale="64"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73E9-1543-4D91-A6D2-EB12049121A9}">
  <sheetPr codeName="Sheet54"/>
  <dimension ref="A1:W47"/>
  <sheetViews>
    <sheetView view="pageBreakPreview" zoomScale="70" zoomScaleNormal="70" zoomScaleSheetLayoutView="70" workbookViewId="0">
      <selection activeCell="I41" sqref="I41:I46"/>
    </sheetView>
  </sheetViews>
  <sheetFormatPr defaultColWidth="10" defaultRowHeight="15"/>
  <cols>
    <col min="1" max="1" width="3.44140625" style="154" customWidth="1"/>
    <col min="2" max="2" width="10" style="154"/>
    <col min="3" max="3" width="17.5546875" style="154" customWidth="1"/>
    <col min="4" max="5" width="7.5546875" style="154" customWidth="1"/>
    <col min="6" max="6" width="3.44140625" style="154" customWidth="1"/>
    <col min="7" max="7" width="6.5546875" style="154" customWidth="1"/>
    <col min="8" max="8" width="10" style="154"/>
    <col min="9" max="9" width="17.5546875" style="154" customWidth="1"/>
    <col min="10" max="11" width="7.5546875" style="154" customWidth="1"/>
    <col min="12" max="12" width="3.44140625" style="154" customWidth="1"/>
    <col min="13" max="13" width="6.5546875" style="154" customWidth="1"/>
    <col min="14" max="14" width="10" style="154"/>
    <col min="15" max="15" width="17.5546875" style="154" customWidth="1"/>
    <col min="16" max="17" width="7.5546875" style="154" customWidth="1"/>
    <col min="18" max="18" width="3.44140625" style="154" customWidth="1"/>
    <col min="19" max="19" width="6.5546875" style="154" customWidth="1"/>
    <col min="20" max="20" width="10" style="154"/>
    <col min="21" max="21" width="17.5546875" style="154" customWidth="1"/>
    <col min="22" max="23" width="7.5546875" style="154" customWidth="1"/>
    <col min="24" max="16384" width="10" style="154"/>
  </cols>
  <sheetData>
    <row r="1" spans="1:23" s="152" customFormat="1" ht="24.6">
      <c r="A1" s="152" t="s">
        <v>124</v>
      </c>
      <c r="I1" s="153" t="s">
        <v>217</v>
      </c>
    </row>
    <row r="2" spans="1:23">
      <c r="B2" s="154" t="s">
        <v>125</v>
      </c>
      <c r="C2" s="154" t="s">
        <v>15</v>
      </c>
    </row>
    <row r="3" spans="1:23">
      <c r="B3" s="154" t="s">
        <v>126</v>
      </c>
      <c r="C3" s="154" t="s">
        <v>382</v>
      </c>
    </row>
    <row r="4" spans="1:23" ht="4.5" customHeight="1" thickBot="1"/>
    <row r="5" spans="1:23" ht="20.25" customHeight="1" thickTop="1" thickBot="1">
      <c r="B5" s="155" t="s">
        <v>127</v>
      </c>
      <c r="C5" s="233">
        <v>46088</v>
      </c>
      <c r="D5" s="156" t="s">
        <v>125</v>
      </c>
      <c r="E5" s="157"/>
      <c r="F5" s="158"/>
      <c r="G5" s="158"/>
      <c r="H5" s="155" t="s">
        <v>127</v>
      </c>
      <c r="I5" s="233"/>
      <c r="J5" s="156" t="s">
        <v>125</v>
      </c>
      <c r="K5" s="157"/>
      <c r="L5" s="158"/>
      <c r="M5" s="159"/>
      <c r="N5" s="190" t="s">
        <v>145</v>
      </c>
      <c r="O5" s="233">
        <v>46235</v>
      </c>
      <c r="P5" s="156" t="s">
        <v>125</v>
      </c>
      <c r="Q5" s="157"/>
      <c r="R5" s="158"/>
      <c r="S5" s="158"/>
      <c r="T5" s="190" t="s">
        <v>146</v>
      </c>
      <c r="U5" s="232"/>
      <c r="V5" s="156" t="s">
        <v>125</v>
      </c>
      <c r="W5" s="157"/>
    </row>
    <row r="6" spans="1:23" ht="20.25" customHeight="1" thickTop="1">
      <c r="B6" s="161" t="s">
        <v>129</v>
      </c>
      <c r="C6" s="162"/>
      <c r="D6" s="163" t="s">
        <v>130</v>
      </c>
      <c r="E6" s="163" t="s">
        <v>131</v>
      </c>
      <c r="F6" s="158"/>
      <c r="G6" s="158"/>
      <c r="H6" s="161" t="s">
        <v>129</v>
      </c>
      <c r="I6" s="162"/>
      <c r="J6" s="163" t="s">
        <v>130</v>
      </c>
      <c r="K6" s="163" t="s">
        <v>131</v>
      </c>
      <c r="L6" s="158"/>
      <c r="M6" s="159"/>
      <c r="N6" s="164" t="s">
        <v>133</v>
      </c>
      <c r="O6" s="162"/>
      <c r="P6" s="181" t="s">
        <v>130</v>
      </c>
      <c r="Q6" s="181" t="s">
        <v>131</v>
      </c>
      <c r="R6" s="158"/>
      <c r="S6" s="158"/>
      <c r="T6" s="164" t="s">
        <v>133</v>
      </c>
      <c r="U6" s="180"/>
      <c r="V6" s="181" t="s">
        <v>130</v>
      </c>
      <c r="W6" s="181" t="s">
        <v>131</v>
      </c>
    </row>
    <row r="7" spans="1:23">
      <c r="B7" s="166"/>
      <c r="C7" s="167" t="s">
        <v>134</v>
      </c>
      <c r="D7" s="168"/>
      <c r="E7" s="169"/>
      <c r="F7" s="158"/>
      <c r="G7" s="158"/>
      <c r="H7" s="166"/>
      <c r="I7" s="170" t="s">
        <v>134</v>
      </c>
      <c r="J7" s="168"/>
      <c r="K7" s="169"/>
      <c r="L7" s="158"/>
      <c r="M7" s="159"/>
      <c r="N7" s="166"/>
      <c r="O7" s="167" t="s">
        <v>134</v>
      </c>
      <c r="P7" s="182"/>
      <c r="Q7" s="183"/>
      <c r="R7" s="158"/>
      <c r="S7" s="158"/>
      <c r="T7" s="166"/>
      <c r="U7" s="170" t="s">
        <v>134</v>
      </c>
      <c r="V7" s="182"/>
      <c r="W7" s="183"/>
    </row>
    <row r="8" spans="1:23">
      <c r="A8" s="154">
        <v>1</v>
      </c>
      <c r="B8" s="171" t="s">
        <v>135</v>
      </c>
      <c r="C8" s="194" t="s">
        <v>256</v>
      </c>
      <c r="D8" s="172"/>
      <c r="E8" s="173"/>
      <c r="G8" s="154">
        <v>1</v>
      </c>
      <c r="H8" s="171" t="s">
        <v>135</v>
      </c>
      <c r="I8" s="194" t="s">
        <v>256</v>
      </c>
      <c r="J8" s="172"/>
      <c r="K8" s="173"/>
      <c r="M8" s="174">
        <v>1</v>
      </c>
      <c r="N8" s="171" t="s">
        <v>135</v>
      </c>
      <c r="O8" s="194" t="s">
        <v>256</v>
      </c>
      <c r="P8" s="172"/>
      <c r="Q8" s="173"/>
      <c r="S8" s="154">
        <v>1</v>
      </c>
      <c r="T8" s="171" t="s">
        <v>135</v>
      </c>
      <c r="U8" s="194" t="s">
        <v>256</v>
      </c>
      <c r="V8" s="172"/>
      <c r="W8" s="173"/>
    </row>
    <row r="9" spans="1:23">
      <c r="A9" s="154">
        <v>2</v>
      </c>
      <c r="B9" s="171" t="s">
        <v>136</v>
      </c>
      <c r="C9" s="194" t="s">
        <v>256</v>
      </c>
      <c r="D9" s="172"/>
      <c r="E9" s="173"/>
      <c r="G9" s="154">
        <v>2</v>
      </c>
      <c r="H9" s="171" t="s">
        <v>136</v>
      </c>
      <c r="I9" s="194" t="s">
        <v>256</v>
      </c>
      <c r="J9" s="172"/>
      <c r="K9" s="173"/>
      <c r="M9" s="174">
        <v>2</v>
      </c>
      <c r="N9" s="171" t="s">
        <v>136</v>
      </c>
      <c r="O9" s="194" t="s">
        <v>256</v>
      </c>
      <c r="P9" s="172"/>
      <c r="Q9" s="173"/>
      <c r="S9" s="154">
        <v>2</v>
      </c>
      <c r="T9" s="171" t="s">
        <v>136</v>
      </c>
      <c r="U9" s="194" t="s">
        <v>256</v>
      </c>
      <c r="V9" s="172"/>
      <c r="W9" s="173"/>
    </row>
    <row r="10" spans="1:23">
      <c r="A10" s="154">
        <v>3</v>
      </c>
      <c r="B10" s="171" t="s">
        <v>137</v>
      </c>
      <c r="C10" s="194" t="s">
        <v>256</v>
      </c>
      <c r="D10" s="172"/>
      <c r="E10" s="173"/>
      <c r="G10" s="154">
        <v>3</v>
      </c>
      <c r="H10" s="171" t="s">
        <v>137</v>
      </c>
      <c r="I10" s="194" t="s">
        <v>256</v>
      </c>
      <c r="J10" s="172"/>
      <c r="K10" s="173"/>
      <c r="M10" s="174">
        <v>3</v>
      </c>
      <c r="N10" s="171" t="s">
        <v>137</v>
      </c>
      <c r="O10" s="194" t="s">
        <v>256</v>
      </c>
      <c r="P10" s="172"/>
      <c r="Q10" s="173"/>
      <c r="S10" s="154">
        <v>3</v>
      </c>
      <c r="T10" s="171" t="s">
        <v>137</v>
      </c>
      <c r="U10" s="194" t="s">
        <v>256</v>
      </c>
      <c r="V10" s="172"/>
      <c r="W10" s="173"/>
    </row>
    <row r="11" spans="1:23">
      <c r="A11" s="154">
        <v>4</v>
      </c>
      <c r="B11" s="171" t="s">
        <v>138</v>
      </c>
      <c r="C11" s="194" t="s">
        <v>256</v>
      </c>
      <c r="D11" s="172"/>
      <c r="E11" s="173"/>
      <c r="G11" s="154">
        <v>4</v>
      </c>
      <c r="H11" s="171" t="s">
        <v>138</v>
      </c>
      <c r="I11" s="194" t="s">
        <v>256</v>
      </c>
      <c r="J11" s="172"/>
      <c r="K11" s="173"/>
      <c r="M11" s="174">
        <v>4</v>
      </c>
      <c r="N11" s="171" t="s">
        <v>138</v>
      </c>
      <c r="O11" s="194" t="s">
        <v>256</v>
      </c>
      <c r="P11" s="172"/>
      <c r="Q11" s="173"/>
      <c r="S11" s="154">
        <v>4</v>
      </c>
      <c r="T11" s="171" t="s">
        <v>138</v>
      </c>
      <c r="U11" s="194" t="s">
        <v>256</v>
      </c>
      <c r="V11" s="172"/>
      <c r="W11" s="173"/>
    </row>
    <row r="12" spans="1:23">
      <c r="A12" s="154">
        <v>5</v>
      </c>
      <c r="B12" s="171" t="s">
        <v>139</v>
      </c>
      <c r="C12" s="194" t="s">
        <v>256</v>
      </c>
      <c r="D12" s="172"/>
      <c r="E12" s="173"/>
      <c r="G12" s="154">
        <v>5</v>
      </c>
      <c r="H12" s="171" t="s">
        <v>139</v>
      </c>
      <c r="I12" s="194" t="s">
        <v>256</v>
      </c>
      <c r="J12" s="172"/>
      <c r="K12" s="173"/>
      <c r="M12" s="174">
        <v>5</v>
      </c>
      <c r="N12" s="171" t="s">
        <v>139</v>
      </c>
      <c r="O12" s="194" t="s">
        <v>256</v>
      </c>
      <c r="P12" s="172"/>
      <c r="Q12" s="173"/>
      <c r="S12" s="154">
        <v>4</v>
      </c>
      <c r="T12" s="171" t="s">
        <v>139</v>
      </c>
      <c r="U12" s="194" t="s">
        <v>256</v>
      </c>
      <c r="V12" s="172"/>
      <c r="W12" s="173"/>
    </row>
    <row r="13" spans="1:23">
      <c r="A13" s="154">
        <v>6</v>
      </c>
      <c r="B13" s="171" t="s">
        <v>140</v>
      </c>
      <c r="C13" s="194" t="s">
        <v>256</v>
      </c>
      <c r="D13" s="175"/>
      <c r="E13" s="176"/>
      <c r="G13" s="154">
        <v>6</v>
      </c>
      <c r="H13" s="171" t="s">
        <v>140</v>
      </c>
      <c r="I13" s="194" t="s">
        <v>256</v>
      </c>
      <c r="J13" s="175"/>
      <c r="K13" s="176"/>
      <c r="M13" s="174">
        <v>6</v>
      </c>
      <c r="N13" s="171" t="s">
        <v>140</v>
      </c>
      <c r="O13" s="194" t="s">
        <v>256</v>
      </c>
      <c r="P13" s="175"/>
      <c r="Q13" s="176"/>
      <c r="S13" s="154">
        <v>6</v>
      </c>
      <c r="T13" s="171" t="s">
        <v>140</v>
      </c>
      <c r="U13" s="194" t="s">
        <v>256</v>
      </c>
      <c r="V13" s="175"/>
      <c r="W13" s="176"/>
    </row>
    <row r="14" spans="1:23">
      <c r="M14" s="174"/>
    </row>
    <row r="15" spans="1:23" ht="16.5" customHeight="1" thickBot="1">
      <c r="A15" s="158"/>
      <c r="B15" s="158"/>
      <c r="C15" s="177"/>
      <c r="D15" s="178"/>
      <c r="E15" s="178"/>
      <c r="G15" s="158"/>
      <c r="H15" s="158"/>
      <c r="I15" s="177"/>
      <c r="J15" s="178"/>
      <c r="K15" s="178"/>
      <c r="M15" s="159"/>
      <c r="O15" s="177"/>
      <c r="P15" s="178"/>
      <c r="Q15" s="178"/>
      <c r="R15" s="322"/>
      <c r="U15" s="177"/>
      <c r="V15" s="178"/>
      <c r="W15" s="178"/>
    </row>
    <row r="16" spans="1:23" ht="17.25" customHeight="1" thickTop="1" thickBot="1">
      <c r="A16" s="158"/>
      <c r="B16" s="179" t="s">
        <v>127</v>
      </c>
      <c r="C16" s="232">
        <v>46095</v>
      </c>
      <c r="D16" s="156" t="s">
        <v>125</v>
      </c>
      <c r="E16" s="157"/>
      <c r="G16" s="158"/>
      <c r="H16" s="179" t="s">
        <v>127</v>
      </c>
      <c r="I16" s="232"/>
      <c r="J16" s="156" t="s">
        <v>125</v>
      </c>
      <c r="K16" s="157"/>
      <c r="M16" s="159"/>
      <c r="N16" s="190" t="s">
        <v>145</v>
      </c>
      <c r="O16" s="232">
        <v>46242</v>
      </c>
      <c r="P16" s="156" t="s">
        <v>125</v>
      </c>
      <c r="Q16" s="157"/>
      <c r="R16" s="322"/>
      <c r="S16" s="158"/>
      <c r="T16" s="190" t="s">
        <v>146</v>
      </c>
      <c r="U16" s="232"/>
      <c r="V16" s="156" t="s">
        <v>125</v>
      </c>
      <c r="W16" s="157"/>
    </row>
    <row r="17" spans="1:23" ht="17.25" customHeight="1" thickTop="1">
      <c r="A17" s="158"/>
      <c r="B17" s="164" t="s">
        <v>133</v>
      </c>
      <c r="C17" s="180"/>
      <c r="D17" s="181" t="s">
        <v>130</v>
      </c>
      <c r="E17" s="181" t="s">
        <v>131</v>
      </c>
      <c r="G17" s="158"/>
      <c r="H17" s="164" t="s">
        <v>133</v>
      </c>
      <c r="I17" s="180"/>
      <c r="J17" s="181" t="s">
        <v>130</v>
      </c>
      <c r="K17" s="181" t="s">
        <v>131</v>
      </c>
      <c r="M17" s="159"/>
      <c r="N17" s="164" t="s">
        <v>133</v>
      </c>
      <c r="O17" s="180"/>
      <c r="P17" s="181" t="s">
        <v>130</v>
      </c>
      <c r="Q17" s="181" t="s">
        <v>131</v>
      </c>
      <c r="R17" s="178"/>
      <c r="S17" s="158"/>
      <c r="T17" s="164" t="s">
        <v>133</v>
      </c>
      <c r="U17" s="162"/>
      <c r="V17" s="181" t="s">
        <v>130</v>
      </c>
      <c r="W17" s="181" t="s">
        <v>131</v>
      </c>
    </row>
    <row r="18" spans="1:23">
      <c r="A18" s="158"/>
      <c r="B18" s="166"/>
      <c r="C18" s="170" t="s">
        <v>134</v>
      </c>
      <c r="D18" s="182"/>
      <c r="E18" s="183"/>
      <c r="G18" s="158"/>
      <c r="H18" s="166"/>
      <c r="I18" s="170" t="s">
        <v>134</v>
      </c>
      <c r="J18" s="182"/>
      <c r="K18" s="183"/>
      <c r="M18" s="159"/>
      <c r="N18" s="166"/>
      <c r="O18" s="170" t="s">
        <v>134</v>
      </c>
      <c r="P18" s="182"/>
      <c r="Q18" s="183"/>
      <c r="R18" s="193"/>
      <c r="S18" s="158"/>
      <c r="T18" s="166"/>
      <c r="U18" s="170" t="s">
        <v>134</v>
      </c>
      <c r="V18" s="182"/>
      <c r="W18" s="183"/>
    </row>
    <row r="19" spans="1:23">
      <c r="A19" s="154">
        <v>1</v>
      </c>
      <c r="B19" s="171" t="s">
        <v>135</v>
      </c>
      <c r="C19" s="194" t="s">
        <v>256</v>
      </c>
      <c r="D19" s="172"/>
      <c r="E19" s="173"/>
      <c r="G19" s="154">
        <v>1</v>
      </c>
      <c r="H19" s="171" t="s">
        <v>135</v>
      </c>
      <c r="I19" s="194" t="s">
        <v>256</v>
      </c>
      <c r="J19" s="172"/>
      <c r="K19" s="173"/>
      <c r="M19" s="174">
        <v>1</v>
      </c>
      <c r="N19" s="171" t="s">
        <v>135</v>
      </c>
      <c r="O19" s="194" t="s">
        <v>256</v>
      </c>
      <c r="P19" s="172"/>
      <c r="Q19" s="173"/>
      <c r="S19" s="154">
        <v>1</v>
      </c>
      <c r="T19" s="171" t="s">
        <v>135</v>
      </c>
      <c r="U19" s="194" t="s">
        <v>256</v>
      </c>
      <c r="V19" s="172"/>
      <c r="W19" s="173"/>
    </row>
    <row r="20" spans="1:23">
      <c r="A20" s="154">
        <v>2</v>
      </c>
      <c r="B20" s="171" t="s">
        <v>136</v>
      </c>
      <c r="C20" s="194" t="s">
        <v>256</v>
      </c>
      <c r="D20" s="172"/>
      <c r="E20" s="173"/>
      <c r="G20" s="154">
        <v>2</v>
      </c>
      <c r="H20" s="171" t="s">
        <v>136</v>
      </c>
      <c r="I20" s="194" t="s">
        <v>256</v>
      </c>
      <c r="J20" s="172"/>
      <c r="K20" s="173"/>
      <c r="M20" s="174">
        <v>2</v>
      </c>
      <c r="N20" s="171" t="s">
        <v>136</v>
      </c>
      <c r="O20" s="194" t="s">
        <v>256</v>
      </c>
      <c r="P20" s="172"/>
      <c r="Q20" s="173"/>
      <c r="S20" s="154">
        <v>2</v>
      </c>
      <c r="T20" s="171" t="s">
        <v>136</v>
      </c>
      <c r="U20" s="194" t="s">
        <v>256</v>
      </c>
      <c r="V20" s="172"/>
      <c r="W20" s="173"/>
    </row>
    <row r="21" spans="1:23">
      <c r="A21" s="154">
        <v>3</v>
      </c>
      <c r="B21" s="171" t="s">
        <v>137</v>
      </c>
      <c r="C21" s="194" t="s">
        <v>256</v>
      </c>
      <c r="D21" s="172"/>
      <c r="E21" s="173"/>
      <c r="G21" s="154">
        <v>3</v>
      </c>
      <c r="H21" s="171" t="s">
        <v>137</v>
      </c>
      <c r="I21" s="194" t="s">
        <v>256</v>
      </c>
      <c r="J21" s="172"/>
      <c r="K21" s="173"/>
      <c r="M21" s="174">
        <v>3</v>
      </c>
      <c r="N21" s="171" t="s">
        <v>137</v>
      </c>
      <c r="O21" s="194" t="s">
        <v>256</v>
      </c>
      <c r="P21" s="172"/>
      <c r="Q21" s="173"/>
      <c r="S21" s="154">
        <v>3</v>
      </c>
      <c r="T21" s="171" t="s">
        <v>137</v>
      </c>
      <c r="U21" s="194" t="s">
        <v>256</v>
      </c>
      <c r="V21" s="172"/>
      <c r="W21" s="173"/>
    </row>
    <row r="22" spans="1:23">
      <c r="A22" s="154">
        <v>4</v>
      </c>
      <c r="B22" s="171" t="s">
        <v>138</v>
      </c>
      <c r="C22" s="194" t="s">
        <v>256</v>
      </c>
      <c r="D22" s="172"/>
      <c r="E22" s="173"/>
      <c r="G22" s="154">
        <v>4</v>
      </c>
      <c r="H22" s="171" t="s">
        <v>138</v>
      </c>
      <c r="I22" s="194" t="s">
        <v>256</v>
      </c>
      <c r="J22" s="172"/>
      <c r="K22" s="173"/>
      <c r="M22" s="174">
        <v>4</v>
      </c>
      <c r="N22" s="171" t="s">
        <v>138</v>
      </c>
      <c r="O22" s="194" t="s">
        <v>256</v>
      </c>
      <c r="P22" s="172"/>
      <c r="Q22" s="173"/>
      <c r="S22" s="154">
        <v>4</v>
      </c>
      <c r="T22" s="171" t="s">
        <v>138</v>
      </c>
      <c r="U22" s="194" t="s">
        <v>256</v>
      </c>
      <c r="V22" s="172"/>
      <c r="W22" s="173"/>
    </row>
    <row r="23" spans="1:23">
      <c r="A23" s="154">
        <v>5</v>
      </c>
      <c r="B23" s="171" t="s">
        <v>139</v>
      </c>
      <c r="C23" s="194" t="s">
        <v>256</v>
      </c>
      <c r="D23" s="172"/>
      <c r="E23" s="173"/>
      <c r="G23" s="154">
        <v>5</v>
      </c>
      <c r="H23" s="171" t="s">
        <v>139</v>
      </c>
      <c r="I23" s="194" t="s">
        <v>256</v>
      </c>
      <c r="J23" s="172"/>
      <c r="K23" s="173"/>
      <c r="M23" s="174">
        <v>5</v>
      </c>
      <c r="N23" s="171" t="s">
        <v>139</v>
      </c>
      <c r="O23" s="194" t="s">
        <v>256</v>
      </c>
      <c r="P23" s="172"/>
      <c r="Q23" s="173"/>
      <c r="S23" s="154">
        <v>5</v>
      </c>
      <c r="T23" s="171" t="s">
        <v>139</v>
      </c>
      <c r="U23" s="194" t="s">
        <v>256</v>
      </c>
      <c r="V23" s="172"/>
      <c r="W23" s="173"/>
    </row>
    <row r="24" spans="1:23">
      <c r="A24" s="154">
        <v>6</v>
      </c>
      <c r="B24" s="171" t="s">
        <v>140</v>
      </c>
      <c r="C24" s="194" t="s">
        <v>256</v>
      </c>
      <c r="D24" s="175"/>
      <c r="E24" s="176"/>
      <c r="G24" s="154">
        <v>6</v>
      </c>
      <c r="H24" s="171" t="s">
        <v>140</v>
      </c>
      <c r="I24" s="194" t="s">
        <v>256</v>
      </c>
      <c r="J24" s="175"/>
      <c r="K24" s="176"/>
      <c r="M24" s="174">
        <v>6</v>
      </c>
      <c r="N24" s="171" t="s">
        <v>140</v>
      </c>
      <c r="O24" s="194" t="s">
        <v>256</v>
      </c>
      <c r="P24" s="175"/>
      <c r="Q24" s="176"/>
      <c r="S24" s="154">
        <v>6</v>
      </c>
      <c r="T24" s="171" t="s">
        <v>140</v>
      </c>
      <c r="U24" s="194" t="s">
        <v>256</v>
      </c>
      <c r="V24" s="175"/>
      <c r="W24" s="176"/>
    </row>
    <row r="25" spans="1:23">
      <c r="M25" s="174"/>
    </row>
    <row r="26" spans="1:23" ht="16.5" customHeight="1" thickBot="1">
      <c r="B26" s="154" t="s">
        <v>141</v>
      </c>
      <c r="C26" s="177"/>
      <c r="D26" s="178"/>
      <c r="E26" s="178"/>
      <c r="I26" s="177"/>
      <c r="J26" s="178"/>
      <c r="K26" s="178"/>
      <c r="M26" s="174"/>
      <c r="O26" s="177"/>
      <c r="P26" s="178"/>
      <c r="Q26" s="178"/>
      <c r="U26" s="184"/>
      <c r="V26" s="178"/>
      <c r="W26" s="178"/>
    </row>
    <row r="27" spans="1:23" ht="16.350000000000001" customHeight="1" thickTop="1" thickBot="1">
      <c r="B27" s="185" t="s">
        <v>142</v>
      </c>
      <c r="C27" s="233">
        <v>46151</v>
      </c>
      <c r="D27" s="156" t="s">
        <v>125</v>
      </c>
      <c r="E27" s="157"/>
      <c r="F27" s="158"/>
      <c r="G27" s="158"/>
      <c r="H27" s="185" t="s">
        <v>143</v>
      </c>
      <c r="I27" s="232"/>
      <c r="J27" s="156" t="s">
        <v>125</v>
      </c>
      <c r="K27" s="157"/>
      <c r="L27" s="158"/>
      <c r="M27" s="159"/>
    </row>
    <row r="28" spans="1:23" ht="16.350000000000001" customHeight="1" thickTop="1">
      <c r="B28" s="164" t="s">
        <v>133</v>
      </c>
      <c r="C28" s="162"/>
      <c r="D28" s="181" t="s">
        <v>130</v>
      </c>
      <c r="E28" s="181" t="s">
        <v>131</v>
      </c>
      <c r="F28" s="158"/>
      <c r="G28" s="158"/>
      <c r="H28" s="164" t="s">
        <v>133</v>
      </c>
      <c r="I28" s="180"/>
      <c r="J28" s="181" t="s">
        <v>130</v>
      </c>
      <c r="K28" s="181" t="s">
        <v>131</v>
      </c>
      <c r="L28" s="158"/>
      <c r="M28" s="159"/>
    </row>
    <row r="29" spans="1:23" ht="16.350000000000001" customHeight="1">
      <c r="B29" s="166"/>
      <c r="C29" s="167" t="s">
        <v>134</v>
      </c>
      <c r="D29" s="182"/>
      <c r="E29" s="183"/>
      <c r="F29" s="158"/>
      <c r="G29" s="158"/>
      <c r="H29" s="166"/>
      <c r="I29" s="170" t="s">
        <v>134</v>
      </c>
      <c r="J29" s="182"/>
      <c r="K29" s="183"/>
      <c r="L29" s="158"/>
      <c r="M29" s="159"/>
    </row>
    <row r="30" spans="1:23">
      <c r="A30" s="154">
        <v>1</v>
      </c>
      <c r="B30" s="171" t="s">
        <v>135</v>
      </c>
      <c r="C30" s="194" t="s">
        <v>256</v>
      </c>
      <c r="D30" s="172"/>
      <c r="E30" s="173"/>
      <c r="G30" s="154">
        <v>1</v>
      </c>
      <c r="H30" s="171" t="s">
        <v>135</v>
      </c>
      <c r="I30" s="194" t="s">
        <v>256</v>
      </c>
      <c r="J30" s="172"/>
      <c r="K30" s="173"/>
      <c r="M30" s="174"/>
    </row>
    <row r="31" spans="1:23">
      <c r="A31" s="154">
        <v>2</v>
      </c>
      <c r="B31" s="171" t="s">
        <v>136</v>
      </c>
      <c r="C31" s="194" t="s">
        <v>256</v>
      </c>
      <c r="D31" s="172"/>
      <c r="E31" s="173"/>
      <c r="G31" s="154">
        <v>2</v>
      </c>
      <c r="H31" s="171" t="s">
        <v>136</v>
      </c>
      <c r="I31" s="194" t="s">
        <v>256</v>
      </c>
      <c r="J31" s="172"/>
      <c r="K31" s="173"/>
      <c r="M31" s="174"/>
    </row>
    <row r="32" spans="1:23">
      <c r="A32" s="154">
        <v>3</v>
      </c>
      <c r="B32" s="171" t="s">
        <v>137</v>
      </c>
      <c r="C32" s="194" t="s">
        <v>256</v>
      </c>
      <c r="D32" s="172"/>
      <c r="E32" s="173"/>
      <c r="G32" s="154">
        <v>3</v>
      </c>
      <c r="H32" s="171" t="s">
        <v>137</v>
      </c>
      <c r="I32" s="194" t="s">
        <v>256</v>
      </c>
      <c r="J32" s="172"/>
      <c r="K32" s="173"/>
      <c r="M32" s="174"/>
    </row>
    <row r="33" spans="1:13">
      <c r="A33" s="154">
        <v>4</v>
      </c>
      <c r="B33" s="171" t="s">
        <v>138</v>
      </c>
      <c r="C33" s="194" t="s">
        <v>256</v>
      </c>
      <c r="D33" s="172"/>
      <c r="E33" s="173"/>
      <c r="G33" s="154">
        <v>4</v>
      </c>
      <c r="H33" s="171" t="s">
        <v>138</v>
      </c>
      <c r="I33" s="194" t="s">
        <v>256</v>
      </c>
      <c r="J33" s="172"/>
      <c r="K33" s="173"/>
      <c r="M33" s="174"/>
    </row>
    <row r="34" spans="1:13">
      <c r="A34" s="154">
        <v>5</v>
      </c>
      <c r="B34" s="171" t="s">
        <v>139</v>
      </c>
      <c r="C34" s="194" t="s">
        <v>256</v>
      </c>
      <c r="D34" s="172"/>
      <c r="E34" s="173"/>
      <c r="G34" s="154">
        <v>5</v>
      </c>
      <c r="H34" s="171" t="s">
        <v>139</v>
      </c>
      <c r="I34" s="194" t="s">
        <v>256</v>
      </c>
      <c r="J34" s="172"/>
      <c r="K34" s="173"/>
      <c r="M34" s="174"/>
    </row>
    <row r="35" spans="1:13">
      <c r="A35" s="154">
        <v>6</v>
      </c>
      <c r="B35" s="171" t="s">
        <v>140</v>
      </c>
      <c r="C35" s="194" t="s">
        <v>256</v>
      </c>
      <c r="D35" s="175"/>
      <c r="E35" s="176"/>
      <c r="G35" s="154">
        <v>6</v>
      </c>
      <c r="H35" s="171" t="s">
        <v>140</v>
      </c>
      <c r="I35" s="194" t="s">
        <v>256</v>
      </c>
      <c r="J35" s="175"/>
      <c r="K35" s="176"/>
      <c r="M35" s="174"/>
    </row>
    <row r="36" spans="1:13">
      <c r="M36" s="174"/>
    </row>
    <row r="37" spans="1:13" ht="16.5" customHeight="1" thickBot="1">
      <c r="C37" s="177"/>
      <c r="D37" s="178"/>
      <c r="E37" s="178"/>
      <c r="I37" s="177"/>
      <c r="J37" s="178"/>
      <c r="K37" s="178"/>
      <c r="M37" s="174"/>
    </row>
    <row r="38" spans="1:13" ht="17.25" customHeight="1" thickTop="1" thickBot="1">
      <c r="B38" s="185" t="s">
        <v>142</v>
      </c>
      <c r="C38" s="232">
        <v>46158</v>
      </c>
      <c r="D38" s="156" t="s">
        <v>125</v>
      </c>
      <c r="E38" s="157"/>
      <c r="F38" s="158"/>
      <c r="G38" s="158"/>
      <c r="H38" s="185" t="s">
        <v>143</v>
      </c>
      <c r="I38" s="232"/>
      <c r="J38" s="156" t="s">
        <v>125</v>
      </c>
      <c r="K38" s="157"/>
      <c r="L38" s="158"/>
      <c r="M38" s="159"/>
    </row>
    <row r="39" spans="1:13" ht="17.25" customHeight="1" thickTop="1">
      <c r="B39" s="164" t="s">
        <v>133</v>
      </c>
      <c r="C39" s="180"/>
      <c r="D39" s="181" t="s">
        <v>130</v>
      </c>
      <c r="E39" s="181" t="s">
        <v>131</v>
      </c>
      <c r="F39" s="158"/>
      <c r="G39" s="158"/>
      <c r="H39" s="164" t="s">
        <v>133</v>
      </c>
      <c r="I39" s="180"/>
      <c r="J39" s="181" t="s">
        <v>130</v>
      </c>
      <c r="K39" s="181" t="s">
        <v>131</v>
      </c>
      <c r="L39" s="158"/>
      <c r="M39" s="159"/>
    </row>
    <row r="40" spans="1:13">
      <c r="B40" s="166"/>
      <c r="C40" s="170" t="s">
        <v>134</v>
      </c>
      <c r="D40" s="182"/>
      <c r="E40" s="183"/>
      <c r="F40" s="158"/>
      <c r="G40" s="158"/>
      <c r="H40" s="166"/>
      <c r="I40" s="170" t="s">
        <v>134</v>
      </c>
      <c r="J40" s="182"/>
      <c r="K40" s="183"/>
      <c r="L40" s="158"/>
      <c r="M40" s="159"/>
    </row>
    <row r="41" spans="1:13">
      <c r="A41" s="154">
        <v>1</v>
      </c>
      <c r="B41" s="171" t="s">
        <v>135</v>
      </c>
      <c r="C41" s="194" t="s">
        <v>256</v>
      </c>
      <c r="D41" s="172"/>
      <c r="E41" s="173"/>
      <c r="G41" s="154">
        <v>1</v>
      </c>
      <c r="H41" s="171" t="s">
        <v>135</v>
      </c>
      <c r="I41" s="194" t="s">
        <v>256</v>
      </c>
      <c r="J41" s="172"/>
      <c r="K41" s="173"/>
      <c r="M41" s="174"/>
    </row>
    <row r="42" spans="1:13">
      <c r="A42" s="154">
        <v>2</v>
      </c>
      <c r="B42" s="171" t="s">
        <v>136</v>
      </c>
      <c r="C42" s="194" t="s">
        <v>256</v>
      </c>
      <c r="D42" s="172"/>
      <c r="E42" s="173"/>
      <c r="G42" s="154">
        <v>2</v>
      </c>
      <c r="H42" s="171" t="s">
        <v>136</v>
      </c>
      <c r="I42" s="194" t="s">
        <v>256</v>
      </c>
      <c r="J42" s="172"/>
      <c r="K42" s="173"/>
      <c r="M42" s="174"/>
    </row>
    <row r="43" spans="1:13">
      <c r="A43" s="154">
        <v>3</v>
      </c>
      <c r="B43" s="171" t="s">
        <v>137</v>
      </c>
      <c r="C43" s="194" t="s">
        <v>256</v>
      </c>
      <c r="D43" s="172"/>
      <c r="E43" s="173"/>
      <c r="G43" s="154">
        <v>3</v>
      </c>
      <c r="H43" s="171" t="s">
        <v>137</v>
      </c>
      <c r="I43" s="194" t="s">
        <v>256</v>
      </c>
      <c r="J43" s="172"/>
      <c r="K43" s="173"/>
      <c r="M43" s="174"/>
    </row>
    <row r="44" spans="1:13">
      <c r="A44" s="154">
        <v>4</v>
      </c>
      <c r="B44" s="171" t="s">
        <v>138</v>
      </c>
      <c r="C44" s="194" t="s">
        <v>256</v>
      </c>
      <c r="D44" s="172"/>
      <c r="E44" s="173"/>
      <c r="G44" s="154">
        <v>4</v>
      </c>
      <c r="H44" s="171" t="s">
        <v>138</v>
      </c>
      <c r="I44" s="194" t="s">
        <v>256</v>
      </c>
      <c r="J44" s="172"/>
      <c r="K44" s="173"/>
      <c r="M44" s="174"/>
    </row>
    <row r="45" spans="1:13">
      <c r="A45" s="154">
        <v>5</v>
      </c>
      <c r="B45" s="171" t="s">
        <v>139</v>
      </c>
      <c r="C45" s="194" t="s">
        <v>256</v>
      </c>
      <c r="D45" s="172"/>
      <c r="E45" s="173"/>
      <c r="G45" s="154">
        <v>5</v>
      </c>
      <c r="H45" s="171" t="s">
        <v>139</v>
      </c>
      <c r="I45" s="194" t="s">
        <v>256</v>
      </c>
      <c r="J45" s="172"/>
      <c r="K45" s="173"/>
      <c r="M45" s="174"/>
    </row>
    <row r="46" spans="1:13">
      <c r="A46" s="154">
        <v>6</v>
      </c>
      <c r="B46" s="171" t="s">
        <v>140</v>
      </c>
      <c r="C46" s="194" t="s">
        <v>256</v>
      </c>
      <c r="D46" s="175"/>
      <c r="E46" s="176"/>
      <c r="G46" s="154">
        <v>6</v>
      </c>
      <c r="H46" s="171" t="s">
        <v>140</v>
      </c>
      <c r="I46" s="194" t="s">
        <v>256</v>
      </c>
      <c r="J46" s="175"/>
      <c r="K46" s="176"/>
      <c r="M46" s="174"/>
    </row>
    <row r="47" spans="1:13">
      <c r="M47" s="174"/>
    </row>
  </sheetData>
  <mergeCells count="1">
    <mergeCell ref="R15:R16"/>
  </mergeCells>
  <phoneticPr fontId="4"/>
  <pageMargins left="0.70866141732283472" right="0.70866141732283472" top="0.74803149606299213" bottom="0.74803149606299213" header="0.31496062992125984" footer="0.31496062992125984"/>
  <pageSetup paperSize="9" scale="128" orientation="landscape" r:id="rId1"/>
  <rowBreaks count="1" manualBreakCount="1">
    <brk id="24" max="2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96E3-9637-4E72-9867-E39114A860C5}">
  <sheetPr codeName="Sheet43"/>
  <dimension ref="A1:X64"/>
  <sheetViews>
    <sheetView tabSelected="1" view="pageBreakPreview" zoomScale="73" zoomScaleNormal="70" workbookViewId="0">
      <selection activeCell="Y1" sqref="Y1:Y1048576"/>
    </sheetView>
  </sheetViews>
  <sheetFormatPr defaultColWidth="10" defaultRowHeight="15"/>
  <cols>
    <col min="1" max="1" width="3.44140625" style="154" customWidth="1"/>
    <col min="2" max="2" width="10" style="154"/>
    <col min="3" max="3" width="17.5546875" style="154" customWidth="1"/>
    <col min="4" max="5" width="7.5546875" style="154" customWidth="1"/>
    <col min="6" max="6" width="3.44140625" style="154" customWidth="1"/>
    <col min="7" max="7" width="6.5546875" style="154" customWidth="1"/>
    <col min="8" max="8" width="10" style="154"/>
    <col min="9" max="9" width="17.5546875" style="154" customWidth="1"/>
    <col min="10" max="11" width="7.5546875" style="154" customWidth="1"/>
    <col min="12" max="12" width="3.44140625" style="154" customWidth="1"/>
    <col min="13" max="13" width="6.5546875" style="154" customWidth="1"/>
    <col min="14" max="14" width="10" style="154"/>
    <col min="15" max="15" width="17.5546875" style="154" customWidth="1"/>
    <col min="16" max="17" width="7.5546875" style="154" customWidth="1"/>
    <col min="18" max="18" width="3.44140625" style="154" customWidth="1"/>
    <col min="19" max="19" width="6.5546875" style="154" customWidth="1"/>
    <col min="20" max="20" width="10" style="154"/>
    <col min="21" max="21" width="17.5546875" style="154" customWidth="1"/>
    <col min="22" max="23" width="7.5546875" style="154" customWidth="1"/>
    <col min="24" max="16384" width="10" style="154"/>
  </cols>
  <sheetData>
    <row r="1" spans="1:23" s="152" customFormat="1" ht="24.6">
      <c r="A1" s="152" t="s">
        <v>124</v>
      </c>
      <c r="I1" s="153" t="s">
        <v>217</v>
      </c>
    </row>
    <row r="2" spans="1:23">
      <c r="B2" s="154" t="s">
        <v>125</v>
      </c>
      <c r="C2" s="154" t="s">
        <v>16</v>
      </c>
    </row>
    <row r="3" spans="1:23">
      <c r="B3" s="154" t="s">
        <v>126</v>
      </c>
      <c r="C3" s="154" t="s">
        <v>377</v>
      </c>
    </row>
    <row r="4" spans="1:23" ht="4.5" customHeight="1" thickBot="1"/>
    <row r="5" spans="1:23" ht="20.25" customHeight="1" thickTop="1" thickBot="1">
      <c r="B5" s="155" t="s">
        <v>127</v>
      </c>
      <c r="C5" s="233">
        <v>46060</v>
      </c>
      <c r="D5" s="156" t="s">
        <v>125</v>
      </c>
      <c r="E5" s="157"/>
      <c r="F5" s="158"/>
      <c r="G5" s="158"/>
      <c r="H5" s="155" t="s">
        <v>127</v>
      </c>
      <c r="I5" s="233"/>
      <c r="J5" s="156" t="s">
        <v>125</v>
      </c>
      <c r="K5" s="157"/>
      <c r="L5" s="263"/>
      <c r="M5" s="158"/>
      <c r="N5" s="190" t="s">
        <v>145</v>
      </c>
      <c r="O5" s="197">
        <v>46207</v>
      </c>
      <c r="P5" s="156" t="s">
        <v>125</v>
      </c>
      <c r="Q5" s="157"/>
      <c r="R5" s="158"/>
      <c r="S5" s="158"/>
      <c r="T5" s="190" t="s">
        <v>145</v>
      </c>
      <c r="U5" s="197"/>
      <c r="V5" s="156" t="s">
        <v>125</v>
      </c>
      <c r="W5" s="157"/>
    </row>
    <row r="6" spans="1:23" ht="20.25" customHeight="1" thickTop="1">
      <c r="B6" s="161" t="s">
        <v>129</v>
      </c>
      <c r="C6" s="162"/>
      <c r="D6" s="163" t="s">
        <v>130</v>
      </c>
      <c r="E6" s="163" t="s">
        <v>131</v>
      </c>
      <c r="F6" s="158"/>
      <c r="G6" s="158"/>
      <c r="H6" s="161" t="s">
        <v>129</v>
      </c>
      <c r="I6" s="162"/>
      <c r="J6" s="163" t="s">
        <v>130</v>
      </c>
      <c r="K6" s="163" t="s">
        <v>131</v>
      </c>
      <c r="L6" s="263"/>
      <c r="M6" s="158"/>
      <c r="N6" s="164" t="s">
        <v>132</v>
      </c>
      <c r="O6" s="165"/>
      <c r="P6" s="163" t="s">
        <v>130</v>
      </c>
      <c r="Q6" s="163" t="s">
        <v>131</v>
      </c>
      <c r="R6" s="158"/>
      <c r="S6" s="158"/>
      <c r="T6" s="164" t="s">
        <v>133</v>
      </c>
      <c r="U6" s="165"/>
      <c r="V6" s="163" t="s">
        <v>130</v>
      </c>
      <c r="W6" s="163" t="s">
        <v>131</v>
      </c>
    </row>
    <row r="7" spans="1:23">
      <c r="B7" s="166"/>
      <c r="C7" s="167" t="s">
        <v>134</v>
      </c>
      <c r="D7" s="168"/>
      <c r="E7" s="169"/>
      <c r="F7" s="158"/>
      <c r="G7" s="158"/>
      <c r="H7" s="166"/>
      <c r="I7" s="170" t="s">
        <v>134</v>
      </c>
      <c r="J7" s="168"/>
      <c r="K7" s="169"/>
      <c r="L7" s="263"/>
      <c r="M7" s="158"/>
      <c r="N7" s="166"/>
      <c r="O7" s="170" t="s">
        <v>134</v>
      </c>
      <c r="P7" s="168"/>
      <c r="Q7" s="169"/>
      <c r="R7" s="158"/>
      <c r="S7" s="158"/>
      <c r="T7" s="166"/>
      <c r="U7" s="170" t="s">
        <v>134</v>
      </c>
      <c r="V7" s="168"/>
      <c r="W7" s="169"/>
    </row>
    <row r="8" spans="1:23">
      <c r="A8" s="154">
        <v>1</v>
      </c>
      <c r="B8" s="171" t="s">
        <v>135</v>
      </c>
      <c r="C8" s="194" t="s">
        <v>256</v>
      </c>
      <c r="D8" s="172"/>
      <c r="E8" s="173"/>
      <c r="G8" s="154">
        <v>1</v>
      </c>
      <c r="H8" s="171" t="s">
        <v>135</v>
      </c>
      <c r="I8" s="194" t="s">
        <v>256</v>
      </c>
      <c r="J8" s="172"/>
      <c r="K8" s="173"/>
      <c r="L8" s="264"/>
      <c r="M8" s="154">
        <v>1</v>
      </c>
      <c r="N8" s="171" t="s">
        <v>135</v>
      </c>
      <c r="O8" s="194" t="s">
        <v>256</v>
      </c>
      <c r="P8" s="172"/>
      <c r="Q8" s="173"/>
      <c r="S8" s="154">
        <v>1</v>
      </c>
      <c r="T8" s="171" t="s">
        <v>135</v>
      </c>
      <c r="U8" s="194" t="s">
        <v>256</v>
      </c>
      <c r="V8" s="172"/>
      <c r="W8" s="173"/>
    </row>
    <row r="9" spans="1:23">
      <c r="A9" s="154">
        <v>2</v>
      </c>
      <c r="B9" s="171" t="s">
        <v>136</v>
      </c>
      <c r="C9" s="194" t="s">
        <v>256</v>
      </c>
      <c r="D9" s="172"/>
      <c r="E9" s="173"/>
      <c r="G9" s="154">
        <v>2</v>
      </c>
      <c r="H9" s="171" t="s">
        <v>136</v>
      </c>
      <c r="I9" s="194" t="s">
        <v>256</v>
      </c>
      <c r="J9" s="172"/>
      <c r="K9" s="173"/>
      <c r="L9" s="264"/>
      <c r="M9" s="154">
        <v>2</v>
      </c>
      <c r="N9" s="171" t="s">
        <v>136</v>
      </c>
      <c r="O9" s="194" t="s">
        <v>256</v>
      </c>
      <c r="P9" s="172"/>
      <c r="Q9" s="173"/>
      <c r="S9" s="154">
        <v>2</v>
      </c>
      <c r="T9" s="171" t="s">
        <v>136</v>
      </c>
      <c r="U9" s="194" t="s">
        <v>256</v>
      </c>
      <c r="V9" s="172"/>
      <c r="W9" s="173"/>
    </row>
    <row r="10" spans="1:23">
      <c r="A10" s="154">
        <v>3</v>
      </c>
      <c r="B10" s="171" t="s">
        <v>137</v>
      </c>
      <c r="C10" s="194" t="s">
        <v>256</v>
      </c>
      <c r="D10" s="172"/>
      <c r="E10" s="173"/>
      <c r="G10" s="154">
        <v>3</v>
      </c>
      <c r="H10" s="171" t="s">
        <v>137</v>
      </c>
      <c r="I10" s="194" t="s">
        <v>256</v>
      </c>
      <c r="J10" s="172"/>
      <c r="K10" s="173"/>
      <c r="L10" s="264"/>
      <c r="M10" s="154">
        <v>3</v>
      </c>
      <c r="N10" s="171" t="s">
        <v>137</v>
      </c>
      <c r="O10" s="194" t="s">
        <v>256</v>
      </c>
      <c r="P10" s="172"/>
      <c r="Q10" s="173"/>
      <c r="S10" s="154">
        <v>3</v>
      </c>
      <c r="T10" s="171" t="s">
        <v>137</v>
      </c>
      <c r="U10" s="194" t="s">
        <v>256</v>
      </c>
      <c r="V10" s="172"/>
      <c r="W10" s="173"/>
    </row>
    <row r="11" spans="1:23">
      <c r="A11" s="154">
        <v>4</v>
      </c>
      <c r="B11" s="171" t="s">
        <v>138</v>
      </c>
      <c r="C11" s="194" t="s">
        <v>256</v>
      </c>
      <c r="D11" s="172"/>
      <c r="E11" s="173"/>
      <c r="G11" s="154">
        <v>4</v>
      </c>
      <c r="H11" s="171" t="s">
        <v>138</v>
      </c>
      <c r="I11" s="194" t="s">
        <v>256</v>
      </c>
      <c r="J11" s="172"/>
      <c r="K11" s="173"/>
      <c r="L11" s="264"/>
      <c r="M11" s="154">
        <v>4</v>
      </c>
      <c r="N11" s="171" t="s">
        <v>138</v>
      </c>
      <c r="O11" s="194" t="s">
        <v>256</v>
      </c>
      <c r="P11" s="172"/>
      <c r="Q11" s="173"/>
      <c r="S11" s="154">
        <v>4</v>
      </c>
      <c r="T11" s="171" t="s">
        <v>138</v>
      </c>
      <c r="U11" s="194" t="s">
        <v>256</v>
      </c>
      <c r="V11" s="172"/>
      <c r="W11" s="173"/>
    </row>
    <row r="12" spans="1:23">
      <c r="A12" s="154">
        <v>5</v>
      </c>
      <c r="B12" s="171" t="s">
        <v>139</v>
      </c>
      <c r="C12" s="194" t="s">
        <v>256</v>
      </c>
      <c r="D12" s="172"/>
      <c r="E12" s="173"/>
      <c r="G12" s="154">
        <v>5</v>
      </c>
      <c r="H12" s="171" t="s">
        <v>139</v>
      </c>
      <c r="I12" s="194" t="s">
        <v>256</v>
      </c>
      <c r="J12" s="172"/>
      <c r="K12" s="173"/>
      <c r="L12" s="264"/>
      <c r="M12" s="154">
        <v>5</v>
      </c>
      <c r="N12" s="171" t="s">
        <v>139</v>
      </c>
      <c r="O12" s="194" t="s">
        <v>256</v>
      </c>
      <c r="P12" s="172"/>
      <c r="Q12" s="173"/>
      <c r="S12" s="154">
        <v>5</v>
      </c>
      <c r="T12" s="171" t="s">
        <v>139</v>
      </c>
      <c r="U12" s="194" t="s">
        <v>256</v>
      </c>
      <c r="V12" s="172"/>
      <c r="W12" s="173"/>
    </row>
    <row r="13" spans="1:23">
      <c r="A13" s="154">
        <v>6</v>
      </c>
      <c r="B13" s="171" t="s">
        <v>140</v>
      </c>
      <c r="C13" s="194" t="s">
        <v>256</v>
      </c>
      <c r="D13" s="175"/>
      <c r="E13" s="176"/>
      <c r="G13" s="154">
        <v>6</v>
      </c>
      <c r="H13" s="171" t="s">
        <v>140</v>
      </c>
      <c r="I13" s="194" t="s">
        <v>256</v>
      </c>
      <c r="J13" s="175"/>
      <c r="K13" s="176"/>
      <c r="L13" s="264"/>
      <c r="M13" s="154">
        <v>6</v>
      </c>
      <c r="N13" s="171" t="s">
        <v>140</v>
      </c>
      <c r="O13" s="194" t="s">
        <v>256</v>
      </c>
      <c r="P13" s="175"/>
      <c r="Q13" s="176"/>
      <c r="S13" s="154">
        <v>6</v>
      </c>
      <c r="T13" s="171" t="s">
        <v>140</v>
      </c>
      <c r="U13" s="194" t="s">
        <v>256</v>
      </c>
      <c r="V13" s="175"/>
      <c r="W13" s="176"/>
    </row>
    <row r="14" spans="1:23">
      <c r="L14" s="264"/>
    </row>
    <row r="15" spans="1:23" ht="16.5" customHeight="1" thickBot="1">
      <c r="A15" s="158"/>
      <c r="B15" s="158"/>
      <c r="C15" s="177"/>
      <c r="D15" s="178"/>
      <c r="E15" s="178"/>
      <c r="G15" s="158"/>
      <c r="H15" s="158"/>
      <c r="I15" s="177"/>
      <c r="J15" s="178"/>
      <c r="K15" s="178" t="s">
        <v>381</v>
      </c>
      <c r="L15" s="264"/>
      <c r="M15" s="158"/>
      <c r="N15" s="158"/>
      <c r="O15" s="177"/>
      <c r="P15" s="178"/>
      <c r="Q15" s="178"/>
      <c r="R15" s="322"/>
      <c r="S15" s="158"/>
      <c r="T15" s="158"/>
      <c r="U15" s="177"/>
      <c r="V15" s="178"/>
      <c r="W15" s="178"/>
    </row>
    <row r="16" spans="1:23" ht="17.25" customHeight="1" thickTop="1" thickBot="1">
      <c r="A16" s="158"/>
      <c r="B16" s="179" t="s">
        <v>127</v>
      </c>
      <c r="C16" s="232">
        <v>46067</v>
      </c>
      <c r="D16" s="156" t="s">
        <v>125</v>
      </c>
      <c r="E16" s="157"/>
      <c r="G16" s="158"/>
      <c r="H16" s="179" t="s">
        <v>127</v>
      </c>
      <c r="I16" s="232"/>
      <c r="J16" s="156" t="s">
        <v>125</v>
      </c>
      <c r="K16" s="157"/>
      <c r="L16" s="264"/>
      <c r="M16" s="158"/>
      <c r="N16" s="190" t="s">
        <v>145</v>
      </c>
      <c r="O16" s="197">
        <v>46214</v>
      </c>
      <c r="P16" s="156" t="s">
        <v>125</v>
      </c>
      <c r="Q16" s="157"/>
      <c r="R16" s="322"/>
      <c r="S16" s="158"/>
      <c r="T16" s="190" t="s">
        <v>145</v>
      </c>
      <c r="U16" s="197"/>
      <c r="V16" s="156" t="s">
        <v>125</v>
      </c>
      <c r="W16" s="157"/>
    </row>
    <row r="17" spans="1:23" ht="17.25" customHeight="1" thickTop="1">
      <c r="A17" s="158"/>
      <c r="B17" s="164" t="s">
        <v>133</v>
      </c>
      <c r="C17" s="180"/>
      <c r="D17" s="181" t="s">
        <v>130</v>
      </c>
      <c r="E17" s="181" t="s">
        <v>131</v>
      </c>
      <c r="G17" s="158"/>
      <c r="H17" s="164" t="s">
        <v>133</v>
      </c>
      <c r="I17" s="180"/>
      <c r="J17" s="181" t="s">
        <v>130</v>
      </c>
      <c r="K17" s="181" t="s">
        <v>131</v>
      </c>
      <c r="L17" s="264"/>
      <c r="M17" s="158"/>
      <c r="N17" s="164" t="s">
        <v>133</v>
      </c>
      <c r="O17" s="180"/>
      <c r="P17" s="181" t="s">
        <v>130</v>
      </c>
      <c r="Q17" s="181" t="s">
        <v>131</v>
      </c>
      <c r="R17" s="178"/>
      <c r="S17" s="158"/>
      <c r="T17" s="164" t="s">
        <v>133</v>
      </c>
      <c r="U17" s="180"/>
      <c r="V17" s="181" t="s">
        <v>130</v>
      </c>
      <c r="W17" s="181" t="s">
        <v>131</v>
      </c>
    </row>
    <row r="18" spans="1:23">
      <c r="A18" s="158"/>
      <c r="B18" s="166"/>
      <c r="C18" s="170" t="s">
        <v>134</v>
      </c>
      <c r="D18" s="182"/>
      <c r="E18" s="183"/>
      <c r="G18" s="158"/>
      <c r="H18" s="166"/>
      <c r="I18" s="170" t="s">
        <v>134</v>
      </c>
      <c r="J18" s="182"/>
      <c r="K18" s="183"/>
      <c r="L18" s="264"/>
      <c r="M18" s="158"/>
      <c r="N18" s="166"/>
      <c r="O18" s="170" t="s">
        <v>134</v>
      </c>
      <c r="P18" s="182"/>
      <c r="Q18" s="183"/>
      <c r="R18" s="158"/>
      <c r="S18" s="158"/>
      <c r="T18" s="166"/>
      <c r="U18" s="170" t="s">
        <v>134</v>
      </c>
      <c r="V18" s="182"/>
      <c r="W18" s="183"/>
    </row>
    <row r="19" spans="1:23">
      <c r="A19" s="154">
        <v>1</v>
      </c>
      <c r="B19" s="171" t="s">
        <v>135</v>
      </c>
      <c r="C19" s="194" t="s">
        <v>256</v>
      </c>
      <c r="D19" s="172"/>
      <c r="E19" s="173"/>
      <c r="G19" s="154">
        <v>1</v>
      </c>
      <c r="H19" s="171" t="s">
        <v>135</v>
      </c>
      <c r="I19" s="194" t="s">
        <v>256</v>
      </c>
      <c r="J19" s="172"/>
      <c r="K19" s="173"/>
      <c r="L19" s="264"/>
      <c r="M19" s="154">
        <v>1</v>
      </c>
      <c r="N19" s="171" t="s">
        <v>135</v>
      </c>
      <c r="O19" s="194" t="s">
        <v>256</v>
      </c>
      <c r="P19" s="172"/>
      <c r="Q19" s="173"/>
      <c r="S19" s="154">
        <v>1</v>
      </c>
      <c r="T19" s="171" t="s">
        <v>135</v>
      </c>
      <c r="U19" s="194" t="s">
        <v>256</v>
      </c>
      <c r="V19" s="172"/>
      <c r="W19" s="173"/>
    </row>
    <row r="20" spans="1:23">
      <c r="A20" s="154">
        <v>2</v>
      </c>
      <c r="B20" s="171" t="s">
        <v>136</v>
      </c>
      <c r="C20" s="194" t="s">
        <v>256</v>
      </c>
      <c r="D20" s="172"/>
      <c r="E20" s="173"/>
      <c r="G20" s="154">
        <v>2</v>
      </c>
      <c r="H20" s="171" t="s">
        <v>136</v>
      </c>
      <c r="I20" s="194" t="s">
        <v>256</v>
      </c>
      <c r="J20" s="172"/>
      <c r="K20" s="173"/>
      <c r="L20" s="264"/>
      <c r="M20" s="154">
        <v>2</v>
      </c>
      <c r="N20" s="171" t="s">
        <v>136</v>
      </c>
      <c r="O20" s="194" t="s">
        <v>256</v>
      </c>
      <c r="P20" s="172"/>
      <c r="Q20" s="173"/>
      <c r="S20" s="154">
        <v>2</v>
      </c>
      <c r="T20" s="171" t="s">
        <v>136</v>
      </c>
      <c r="U20" s="194" t="s">
        <v>256</v>
      </c>
      <c r="V20" s="172"/>
      <c r="W20" s="173"/>
    </row>
    <row r="21" spans="1:23">
      <c r="A21" s="154">
        <v>3</v>
      </c>
      <c r="B21" s="171" t="s">
        <v>137</v>
      </c>
      <c r="C21" s="194" t="s">
        <v>256</v>
      </c>
      <c r="D21" s="172"/>
      <c r="E21" s="173"/>
      <c r="G21" s="154">
        <v>3</v>
      </c>
      <c r="H21" s="171" t="s">
        <v>137</v>
      </c>
      <c r="I21" s="194" t="s">
        <v>256</v>
      </c>
      <c r="J21" s="172"/>
      <c r="K21" s="173"/>
      <c r="L21" s="264"/>
      <c r="M21" s="154">
        <v>3</v>
      </c>
      <c r="N21" s="171" t="s">
        <v>137</v>
      </c>
      <c r="O21" s="194" t="s">
        <v>256</v>
      </c>
      <c r="P21" s="172"/>
      <c r="Q21" s="173"/>
      <c r="S21" s="154">
        <v>3</v>
      </c>
      <c r="T21" s="171" t="s">
        <v>137</v>
      </c>
      <c r="U21" s="194" t="s">
        <v>256</v>
      </c>
      <c r="V21" s="172"/>
      <c r="W21" s="173"/>
    </row>
    <row r="22" spans="1:23">
      <c r="A22" s="154">
        <v>4</v>
      </c>
      <c r="B22" s="171" t="s">
        <v>138</v>
      </c>
      <c r="C22" s="194" t="s">
        <v>256</v>
      </c>
      <c r="D22" s="172"/>
      <c r="E22" s="173"/>
      <c r="G22" s="154">
        <v>4</v>
      </c>
      <c r="H22" s="171" t="s">
        <v>138</v>
      </c>
      <c r="I22" s="194" t="s">
        <v>256</v>
      </c>
      <c r="J22" s="172"/>
      <c r="K22" s="173"/>
      <c r="L22" s="264"/>
      <c r="M22" s="154">
        <v>4</v>
      </c>
      <c r="N22" s="171" t="s">
        <v>138</v>
      </c>
      <c r="O22" s="194" t="s">
        <v>256</v>
      </c>
      <c r="P22" s="172"/>
      <c r="Q22" s="173"/>
      <c r="S22" s="154">
        <v>4</v>
      </c>
      <c r="T22" s="171" t="s">
        <v>138</v>
      </c>
      <c r="U22" s="194" t="s">
        <v>256</v>
      </c>
      <c r="V22" s="172"/>
      <c r="W22" s="173"/>
    </row>
    <row r="23" spans="1:23">
      <c r="A23" s="154">
        <v>5</v>
      </c>
      <c r="B23" s="171" t="s">
        <v>139</v>
      </c>
      <c r="C23" s="194" t="s">
        <v>256</v>
      </c>
      <c r="D23" s="172"/>
      <c r="E23" s="173"/>
      <c r="G23" s="154">
        <v>5</v>
      </c>
      <c r="H23" s="171" t="s">
        <v>139</v>
      </c>
      <c r="I23" s="194" t="s">
        <v>256</v>
      </c>
      <c r="J23" s="172"/>
      <c r="K23" s="173"/>
      <c r="L23" s="264"/>
      <c r="M23" s="154">
        <v>5</v>
      </c>
      <c r="N23" s="171" t="s">
        <v>139</v>
      </c>
      <c r="O23" s="194" t="s">
        <v>256</v>
      </c>
      <c r="P23" s="172"/>
      <c r="Q23" s="173"/>
      <c r="S23" s="154">
        <v>5</v>
      </c>
      <c r="T23" s="171" t="s">
        <v>139</v>
      </c>
      <c r="U23" s="194" t="s">
        <v>256</v>
      </c>
      <c r="V23" s="172"/>
      <c r="W23" s="173"/>
    </row>
    <row r="24" spans="1:23">
      <c r="A24" s="154">
        <v>6</v>
      </c>
      <c r="B24" s="171" t="s">
        <v>140</v>
      </c>
      <c r="C24" s="194" t="s">
        <v>256</v>
      </c>
      <c r="D24" s="175"/>
      <c r="E24" s="176"/>
      <c r="G24" s="154">
        <v>6</v>
      </c>
      <c r="H24" s="171" t="s">
        <v>140</v>
      </c>
      <c r="I24" s="194" t="s">
        <v>256</v>
      </c>
      <c r="J24" s="175"/>
      <c r="K24" s="176"/>
      <c r="L24" s="264"/>
      <c r="M24" s="154">
        <v>6</v>
      </c>
      <c r="N24" s="171" t="s">
        <v>140</v>
      </c>
      <c r="O24" s="194" t="s">
        <v>256</v>
      </c>
      <c r="P24" s="175"/>
      <c r="Q24" s="176"/>
      <c r="S24" s="154">
        <v>6</v>
      </c>
      <c r="T24" s="171" t="s">
        <v>140</v>
      </c>
      <c r="U24" s="194" t="s">
        <v>256</v>
      </c>
      <c r="V24" s="175"/>
      <c r="W24" s="176"/>
    </row>
    <row r="25" spans="1:23">
      <c r="L25" s="264"/>
    </row>
    <row r="26" spans="1:23" ht="16.5" customHeight="1" thickBot="1">
      <c r="B26" s="154" t="s">
        <v>141</v>
      </c>
      <c r="C26" s="177"/>
      <c r="D26" s="178"/>
      <c r="E26" s="178"/>
      <c r="I26" s="177"/>
      <c r="J26" s="178"/>
      <c r="K26" s="178"/>
      <c r="L26" s="264"/>
      <c r="O26" s="177"/>
      <c r="P26" s="178"/>
      <c r="Q26" s="178"/>
      <c r="U26" s="184"/>
      <c r="V26" s="178"/>
      <c r="W26" s="178"/>
    </row>
    <row r="27" spans="1:23" ht="16.350000000000001" customHeight="1" thickTop="1" thickBot="1">
      <c r="B27" s="185" t="s">
        <v>142</v>
      </c>
      <c r="C27" s="232">
        <v>46116</v>
      </c>
      <c r="D27" s="156" t="s">
        <v>125</v>
      </c>
      <c r="E27" s="157"/>
      <c r="F27" s="158"/>
      <c r="G27" s="158"/>
      <c r="H27" s="185" t="s">
        <v>143</v>
      </c>
      <c r="I27" s="232"/>
      <c r="J27" s="156" t="s">
        <v>125</v>
      </c>
      <c r="K27" s="157"/>
      <c r="L27" s="263"/>
    </row>
    <row r="28" spans="1:23" ht="16.350000000000001" customHeight="1" thickTop="1">
      <c r="B28" s="164" t="s">
        <v>133</v>
      </c>
      <c r="C28" s="180"/>
      <c r="D28" s="181" t="s">
        <v>130</v>
      </c>
      <c r="E28" s="181" t="s">
        <v>131</v>
      </c>
      <c r="F28" s="158"/>
      <c r="G28" s="158"/>
      <c r="H28" s="164" t="s">
        <v>133</v>
      </c>
      <c r="I28" s="180"/>
      <c r="J28" s="181" t="s">
        <v>130</v>
      </c>
      <c r="K28" s="181" t="s">
        <v>131</v>
      </c>
      <c r="L28" s="263"/>
    </row>
    <row r="29" spans="1:23" ht="16.350000000000001" customHeight="1">
      <c r="B29" s="166"/>
      <c r="C29" s="170" t="s">
        <v>134</v>
      </c>
      <c r="D29" s="182"/>
      <c r="E29" s="183"/>
      <c r="F29" s="158"/>
      <c r="G29" s="158"/>
      <c r="H29" s="166"/>
      <c r="I29" s="170" t="s">
        <v>134</v>
      </c>
      <c r="J29" s="182"/>
      <c r="K29" s="183"/>
      <c r="L29" s="263"/>
    </row>
    <row r="30" spans="1:23">
      <c r="A30" s="154">
        <v>1</v>
      </c>
      <c r="B30" s="171" t="s">
        <v>135</v>
      </c>
      <c r="C30" s="194" t="s">
        <v>256</v>
      </c>
      <c r="D30" s="172"/>
      <c r="E30" s="173"/>
      <c r="G30" s="154">
        <v>1</v>
      </c>
      <c r="H30" s="171" t="s">
        <v>135</v>
      </c>
      <c r="I30" s="194" t="s">
        <v>256</v>
      </c>
      <c r="J30" s="172"/>
      <c r="K30" s="173"/>
      <c r="L30" s="264"/>
    </row>
    <row r="31" spans="1:23">
      <c r="A31" s="154">
        <v>2</v>
      </c>
      <c r="B31" s="171" t="s">
        <v>136</v>
      </c>
      <c r="C31" s="194" t="s">
        <v>256</v>
      </c>
      <c r="D31" s="172"/>
      <c r="E31" s="173"/>
      <c r="G31" s="154">
        <v>2</v>
      </c>
      <c r="H31" s="171" t="s">
        <v>136</v>
      </c>
      <c r="I31" s="194" t="s">
        <v>256</v>
      </c>
      <c r="J31" s="172"/>
      <c r="K31" s="173"/>
      <c r="L31" s="264"/>
    </row>
    <row r="32" spans="1:23">
      <c r="A32" s="154">
        <v>3</v>
      </c>
      <c r="B32" s="171" t="s">
        <v>137</v>
      </c>
      <c r="C32" s="194" t="s">
        <v>256</v>
      </c>
      <c r="D32" s="172"/>
      <c r="E32" s="173"/>
      <c r="G32" s="154">
        <v>3</v>
      </c>
      <c r="H32" s="171" t="s">
        <v>137</v>
      </c>
      <c r="I32" s="194" t="s">
        <v>256</v>
      </c>
      <c r="J32" s="172"/>
      <c r="K32" s="173"/>
      <c r="L32" s="264"/>
    </row>
    <row r="33" spans="1:12">
      <c r="A33" s="154">
        <v>4</v>
      </c>
      <c r="B33" s="171" t="s">
        <v>138</v>
      </c>
      <c r="C33" s="194" t="s">
        <v>256</v>
      </c>
      <c r="D33" s="172"/>
      <c r="E33" s="173"/>
      <c r="G33" s="154">
        <v>4</v>
      </c>
      <c r="H33" s="171" t="s">
        <v>138</v>
      </c>
      <c r="I33" s="194" t="s">
        <v>256</v>
      </c>
      <c r="J33" s="172"/>
      <c r="K33" s="173"/>
      <c r="L33" s="264"/>
    </row>
    <row r="34" spans="1:12">
      <c r="A34" s="154">
        <v>5</v>
      </c>
      <c r="B34" s="171" t="s">
        <v>139</v>
      </c>
      <c r="C34" s="194" t="s">
        <v>256</v>
      </c>
      <c r="D34" s="172"/>
      <c r="E34" s="173"/>
      <c r="G34" s="154">
        <v>5</v>
      </c>
      <c r="H34" s="171" t="s">
        <v>139</v>
      </c>
      <c r="I34" s="194" t="s">
        <v>256</v>
      </c>
      <c r="J34" s="172"/>
      <c r="K34" s="173"/>
      <c r="L34" s="264"/>
    </row>
    <row r="35" spans="1:12">
      <c r="A35" s="154">
        <v>6</v>
      </c>
      <c r="B35" s="171" t="s">
        <v>140</v>
      </c>
      <c r="C35" s="194" t="s">
        <v>256</v>
      </c>
      <c r="D35" s="175"/>
      <c r="E35" s="176"/>
      <c r="G35" s="154">
        <v>6</v>
      </c>
      <c r="H35" s="171" t="s">
        <v>140</v>
      </c>
      <c r="I35" s="194" t="s">
        <v>256</v>
      </c>
      <c r="J35" s="175"/>
      <c r="K35" s="176"/>
      <c r="L35" s="264"/>
    </row>
    <row r="36" spans="1:12">
      <c r="L36" s="264"/>
    </row>
    <row r="37" spans="1:12" ht="16.5" customHeight="1" thickBot="1">
      <c r="B37" s="154" t="s">
        <v>16</v>
      </c>
      <c r="C37" s="177"/>
      <c r="D37" s="178"/>
      <c r="E37" s="178"/>
      <c r="I37" s="177"/>
      <c r="J37" s="178"/>
      <c r="K37" s="178"/>
      <c r="L37" s="264"/>
    </row>
    <row r="38" spans="1:12" ht="17.25" customHeight="1" thickTop="1" thickBot="1">
      <c r="B38" s="185" t="s">
        <v>142</v>
      </c>
      <c r="C38" s="232">
        <v>46123</v>
      </c>
      <c r="D38" s="156" t="s">
        <v>125</v>
      </c>
      <c r="E38" s="157"/>
      <c r="F38" s="158"/>
      <c r="G38" s="158"/>
      <c r="H38" s="185" t="s">
        <v>143</v>
      </c>
      <c r="I38" s="232"/>
      <c r="J38" s="156" t="s">
        <v>125</v>
      </c>
      <c r="K38" s="157"/>
      <c r="L38" s="263"/>
    </row>
    <row r="39" spans="1:12" ht="17.25" customHeight="1" thickTop="1">
      <c r="B39" s="164" t="s">
        <v>133</v>
      </c>
      <c r="C39" s="180"/>
      <c r="D39" s="181" t="s">
        <v>130</v>
      </c>
      <c r="E39" s="181" t="s">
        <v>131</v>
      </c>
      <c r="F39" s="158"/>
      <c r="G39" s="158"/>
      <c r="H39" s="164" t="s">
        <v>133</v>
      </c>
      <c r="I39" s="180"/>
      <c r="J39" s="181" t="s">
        <v>130</v>
      </c>
      <c r="K39" s="181" t="s">
        <v>131</v>
      </c>
      <c r="L39" s="263"/>
    </row>
    <row r="40" spans="1:12">
      <c r="B40" s="166"/>
      <c r="C40" s="170" t="s">
        <v>134</v>
      </c>
      <c r="D40" s="182"/>
      <c r="E40" s="183"/>
      <c r="F40" s="158"/>
      <c r="G40" s="158"/>
      <c r="H40" s="166"/>
      <c r="I40" s="170" t="s">
        <v>134</v>
      </c>
      <c r="J40" s="182"/>
      <c r="K40" s="183"/>
      <c r="L40" s="263"/>
    </row>
    <row r="41" spans="1:12">
      <c r="A41" s="154">
        <v>1</v>
      </c>
      <c r="B41" s="171" t="s">
        <v>135</v>
      </c>
      <c r="C41" s="194" t="s">
        <v>256</v>
      </c>
      <c r="D41" s="172"/>
      <c r="E41" s="173"/>
      <c r="G41" s="154">
        <v>1</v>
      </c>
      <c r="H41" s="171" t="s">
        <v>135</v>
      </c>
      <c r="I41" s="194" t="s">
        <v>256</v>
      </c>
      <c r="J41" s="172"/>
      <c r="K41" s="173"/>
      <c r="L41" s="264"/>
    </row>
    <row r="42" spans="1:12">
      <c r="A42" s="154">
        <v>2</v>
      </c>
      <c r="B42" s="171" t="s">
        <v>136</v>
      </c>
      <c r="C42" s="194" t="s">
        <v>256</v>
      </c>
      <c r="D42" s="172"/>
      <c r="E42" s="173"/>
      <c r="G42" s="154">
        <v>2</v>
      </c>
      <c r="H42" s="171" t="s">
        <v>136</v>
      </c>
      <c r="I42" s="194" t="s">
        <v>256</v>
      </c>
      <c r="J42" s="172"/>
      <c r="K42" s="173"/>
      <c r="L42" s="264"/>
    </row>
    <row r="43" spans="1:12">
      <c r="A43" s="154">
        <v>3</v>
      </c>
      <c r="B43" s="171" t="s">
        <v>137</v>
      </c>
      <c r="C43" s="194" t="s">
        <v>256</v>
      </c>
      <c r="D43" s="172"/>
      <c r="E43" s="173"/>
      <c r="G43" s="154">
        <v>3</v>
      </c>
      <c r="H43" s="171" t="s">
        <v>137</v>
      </c>
      <c r="I43" s="194" t="s">
        <v>256</v>
      </c>
      <c r="J43" s="172"/>
      <c r="K43" s="173"/>
      <c r="L43" s="264"/>
    </row>
    <row r="44" spans="1:12">
      <c r="A44" s="154">
        <v>4</v>
      </c>
      <c r="B44" s="171" t="s">
        <v>138</v>
      </c>
      <c r="C44" s="194" t="s">
        <v>256</v>
      </c>
      <c r="D44" s="172"/>
      <c r="E44" s="173"/>
      <c r="G44" s="154">
        <v>4</v>
      </c>
      <c r="H44" s="171" t="s">
        <v>138</v>
      </c>
      <c r="I44" s="194" t="s">
        <v>256</v>
      </c>
      <c r="J44" s="172"/>
      <c r="K44" s="173"/>
      <c r="L44" s="264"/>
    </row>
    <row r="45" spans="1:12">
      <c r="A45" s="154">
        <v>5</v>
      </c>
      <c r="B45" s="171" t="s">
        <v>139</v>
      </c>
      <c r="C45" s="194" t="s">
        <v>256</v>
      </c>
      <c r="D45" s="172"/>
      <c r="E45" s="173"/>
      <c r="G45" s="154">
        <v>5</v>
      </c>
      <c r="H45" s="171" t="s">
        <v>139</v>
      </c>
      <c r="I45" s="194" t="s">
        <v>256</v>
      </c>
      <c r="J45" s="172"/>
      <c r="K45" s="173"/>
      <c r="L45" s="264"/>
    </row>
    <row r="46" spans="1:12">
      <c r="A46" s="154">
        <v>6</v>
      </c>
      <c r="B46" s="171" t="s">
        <v>140</v>
      </c>
      <c r="C46" s="194" t="s">
        <v>256</v>
      </c>
      <c r="D46" s="175"/>
      <c r="E46" s="176"/>
      <c r="G46" s="154">
        <v>6</v>
      </c>
      <c r="H46" s="171" t="s">
        <v>140</v>
      </c>
      <c r="I46" s="194" t="s">
        <v>256</v>
      </c>
      <c r="J46" s="175"/>
      <c r="K46" s="176"/>
      <c r="L46" s="264"/>
    </row>
    <row r="47" spans="1:12">
      <c r="L47" s="264"/>
    </row>
    <row r="48" spans="1:12" ht="16.5" customHeight="1"/>
    <row r="49" spans="1:24" s="152" customFormat="1" ht="24.6">
      <c r="A49" s="154"/>
      <c r="B49" s="154"/>
      <c r="C49" s="154"/>
      <c r="D49" s="154"/>
      <c r="E49" s="154"/>
      <c r="F49" s="154"/>
      <c r="G49" s="154"/>
      <c r="H49" s="154"/>
      <c r="I49" s="154"/>
      <c r="J49" s="154"/>
      <c r="K49" s="154"/>
      <c r="L49" s="154"/>
      <c r="M49" s="154"/>
      <c r="N49" s="154"/>
      <c r="O49" s="154"/>
      <c r="P49" s="154"/>
      <c r="Q49" s="154"/>
      <c r="R49" s="154"/>
      <c r="S49" s="154"/>
      <c r="T49" s="154"/>
      <c r="U49" s="154"/>
      <c r="V49" s="154"/>
      <c r="W49" s="154"/>
      <c r="X49" s="154"/>
    </row>
    <row r="52" spans="1:24" ht="17.25" customHeight="1"/>
    <row r="53" spans="1:24" ht="17.25" customHeight="1"/>
    <row r="62" spans="1:24" ht="16.5" customHeight="1"/>
    <row r="63" spans="1:24" ht="17.25" customHeight="1"/>
    <row r="64" spans="1:24" ht="17.25" customHeight="1"/>
  </sheetData>
  <mergeCells count="1">
    <mergeCell ref="R15:R16"/>
  </mergeCells>
  <phoneticPr fontId="4"/>
  <pageMargins left="0.70866141732283472" right="0.70866141732283472" top="0.74803149606299213" bottom="0.74803149606299213" header="0.31496062992125984" footer="0.31496062992125984"/>
  <pageSetup paperSize="9" scale="125" orientation="landscape" r:id="rId1"/>
  <rowBreaks count="1" manualBreakCount="1">
    <brk id="24" max="22" man="1"/>
  </rowBreaks>
  <colBreaks count="1" manualBreakCount="1">
    <brk id="12" max="46"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DDACB-55E1-410E-B1A8-0C00672FD435}">
  <sheetPr codeName="Sheet32">
    <tabColor theme="1"/>
  </sheetPr>
  <dimension ref="A1"/>
  <sheetViews>
    <sheetView workbookViewId="0"/>
  </sheetViews>
  <sheetFormatPr defaultRowHeight="13.2"/>
  <sheetData/>
  <phoneticPr fontId="4"/>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F4084-B20E-4BFF-9279-453472D254D6}">
  <sheetPr codeName="Sheet6">
    <tabColor theme="1"/>
  </sheetPr>
  <dimension ref="A1"/>
  <sheetViews>
    <sheetView workbookViewId="0">
      <selection activeCell="F29" sqref="F29"/>
    </sheetView>
  </sheetViews>
  <sheetFormatPr defaultRowHeight="13.2"/>
  <sheetData/>
  <phoneticPr fontId="4"/>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AD31F-EBF4-4F7E-BEA3-53DB56E93436}">
  <sheetPr codeName="Sheet7"/>
  <dimension ref="A1:BQ248"/>
  <sheetViews>
    <sheetView view="pageBreakPreview" zoomScale="80" zoomScaleNormal="80" zoomScaleSheetLayoutView="80" workbookViewId="0"/>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IF(OR(訓練月数=0,訓練月数=""),"訓練期間が入力されていません！！",IF(訓練月数=1,IF(訓練終了日&lt;=INDIRECT("開講スケジュール!D"&amp;[1]開講スケジュール!$D$2+1),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これから始める！Ｗｅｂ・ＳＮＳ動画編集＆ホームページデザイン科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45982</v>
      </c>
      <c r="D6" s="33">
        <f>IF(C6="","",C6+1)</f>
        <v>45983</v>
      </c>
      <c r="E6" s="33">
        <f t="shared" ref="E6:P6" si="1">IF(D6="","",D6+1)</f>
        <v>45984</v>
      </c>
      <c r="F6" s="33">
        <f t="shared" si="1"/>
        <v>45985</v>
      </c>
      <c r="G6" s="33">
        <f t="shared" si="1"/>
        <v>45986</v>
      </c>
      <c r="H6" s="33">
        <f t="shared" si="1"/>
        <v>45987</v>
      </c>
      <c r="I6" s="33">
        <f t="shared" si="1"/>
        <v>45988</v>
      </c>
      <c r="J6" s="33">
        <f t="shared" si="1"/>
        <v>45989</v>
      </c>
      <c r="K6" s="33">
        <f t="shared" si="1"/>
        <v>45990</v>
      </c>
      <c r="L6" s="33">
        <f t="shared" si="1"/>
        <v>45991</v>
      </c>
      <c r="M6" s="33">
        <f t="shared" si="1"/>
        <v>45992</v>
      </c>
      <c r="N6" s="33">
        <f t="shared" si="1"/>
        <v>45993</v>
      </c>
      <c r="O6" s="33">
        <f t="shared" si="1"/>
        <v>45994</v>
      </c>
      <c r="P6" s="33">
        <f t="shared" si="1"/>
        <v>45995</v>
      </c>
      <c r="Q6" s="33">
        <f t="shared" ref="Q6:AB6" si="2">IF(P6="","",IF(P6+1&gt;訓練終了日,"",P6+1))</f>
        <v>45996</v>
      </c>
      <c r="R6" s="33">
        <f t="shared" si="2"/>
        <v>45997</v>
      </c>
      <c r="S6" s="33">
        <f t="shared" si="2"/>
        <v>45998</v>
      </c>
      <c r="T6" s="33">
        <f t="shared" si="2"/>
        <v>45999</v>
      </c>
      <c r="U6" s="33">
        <f t="shared" si="2"/>
        <v>46000</v>
      </c>
      <c r="V6" s="33">
        <f t="shared" si="2"/>
        <v>46001</v>
      </c>
      <c r="W6" s="33">
        <f t="shared" si="2"/>
        <v>46002</v>
      </c>
      <c r="X6" s="33">
        <f t="shared" si="2"/>
        <v>46003</v>
      </c>
      <c r="Y6" s="33">
        <f t="shared" si="2"/>
        <v>46004</v>
      </c>
      <c r="Z6" s="33">
        <f t="shared" si="2"/>
        <v>46005</v>
      </c>
      <c r="AA6" s="33">
        <f t="shared" si="2"/>
        <v>46006</v>
      </c>
      <c r="AB6" s="33">
        <f t="shared" si="2"/>
        <v>46007</v>
      </c>
      <c r="AC6" s="33">
        <f>IF(AB6="","",IF(AB6+1&gt;訓練終了日,"",IF(AB6+1&gt;=EDATE(C6,1),"",AB6+1)))</f>
        <v>46008</v>
      </c>
      <c r="AD6" s="33">
        <f>IF(AC6="","",IF(AC6+1&gt;訓練終了日,"",IF(AC6+1&gt;=EDATE(C6,1),"",AC6+1)))</f>
        <v>46009</v>
      </c>
      <c r="AE6" s="33">
        <f>IF(AD6="","",IF(AD6+1&gt;訓練終了日,"",IF(AD6+1&gt;=EDATE(C6,1),"",AD6+1)))</f>
        <v>46010</v>
      </c>
      <c r="AF6" s="33">
        <f>IF(AE6="","",IF(AE6+1&gt;訓練終了日,"",IF(AE6+1&gt;=EDATE(C6,1),"",AE6+1)))</f>
        <v>46011</v>
      </c>
      <c r="AG6" s="33" t="str">
        <f>IF(AF6="","",IF(AF6+1&gt;訓練終了日,"",IF(AF6+1&gt;=EDATE(C6,1),"",AF6+1)))</f>
        <v/>
      </c>
      <c r="AH6" s="19"/>
      <c r="AI6" s="20"/>
      <c r="AJ6" s="20"/>
      <c r="AK6" s="20"/>
      <c r="AL6" s="20"/>
      <c r="AM6" s="20"/>
      <c r="AN6" s="20"/>
      <c r="AO6" s="34"/>
      <c r="AP6" s="20"/>
      <c r="AQ6" s="20"/>
      <c r="AR6" s="20"/>
      <c r="AS6" s="20"/>
      <c r="AT6" s="20"/>
      <c r="AU6" s="20"/>
      <c r="AV6" s="20"/>
    </row>
    <row r="7" spans="1:69" ht="18" customHeight="1">
      <c r="A7" s="35"/>
      <c r="B7" s="31" t="s">
        <v>52</v>
      </c>
      <c r="C7" s="36">
        <f t="shared" ref="C7:AG8" si="3">+C6</f>
        <v>45982</v>
      </c>
      <c r="D7" s="37">
        <f t="shared" si="3"/>
        <v>45983</v>
      </c>
      <c r="E7" s="37">
        <f t="shared" si="3"/>
        <v>45984</v>
      </c>
      <c r="F7" s="37">
        <f t="shared" si="3"/>
        <v>45985</v>
      </c>
      <c r="G7" s="37">
        <f t="shared" si="3"/>
        <v>45986</v>
      </c>
      <c r="H7" s="37">
        <f t="shared" si="3"/>
        <v>45987</v>
      </c>
      <c r="I7" s="37">
        <f t="shared" si="3"/>
        <v>45988</v>
      </c>
      <c r="J7" s="37">
        <f t="shared" si="3"/>
        <v>45989</v>
      </c>
      <c r="K7" s="37">
        <f t="shared" si="3"/>
        <v>45990</v>
      </c>
      <c r="L7" s="37">
        <f t="shared" si="3"/>
        <v>45991</v>
      </c>
      <c r="M7" s="37">
        <f t="shared" si="3"/>
        <v>45992</v>
      </c>
      <c r="N7" s="37">
        <f t="shared" si="3"/>
        <v>45993</v>
      </c>
      <c r="O7" s="37">
        <f t="shared" si="3"/>
        <v>45994</v>
      </c>
      <c r="P7" s="37">
        <f t="shared" si="3"/>
        <v>45995</v>
      </c>
      <c r="Q7" s="37">
        <f t="shared" si="3"/>
        <v>45996</v>
      </c>
      <c r="R7" s="37">
        <f t="shared" si="3"/>
        <v>45997</v>
      </c>
      <c r="S7" s="37">
        <f t="shared" si="3"/>
        <v>45998</v>
      </c>
      <c r="T7" s="37">
        <f t="shared" si="3"/>
        <v>45999</v>
      </c>
      <c r="U7" s="37">
        <f t="shared" si="3"/>
        <v>46000</v>
      </c>
      <c r="V7" s="37">
        <f t="shared" si="3"/>
        <v>46001</v>
      </c>
      <c r="W7" s="37">
        <f t="shared" si="3"/>
        <v>46002</v>
      </c>
      <c r="X7" s="37">
        <f t="shared" si="3"/>
        <v>46003</v>
      </c>
      <c r="Y7" s="37">
        <f t="shared" si="3"/>
        <v>46004</v>
      </c>
      <c r="Z7" s="37">
        <f t="shared" si="3"/>
        <v>46005</v>
      </c>
      <c r="AA7" s="37">
        <f t="shared" si="3"/>
        <v>46006</v>
      </c>
      <c r="AB7" s="37">
        <f t="shared" si="3"/>
        <v>46007</v>
      </c>
      <c r="AC7" s="37">
        <f t="shared" si="3"/>
        <v>46008</v>
      </c>
      <c r="AD7" s="37">
        <f t="shared" si="3"/>
        <v>46009</v>
      </c>
      <c r="AE7" s="37">
        <f t="shared" si="3"/>
        <v>46010</v>
      </c>
      <c r="AF7" s="37">
        <f t="shared" si="3"/>
        <v>46011</v>
      </c>
      <c r="AG7" s="38" t="str">
        <f t="shared" si="3"/>
        <v/>
      </c>
      <c r="AH7" s="19"/>
      <c r="AI7" s="20"/>
      <c r="AJ7" s="20"/>
      <c r="AK7" s="20"/>
      <c r="AL7" s="20"/>
      <c r="AM7" s="20"/>
      <c r="AN7" s="20"/>
      <c r="AO7" s="34"/>
      <c r="AP7" s="20"/>
      <c r="AQ7" s="20"/>
      <c r="AR7" s="20"/>
      <c r="AS7" s="20"/>
      <c r="AT7" s="20"/>
      <c r="AU7" s="20"/>
      <c r="AV7" s="20"/>
    </row>
    <row r="8" spans="1:69" ht="18" customHeight="1">
      <c r="A8" s="35"/>
      <c r="B8" s="31" t="s">
        <v>53</v>
      </c>
      <c r="C8" s="39">
        <f t="shared" si="3"/>
        <v>45982</v>
      </c>
      <c r="D8" s="39">
        <f t="shared" si="3"/>
        <v>45983</v>
      </c>
      <c r="E8" s="39">
        <f t="shared" si="3"/>
        <v>45984</v>
      </c>
      <c r="F8" s="39">
        <f t="shared" si="3"/>
        <v>45985</v>
      </c>
      <c r="G8" s="39">
        <f t="shared" si="3"/>
        <v>45986</v>
      </c>
      <c r="H8" s="39">
        <f t="shared" si="3"/>
        <v>45987</v>
      </c>
      <c r="I8" s="39">
        <f t="shared" si="3"/>
        <v>45988</v>
      </c>
      <c r="J8" s="39">
        <f t="shared" si="3"/>
        <v>45989</v>
      </c>
      <c r="K8" s="39">
        <f t="shared" si="3"/>
        <v>45990</v>
      </c>
      <c r="L8" s="39">
        <f t="shared" si="3"/>
        <v>45991</v>
      </c>
      <c r="M8" s="39">
        <f t="shared" si="3"/>
        <v>45992</v>
      </c>
      <c r="N8" s="39">
        <f t="shared" si="3"/>
        <v>45993</v>
      </c>
      <c r="O8" s="39">
        <f t="shared" si="3"/>
        <v>45994</v>
      </c>
      <c r="P8" s="39">
        <f t="shared" si="3"/>
        <v>45995</v>
      </c>
      <c r="Q8" s="39">
        <f t="shared" si="3"/>
        <v>45996</v>
      </c>
      <c r="R8" s="39">
        <f t="shared" si="3"/>
        <v>45997</v>
      </c>
      <c r="S8" s="39">
        <f t="shared" si="3"/>
        <v>45998</v>
      </c>
      <c r="T8" s="39">
        <f t="shared" si="3"/>
        <v>45999</v>
      </c>
      <c r="U8" s="39">
        <f t="shared" si="3"/>
        <v>46000</v>
      </c>
      <c r="V8" s="39">
        <f t="shared" si="3"/>
        <v>46001</v>
      </c>
      <c r="W8" s="39">
        <f t="shared" si="3"/>
        <v>46002</v>
      </c>
      <c r="X8" s="39">
        <f t="shared" si="3"/>
        <v>46003</v>
      </c>
      <c r="Y8" s="39">
        <f t="shared" si="3"/>
        <v>46004</v>
      </c>
      <c r="Z8" s="39">
        <f t="shared" si="3"/>
        <v>46005</v>
      </c>
      <c r="AA8" s="39">
        <f t="shared" si="3"/>
        <v>46006</v>
      </c>
      <c r="AB8" s="39">
        <f t="shared" si="3"/>
        <v>46007</v>
      </c>
      <c r="AC8" s="39">
        <f t="shared" si="3"/>
        <v>46008</v>
      </c>
      <c r="AD8" s="39">
        <f t="shared" si="3"/>
        <v>46009</v>
      </c>
      <c r="AE8" s="39">
        <f t="shared" si="3"/>
        <v>46010</v>
      </c>
      <c r="AF8" s="39">
        <f t="shared" si="3"/>
        <v>46011</v>
      </c>
      <c r="AG8" s="40" t="str">
        <f t="shared" si="3"/>
        <v/>
      </c>
      <c r="AH8" s="19"/>
      <c r="AI8" s="20"/>
      <c r="AJ8" s="20"/>
      <c r="AK8" s="20"/>
      <c r="AL8" s="20"/>
      <c r="AM8" s="20"/>
      <c r="AN8" s="20"/>
      <c r="AO8" s="20"/>
      <c r="AP8" s="20"/>
      <c r="AQ8" s="20"/>
      <c r="AR8" s="20"/>
      <c r="AS8" s="20"/>
      <c r="AT8" s="20"/>
      <c r="AU8" s="20"/>
      <c r="AV8" s="20"/>
    </row>
    <row r="9" spans="1:69" ht="18" customHeight="1">
      <c r="A9" s="411" t="s">
        <v>54</v>
      </c>
      <c r="B9" s="41"/>
      <c r="C9" s="423" t="s">
        <v>291</v>
      </c>
      <c r="D9" s="399"/>
      <c r="E9" s="399"/>
      <c r="F9" s="425"/>
      <c r="G9" s="399" t="s">
        <v>314</v>
      </c>
      <c r="H9" s="399" t="s">
        <v>215</v>
      </c>
      <c r="I9" s="399" t="s">
        <v>282</v>
      </c>
      <c r="J9" s="399"/>
      <c r="K9" s="399"/>
      <c r="L9" s="399"/>
      <c r="M9" s="399" t="s">
        <v>282</v>
      </c>
      <c r="N9" s="399" t="s">
        <v>216</v>
      </c>
      <c r="O9" s="399" t="s">
        <v>216</v>
      </c>
      <c r="P9" s="399" t="s">
        <v>216</v>
      </c>
      <c r="Q9" s="399" t="s">
        <v>216</v>
      </c>
      <c r="R9" s="399" t="s">
        <v>57</v>
      </c>
      <c r="S9" s="399"/>
      <c r="T9" s="399" t="s">
        <v>216</v>
      </c>
      <c r="U9" s="399" t="s">
        <v>216</v>
      </c>
      <c r="V9" s="399" t="s">
        <v>216</v>
      </c>
      <c r="W9" s="399" t="s">
        <v>216</v>
      </c>
      <c r="X9" s="399" t="s">
        <v>216</v>
      </c>
      <c r="Y9" s="399" t="s">
        <v>56</v>
      </c>
      <c r="Z9" s="399"/>
      <c r="AA9" s="399" t="s">
        <v>216</v>
      </c>
      <c r="AB9" s="399"/>
      <c r="AC9" s="399" t="s">
        <v>216</v>
      </c>
      <c r="AD9" s="399" t="s">
        <v>216</v>
      </c>
      <c r="AE9" s="399" t="s">
        <v>216</v>
      </c>
      <c r="AF9" s="399"/>
      <c r="AG9" s="426"/>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1"/>
      <c r="J20" s="401"/>
      <c r="K20" s="400"/>
      <c r="L20" s="400"/>
      <c r="M20" s="401"/>
      <c r="N20" s="401"/>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c r="E22" s="44"/>
      <c r="F22" s="44"/>
      <c r="G22" s="44" t="s">
        <v>64</v>
      </c>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[1]機構処理!BI72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c r="E24" s="57"/>
      <c r="F24" s="57"/>
      <c r="G24" s="57">
        <v>2</v>
      </c>
      <c r="H24" s="57">
        <v>6</v>
      </c>
      <c r="I24" s="57">
        <v>6</v>
      </c>
      <c r="J24" s="57"/>
      <c r="K24" s="57"/>
      <c r="L24" s="57"/>
      <c r="M24" s="57">
        <v>6</v>
      </c>
      <c r="N24" s="57">
        <v>6</v>
      </c>
      <c r="O24" s="57">
        <v>6</v>
      </c>
      <c r="P24" s="57">
        <v>6</v>
      </c>
      <c r="Q24" s="57">
        <v>6</v>
      </c>
      <c r="R24" s="57">
        <v>0</v>
      </c>
      <c r="S24" s="57"/>
      <c r="T24" s="57">
        <v>6</v>
      </c>
      <c r="U24" s="57">
        <v>6</v>
      </c>
      <c r="V24" s="57">
        <v>6</v>
      </c>
      <c r="W24" s="57">
        <v>6</v>
      </c>
      <c r="X24" s="57">
        <v>6</v>
      </c>
      <c r="Y24" s="57">
        <v>0</v>
      </c>
      <c r="Z24" s="57"/>
      <c r="AA24" s="57">
        <v>6</v>
      </c>
      <c r="AB24" s="57"/>
      <c r="AC24" s="57">
        <v>6</v>
      </c>
      <c r="AD24" s="57">
        <v>6</v>
      </c>
      <c r="AE24" s="57">
        <v>6</v>
      </c>
      <c r="AF24" s="57"/>
      <c r="AG24" s="58"/>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c r="E27" s="254"/>
      <c r="F27" s="254"/>
      <c r="G27" s="254">
        <v>4</v>
      </c>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IF(C6="","",[1]機構処理!BF29)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46012</v>
      </c>
      <c r="D29" s="33">
        <f t="shared" ref="D29:AD29" si="5">IF(OR(C29="",C28="修了日"),"",C29+1)</f>
        <v>46013</v>
      </c>
      <c r="E29" s="33">
        <f t="shared" si="5"/>
        <v>46014</v>
      </c>
      <c r="F29" s="33">
        <f t="shared" si="5"/>
        <v>46015</v>
      </c>
      <c r="G29" s="33">
        <f t="shared" si="5"/>
        <v>46016</v>
      </c>
      <c r="H29" s="33">
        <f t="shared" si="5"/>
        <v>46017</v>
      </c>
      <c r="I29" s="33">
        <f t="shared" si="5"/>
        <v>46018</v>
      </c>
      <c r="J29" s="33">
        <f t="shared" si="5"/>
        <v>46019</v>
      </c>
      <c r="K29" s="33">
        <f t="shared" si="5"/>
        <v>46020</v>
      </c>
      <c r="L29" s="33">
        <f t="shared" si="5"/>
        <v>46021</v>
      </c>
      <c r="M29" s="33">
        <f t="shared" si="5"/>
        <v>46022</v>
      </c>
      <c r="N29" s="33">
        <f t="shared" si="5"/>
        <v>46023</v>
      </c>
      <c r="O29" s="33">
        <f t="shared" si="5"/>
        <v>46024</v>
      </c>
      <c r="P29" s="33">
        <f t="shared" si="5"/>
        <v>46025</v>
      </c>
      <c r="Q29" s="33">
        <f t="shared" si="5"/>
        <v>46026</v>
      </c>
      <c r="R29" s="33">
        <f t="shared" si="5"/>
        <v>46027</v>
      </c>
      <c r="S29" s="33">
        <f t="shared" si="5"/>
        <v>46028</v>
      </c>
      <c r="T29" s="33">
        <f t="shared" si="5"/>
        <v>46029</v>
      </c>
      <c r="U29" s="33">
        <f t="shared" si="5"/>
        <v>46030</v>
      </c>
      <c r="V29" s="33">
        <f t="shared" si="5"/>
        <v>46031</v>
      </c>
      <c r="W29" s="33">
        <f t="shared" si="5"/>
        <v>46032</v>
      </c>
      <c r="X29" s="33">
        <f t="shared" si="5"/>
        <v>46033</v>
      </c>
      <c r="Y29" s="33">
        <f t="shared" si="5"/>
        <v>46034</v>
      </c>
      <c r="Z29" s="33">
        <f t="shared" si="5"/>
        <v>46035</v>
      </c>
      <c r="AA29" s="33">
        <f t="shared" si="5"/>
        <v>46036</v>
      </c>
      <c r="AB29" s="33">
        <f t="shared" si="5"/>
        <v>46037</v>
      </c>
      <c r="AC29" s="33">
        <f t="shared" si="5"/>
        <v>46038</v>
      </c>
      <c r="AD29" s="33">
        <f t="shared" si="5"/>
        <v>46039</v>
      </c>
      <c r="AE29" s="33">
        <f>IF(OR(AD29="",AD28="修了日"),"",IF(AND(DAY(DATE(YEAR(C29),2,29))=29,MONTH(C29)=2),AD29+1,IF(MONTH(C29)=2,"",AD29+1)))</f>
        <v>46040</v>
      </c>
      <c r="AF29" s="33">
        <f>IF(OR(AE29="",AE28="修了日"),"",IF(MONTH(C29)=2,"",AE29+1))</f>
        <v>46041</v>
      </c>
      <c r="AG29" s="65">
        <f>IF(OR(AF29="",AF28="修了日"),"",IF(OR(MONTH(C29)=2,MONTH(C29)=4,MONTH(C29)=6,MONTH(C29)=9,MONTH(C29)=11),"",AF29+1))</f>
        <v>46042</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46012</v>
      </c>
      <c r="D30" s="67">
        <f t="shared" si="6"/>
        <v>46013</v>
      </c>
      <c r="E30" s="67">
        <f t="shared" si="6"/>
        <v>46014</v>
      </c>
      <c r="F30" s="67">
        <f t="shared" si="6"/>
        <v>46015</v>
      </c>
      <c r="G30" s="67">
        <f t="shared" si="6"/>
        <v>46016</v>
      </c>
      <c r="H30" s="67">
        <f t="shared" si="6"/>
        <v>46017</v>
      </c>
      <c r="I30" s="67">
        <f t="shared" si="6"/>
        <v>46018</v>
      </c>
      <c r="J30" s="67">
        <f t="shared" si="6"/>
        <v>46019</v>
      </c>
      <c r="K30" s="67">
        <f t="shared" si="6"/>
        <v>46020</v>
      </c>
      <c r="L30" s="67">
        <f t="shared" si="6"/>
        <v>46021</v>
      </c>
      <c r="M30" s="67">
        <f t="shared" si="6"/>
        <v>46022</v>
      </c>
      <c r="N30" s="67">
        <f t="shared" si="6"/>
        <v>46023</v>
      </c>
      <c r="O30" s="67">
        <f t="shared" si="6"/>
        <v>46024</v>
      </c>
      <c r="P30" s="67">
        <f t="shared" si="6"/>
        <v>46025</v>
      </c>
      <c r="Q30" s="67">
        <f t="shared" si="6"/>
        <v>46026</v>
      </c>
      <c r="R30" s="67">
        <f t="shared" si="6"/>
        <v>46027</v>
      </c>
      <c r="S30" s="67">
        <f t="shared" si="6"/>
        <v>46028</v>
      </c>
      <c r="T30" s="67">
        <f t="shared" si="6"/>
        <v>46029</v>
      </c>
      <c r="U30" s="67">
        <f t="shared" si="6"/>
        <v>46030</v>
      </c>
      <c r="V30" s="67">
        <f t="shared" si="6"/>
        <v>46031</v>
      </c>
      <c r="W30" s="67">
        <f t="shared" si="6"/>
        <v>46032</v>
      </c>
      <c r="X30" s="67">
        <f t="shared" si="6"/>
        <v>46033</v>
      </c>
      <c r="Y30" s="67">
        <f t="shared" si="6"/>
        <v>46034</v>
      </c>
      <c r="Z30" s="67">
        <f t="shared" si="6"/>
        <v>46035</v>
      </c>
      <c r="AA30" s="67">
        <f t="shared" si="6"/>
        <v>46036</v>
      </c>
      <c r="AB30" s="67">
        <f>IF(AB29="","",+AB29)</f>
        <v>46037</v>
      </c>
      <c r="AC30" s="67">
        <f t="shared" si="6"/>
        <v>46038</v>
      </c>
      <c r="AD30" s="37">
        <f t="shared" si="6"/>
        <v>46039</v>
      </c>
      <c r="AE30" s="67">
        <f t="shared" si="6"/>
        <v>46040</v>
      </c>
      <c r="AF30" s="67">
        <f t="shared" si="6"/>
        <v>46041</v>
      </c>
      <c r="AG30" s="68">
        <f t="shared" si="6"/>
        <v>46042</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46012</v>
      </c>
      <c r="D31" s="39">
        <f t="shared" si="6"/>
        <v>46013</v>
      </c>
      <c r="E31" s="39">
        <f t="shared" si="6"/>
        <v>46014</v>
      </c>
      <c r="F31" s="39">
        <f t="shared" si="6"/>
        <v>46015</v>
      </c>
      <c r="G31" s="39">
        <f t="shared" si="6"/>
        <v>46016</v>
      </c>
      <c r="H31" s="39">
        <f t="shared" si="6"/>
        <v>46017</v>
      </c>
      <c r="I31" s="39">
        <f t="shared" si="6"/>
        <v>46018</v>
      </c>
      <c r="J31" s="39">
        <f t="shared" si="6"/>
        <v>46019</v>
      </c>
      <c r="K31" s="39">
        <f t="shared" si="6"/>
        <v>46020</v>
      </c>
      <c r="L31" s="39">
        <f t="shared" si="6"/>
        <v>46021</v>
      </c>
      <c r="M31" s="39">
        <f t="shared" si="6"/>
        <v>46022</v>
      </c>
      <c r="N31" s="39">
        <f t="shared" si="6"/>
        <v>46023</v>
      </c>
      <c r="O31" s="39">
        <f t="shared" si="6"/>
        <v>46024</v>
      </c>
      <c r="P31" s="39">
        <f t="shared" si="6"/>
        <v>46025</v>
      </c>
      <c r="Q31" s="39">
        <f t="shared" si="6"/>
        <v>46026</v>
      </c>
      <c r="R31" s="39">
        <f t="shared" si="6"/>
        <v>46027</v>
      </c>
      <c r="S31" s="39">
        <f t="shared" si="6"/>
        <v>46028</v>
      </c>
      <c r="T31" s="39">
        <f t="shared" si="6"/>
        <v>46029</v>
      </c>
      <c r="U31" s="39">
        <f t="shared" si="6"/>
        <v>46030</v>
      </c>
      <c r="V31" s="39">
        <f t="shared" si="6"/>
        <v>46031</v>
      </c>
      <c r="W31" s="39">
        <f t="shared" si="6"/>
        <v>46032</v>
      </c>
      <c r="X31" s="39">
        <f t="shared" si="6"/>
        <v>46033</v>
      </c>
      <c r="Y31" s="39">
        <f t="shared" si="6"/>
        <v>46034</v>
      </c>
      <c r="Z31" s="39">
        <f t="shared" si="6"/>
        <v>46035</v>
      </c>
      <c r="AA31" s="39">
        <f t="shared" si="6"/>
        <v>46036</v>
      </c>
      <c r="AB31" s="39">
        <f t="shared" si="6"/>
        <v>46037</v>
      </c>
      <c r="AC31" s="39">
        <f t="shared" si="6"/>
        <v>46038</v>
      </c>
      <c r="AD31" s="39">
        <f t="shared" si="6"/>
        <v>46039</v>
      </c>
      <c r="AE31" s="39">
        <f t="shared" si="6"/>
        <v>46040</v>
      </c>
      <c r="AF31" s="39">
        <f t="shared" si="6"/>
        <v>46041</v>
      </c>
      <c r="AG31" s="40">
        <f t="shared" si="6"/>
        <v>46042</v>
      </c>
      <c r="AH31" s="19"/>
      <c r="AI31" s="20"/>
      <c r="AJ31" s="20"/>
      <c r="AK31" s="20"/>
      <c r="AL31" s="20"/>
      <c r="AM31" s="20"/>
      <c r="AN31" s="20"/>
      <c r="AO31" s="20"/>
      <c r="AP31" s="20"/>
      <c r="AQ31" s="20"/>
      <c r="AR31" s="20"/>
      <c r="AS31" s="20"/>
      <c r="AT31" s="20"/>
      <c r="AU31" s="20"/>
      <c r="AV31" s="20"/>
    </row>
    <row r="32" spans="1:48" ht="18" customHeight="1">
      <c r="A32" s="411" t="s">
        <v>247</v>
      </c>
      <c r="B32" s="41"/>
      <c r="C32" s="412" t="str">
        <f t="shared" ref="C32:AE32" si="7">IF(C$31="","",IF(C$31=$K$150,"ハローワーク来所日①",""))</f>
        <v/>
      </c>
      <c r="D32" s="399" t="s">
        <v>216</v>
      </c>
      <c r="E32" s="399" t="str">
        <f t="shared" si="7"/>
        <v>ハローワーク来所日①</v>
      </c>
      <c r="F32" s="399" t="s">
        <v>216</v>
      </c>
      <c r="G32" s="399" t="s">
        <v>286</v>
      </c>
      <c r="H32" s="399" t="s">
        <v>315</v>
      </c>
      <c r="I32" s="399" t="str">
        <f t="shared" si="7"/>
        <v/>
      </c>
      <c r="J32" s="399" t="str">
        <f t="shared" si="7"/>
        <v/>
      </c>
      <c r="K32" s="399" t="str">
        <f t="shared" si="7"/>
        <v/>
      </c>
      <c r="L32" s="399" t="str">
        <f t="shared" si="7"/>
        <v/>
      </c>
      <c r="M32" s="399" t="str">
        <f t="shared" si="7"/>
        <v/>
      </c>
      <c r="N32" s="399" t="str">
        <f t="shared" si="7"/>
        <v/>
      </c>
      <c r="O32" s="399" t="str">
        <f t="shared" si="7"/>
        <v/>
      </c>
      <c r="P32" s="399" t="str">
        <f t="shared" si="7"/>
        <v/>
      </c>
      <c r="Q32" s="399" t="str">
        <f t="shared" si="7"/>
        <v/>
      </c>
      <c r="R32" s="399" t="s">
        <v>315</v>
      </c>
      <c r="S32" s="399" t="s">
        <v>315</v>
      </c>
      <c r="T32" s="399" t="s">
        <v>315</v>
      </c>
      <c r="U32" s="399" t="s">
        <v>315</v>
      </c>
      <c r="V32" s="399" t="s">
        <v>315</v>
      </c>
      <c r="W32" s="399"/>
      <c r="X32" s="399" t="str">
        <f t="shared" si="7"/>
        <v/>
      </c>
      <c r="Y32" s="399" t="str">
        <f t="shared" si="7"/>
        <v/>
      </c>
      <c r="Z32" s="399" t="s">
        <v>315</v>
      </c>
      <c r="AA32" s="399"/>
      <c r="AB32" s="399" t="s">
        <v>315</v>
      </c>
      <c r="AC32" s="399" t="s">
        <v>315</v>
      </c>
      <c r="AD32" s="399" t="str">
        <f t="shared" si="7"/>
        <v/>
      </c>
      <c r="AE32" s="399" t="str">
        <f t="shared" si="7"/>
        <v/>
      </c>
      <c r="AF32" s="399" t="s">
        <v>315</v>
      </c>
      <c r="AG32" s="402" t="s">
        <v>315</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t="s">
        <v>64</v>
      </c>
      <c r="G45" s="44"/>
      <c r="H45" s="49"/>
      <c r="I45" s="49"/>
      <c r="J45" s="44"/>
      <c r="K45" s="44"/>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[1]機構処理!BI77</f>
        <v/>
      </c>
      <c r="AJ46" s="418"/>
      <c r="AK46" s="70"/>
      <c r="AL46" s="70"/>
      <c r="AM46" s="70"/>
      <c r="AN46" s="70"/>
      <c r="AO46" s="70"/>
      <c r="AP46" s="20"/>
      <c r="AQ46" s="20"/>
      <c r="AR46" s="20"/>
      <c r="AS46" s="20"/>
      <c r="AT46" s="20"/>
      <c r="AU46" s="20"/>
      <c r="AV46" s="20"/>
    </row>
    <row r="47" spans="1:48" ht="18" customHeight="1">
      <c r="A47" s="35"/>
      <c r="B47" s="407" t="s">
        <v>66</v>
      </c>
      <c r="C47" s="56"/>
      <c r="D47" s="57">
        <v>6</v>
      </c>
      <c r="E47" s="57"/>
      <c r="F47" s="57">
        <v>6</v>
      </c>
      <c r="G47" s="57">
        <v>6</v>
      </c>
      <c r="H47" s="57">
        <v>6</v>
      </c>
      <c r="I47" s="57"/>
      <c r="J47" s="57"/>
      <c r="K47" s="57"/>
      <c r="L47" s="57"/>
      <c r="M47" s="57"/>
      <c r="N47" s="57"/>
      <c r="O47" s="57"/>
      <c r="P47" s="57"/>
      <c r="Q47" s="57"/>
      <c r="R47" s="57">
        <v>6</v>
      </c>
      <c r="S47" s="57">
        <v>6</v>
      </c>
      <c r="T47" s="57">
        <v>6</v>
      </c>
      <c r="U47" s="57">
        <v>6</v>
      </c>
      <c r="V47" s="57">
        <v>6</v>
      </c>
      <c r="W47" s="57"/>
      <c r="X47" s="57"/>
      <c r="Y47" s="57"/>
      <c r="Z47" s="57">
        <v>6</v>
      </c>
      <c r="AA47" s="57"/>
      <c r="AB47" s="57">
        <v>6</v>
      </c>
      <c r="AC47" s="57">
        <v>6</v>
      </c>
      <c r="AD47" s="57"/>
      <c r="AE47" s="57"/>
      <c r="AF47" s="57">
        <v>6</v>
      </c>
      <c r="AG47" s="58">
        <v>6</v>
      </c>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IF(C29="","",[1]機構処理!BF35)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46043</v>
      </c>
      <c r="D51" s="33">
        <f t="shared" ref="D51:AD51" si="9">IF(OR(C51="",C50="修了日"),"",C51+1)</f>
        <v>46044</v>
      </c>
      <c r="E51" s="33">
        <f t="shared" si="9"/>
        <v>46045</v>
      </c>
      <c r="F51" s="33">
        <f t="shared" si="9"/>
        <v>46046</v>
      </c>
      <c r="G51" s="33">
        <f t="shared" si="9"/>
        <v>46047</v>
      </c>
      <c r="H51" s="33">
        <f t="shared" si="9"/>
        <v>46048</v>
      </c>
      <c r="I51" s="33">
        <f t="shared" si="9"/>
        <v>46049</v>
      </c>
      <c r="J51" s="33">
        <f t="shared" si="9"/>
        <v>46050</v>
      </c>
      <c r="K51" s="33">
        <f t="shared" si="9"/>
        <v>46051</v>
      </c>
      <c r="L51" s="33">
        <f t="shared" si="9"/>
        <v>46052</v>
      </c>
      <c r="M51" s="33">
        <f t="shared" si="9"/>
        <v>46053</v>
      </c>
      <c r="N51" s="33">
        <f t="shared" si="9"/>
        <v>46054</v>
      </c>
      <c r="O51" s="33">
        <f t="shared" si="9"/>
        <v>46055</v>
      </c>
      <c r="P51" s="33">
        <f t="shared" si="9"/>
        <v>46056</v>
      </c>
      <c r="Q51" s="33">
        <f t="shared" si="9"/>
        <v>46057</v>
      </c>
      <c r="R51" s="33">
        <f t="shared" si="9"/>
        <v>46058</v>
      </c>
      <c r="S51" s="33">
        <f t="shared" si="9"/>
        <v>46059</v>
      </c>
      <c r="T51" s="33">
        <f t="shared" si="9"/>
        <v>46060</v>
      </c>
      <c r="U51" s="33">
        <f t="shared" si="9"/>
        <v>46061</v>
      </c>
      <c r="V51" s="33">
        <f t="shared" si="9"/>
        <v>46062</v>
      </c>
      <c r="W51" s="33">
        <f t="shared" si="9"/>
        <v>46063</v>
      </c>
      <c r="X51" s="33">
        <f t="shared" si="9"/>
        <v>46064</v>
      </c>
      <c r="Y51" s="33">
        <f t="shared" si="9"/>
        <v>46065</v>
      </c>
      <c r="Z51" s="33">
        <f t="shared" si="9"/>
        <v>46066</v>
      </c>
      <c r="AA51" s="33">
        <f t="shared" si="9"/>
        <v>46067</v>
      </c>
      <c r="AB51" s="33">
        <f t="shared" si="9"/>
        <v>46068</v>
      </c>
      <c r="AC51" s="33">
        <f t="shared" si="9"/>
        <v>46069</v>
      </c>
      <c r="AD51" s="33">
        <f t="shared" si="9"/>
        <v>46070</v>
      </c>
      <c r="AE51" s="33">
        <f>IF(OR(AD51="",AD50="修了日"),"",IF(AND(DAY(DATE(YEAR(C51),2,29))=29,MONTH(C51)=2),AD51+1,IF(MONTH(C51)=2,"",AD51+1)))</f>
        <v>46071</v>
      </c>
      <c r="AF51" s="33">
        <f>IF(OR(AE51="",AE50="修了日"),"",IF(MONTH(C51)=2,"",AE51+1))</f>
        <v>46072</v>
      </c>
      <c r="AG51" s="65">
        <f>IF(OR(AF51="",AF50="修了日"),"",IF(OR(MONTH(C51)=2,MONTH(C51)=4,MONTH(C51)=6,MONTH(C51)=9,MONTH(C51)=11),"",AF51+1))</f>
        <v>46073</v>
      </c>
      <c r="AH51" s="19"/>
      <c r="AI51" s="20"/>
      <c r="AJ51" s="20"/>
      <c r="AK51" s="20"/>
      <c r="AL51" s="20"/>
      <c r="AM51" s="20"/>
      <c r="AN51" s="20"/>
      <c r="AO51" s="20"/>
      <c r="AP51" s="20"/>
      <c r="AQ51" s="20"/>
      <c r="AR51" s="20"/>
      <c r="AS51" s="20"/>
      <c r="AT51" s="20"/>
      <c r="AU51" s="20"/>
      <c r="AV51" s="20"/>
    </row>
    <row r="52" spans="1:48" ht="18" customHeight="1">
      <c r="A52" s="35"/>
      <c r="B52" s="31" t="s">
        <v>52</v>
      </c>
      <c r="C52" s="67">
        <f>+C51</f>
        <v>46043</v>
      </c>
      <c r="D52" s="67">
        <f t="shared" ref="D52:AG53" si="10">IF(D51="","",+D51)</f>
        <v>46044</v>
      </c>
      <c r="E52" s="67">
        <f t="shared" si="10"/>
        <v>46045</v>
      </c>
      <c r="F52" s="67">
        <f t="shared" si="10"/>
        <v>46046</v>
      </c>
      <c r="G52" s="67">
        <f t="shared" si="10"/>
        <v>46047</v>
      </c>
      <c r="H52" s="67">
        <f t="shared" si="10"/>
        <v>46048</v>
      </c>
      <c r="I52" s="67">
        <f t="shared" si="10"/>
        <v>46049</v>
      </c>
      <c r="J52" s="67">
        <f t="shared" si="10"/>
        <v>46050</v>
      </c>
      <c r="K52" s="67">
        <f t="shared" si="10"/>
        <v>46051</v>
      </c>
      <c r="L52" s="67">
        <f t="shared" si="10"/>
        <v>46052</v>
      </c>
      <c r="M52" s="67">
        <f t="shared" si="10"/>
        <v>46053</v>
      </c>
      <c r="N52" s="67">
        <f t="shared" si="10"/>
        <v>46054</v>
      </c>
      <c r="O52" s="67">
        <f t="shared" si="10"/>
        <v>46055</v>
      </c>
      <c r="P52" s="67">
        <f t="shared" si="10"/>
        <v>46056</v>
      </c>
      <c r="Q52" s="67">
        <f t="shared" si="10"/>
        <v>46057</v>
      </c>
      <c r="R52" s="67">
        <f t="shared" si="10"/>
        <v>46058</v>
      </c>
      <c r="S52" s="67">
        <f t="shared" si="10"/>
        <v>46059</v>
      </c>
      <c r="T52" s="67">
        <f t="shared" si="10"/>
        <v>46060</v>
      </c>
      <c r="U52" s="67">
        <f t="shared" si="10"/>
        <v>46061</v>
      </c>
      <c r="V52" s="67">
        <f t="shared" si="10"/>
        <v>46062</v>
      </c>
      <c r="W52" s="67">
        <f t="shared" si="10"/>
        <v>46063</v>
      </c>
      <c r="X52" s="67">
        <f t="shared" si="10"/>
        <v>46064</v>
      </c>
      <c r="Y52" s="67">
        <f t="shared" si="10"/>
        <v>46065</v>
      </c>
      <c r="Z52" s="67">
        <f t="shared" si="10"/>
        <v>46066</v>
      </c>
      <c r="AA52" s="67">
        <f t="shared" si="10"/>
        <v>46067</v>
      </c>
      <c r="AB52" s="67">
        <f t="shared" si="10"/>
        <v>46068</v>
      </c>
      <c r="AC52" s="67">
        <f t="shared" si="10"/>
        <v>46069</v>
      </c>
      <c r="AD52" s="67">
        <f t="shared" si="10"/>
        <v>46070</v>
      </c>
      <c r="AE52" s="67">
        <f t="shared" si="10"/>
        <v>46071</v>
      </c>
      <c r="AF52" s="67">
        <f t="shared" si="10"/>
        <v>46072</v>
      </c>
      <c r="AG52" s="38">
        <f t="shared" si="10"/>
        <v>46073</v>
      </c>
      <c r="AH52" s="19"/>
      <c r="AI52" s="20"/>
      <c r="AJ52" s="20"/>
      <c r="AK52" s="20"/>
      <c r="AL52" s="20"/>
      <c r="AM52" s="20"/>
      <c r="AN52" s="20"/>
      <c r="AO52" s="20"/>
      <c r="AP52" s="20"/>
      <c r="AQ52" s="20"/>
      <c r="AR52" s="20"/>
      <c r="AS52" s="20"/>
      <c r="AT52" s="20"/>
      <c r="AU52" s="20"/>
      <c r="AV52" s="20"/>
    </row>
    <row r="53" spans="1:48" ht="18" customHeight="1">
      <c r="A53" s="35"/>
      <c r="B53" s="31" t="s">
        <v>53</v>
      </c>
      <c r="C53" s="39">
        <f>+C52</f>
        <v>46043</v>
      </c>
      <c r="D53" s="39">
        <f t="shared" si="10"/>
        <v>46044</v>
      </c>
      <c r="E53" s="39">
        <f t="shared" si="10"/>
        <v>46045</v>
      </c>
      <c r="F53" s="39">
        <f t="shared" si="10"/>
        <v>46046</v>
      </c>
      <c r="G53" s="39">
        <f t="shared" si="10"/>
        <v>46047</v>
      </c>
      <c r="H53" s="39">
        <f t="shared" si="10"/>
        <v>46048</v>
      </c>
      <c r="I53" s="39">
        <f t="shared" si="10"/>
        <v>46049</v>
      </c>
      <c r="J53" s="39">
        <f t="shared" si="10"/>
        <v>46050</v>
      </c>
      <c r="K53" s="39">
        <f t="shared" si="10"/>
        <v>46051</v>
      </c>
      <c r="L53" s="39">
        <f t="shared" si="10"/>
        <v>46052</v>
      </c>
      <c r="M53" s="39">
        <f t="shared" si="10"/>
        <v>46053</v>
      </c>
      <c r="N53" s="39">
        <f t="shared" si="10"/>
        <v>46054</v>
      </c>
      <c r="O53" s="39">
        <f t="shared" si="10"/>
        <v>46055</v>
      </c>
      <c r="P53" s="39">
        <f t="shared" si="10"/>
        <v>46056</v>
      </c>
      <c r="Q53" s="39">
        <f t="shared" si="10"/>
        <v>46057</v>
      </c>
      <c r="R53" s="39">
        <f t="shared" si="10"/>
        <v>46058</v>
      </c>
      <c r="S53" s="39">
        <f t="shared" si="10"/>
        <v>46059</v>
      </c>
      <c r="T53" s="39">
        <f t="shared" si="10"/>
        <v>46060</v>
      </c>
      <c r="U53" s="39">
        <f t="shared" si="10"/>
        <v>46061</v>
      </c>
      <c r="V53" s="39">
        <f t="shared" si="10"/>
        <v>46062</v>
      </c>
      <c r="W53" s="39">
        <f t="shared" si="10"/>
        <v>46063</v>
      </c>
      <c r="X53" s="39">
        <f t="shared" si="10"/>
        <v>46064</v>
      </c>
      <c r="Y53" s="39">
        <f t="shared" si="10"/>
        <v>46065</v>
      </c>
      <c r="Z53" s="39">
        <f t="shared" si="10"/>
        <v>46066</v>
      </c>
      <c r="AA53" s="39">
        <f t="shared" si="10"/>
        <v>46067</v>
      </c>
      <c r="AB53" s="39">
        <f t="shared" si="10"/>
        <v>46068</v>
      </c>
      <c r="AC53" s="39">
        <f t="shared" si="10"/>
        <v>46069</v>
      </c>
      <c r="AD53" s="39">
        <f t="shared" si="10"/>
        <v>46070</v>
      </c>
      <c r="AE53" s="39">
        <f t="shared" si="10"/>
        <v>46071</v>
      </c>
      <c r="AF53" s="39">
        <f t="shared" si="10"/>
        <v>46072</v>
      </c>
      <c r="AG53" s="40">
        <f t="shared" si="10"/>
        <v>46073</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
        <v>315</v>
      </c>
      <c r="D54" s="399" t="s">
        <v>315</v>
      </c>
      <c r="E54" s="399" t="s">
        <v>315</v>
      </c>
      <c r="F54" s="399" t="str">
        <f t="shared" ref="F54:AB54" si="11">IF(F$53="","",IF(F$53=$K$151,"ハローワーク来所日②",""))</f>
        <v/>
      </c>
      <c r="G54" s="399" t="str">
        <f t="shared" si="11"/>
        <v/>
      </c>
      <c r="H54" s="399" t="str">
        <f t="shared" si="11"/>
        <v>ハローワーク来所日②</v>
      </c>
      <c r="I54" s="399" t="s">
        <v>315</v>
      </c>
      <c r="J54" s="399" t="s">
        <v>316</v>
      </c>
      <c r="K54" s="399" t="s">
        <v>317</v>
      </c>
      <c r="L54" s="399"/>
      <c r="M54" s="399" t="s">
        <v>107</v>
      </c>
      <c r="N54" s="399" t="str">
        <f t="shared" si="11"/>
        <v/>
      </c>
      <c r="O54" s="399" t="s">
        <v>316</v>
      </c>
      <c r="P54" s="399" t="s">
        <v>283</v>
      </c>
      <c r="Q54" s="399"/>
      <c r="R54" s="399" t="s">
        <v>283</v>
      </c>
      <c r="S54" s="399" t="s">
        <v>283</v>
      </c>
      <c r="T54" s="399" t="s">
        <v>67</v>
      </c>
      <c r="U54" s="399" t="str">
        <f t="shared" si="11"/>
        <v/>
      </c>
      <c r="V54" s="399" t="s">
        <v>283</v>
      </c>
      <c r="W54" s="399"/>
      <c r="X54" s="399" t="str">
        <f t="shared" si="11"/>
        <v/>
      </c>
      <c r="Y54" s="399" t="s">
        <v>283</v>
      </c>
      <c r="Z54" s="399" t="s">
        <v>283</v>
      </c>
      <c r="AA54" s="399" t="str">
        <f t="shared" si="11"/>
        <v/>
      </c>
      <c r="AB54" s="399" t="str">
        <f t="shared" si="11"/>
        <v/>
      </c>
      <c r="AC54" s="399" t="s">
        <v>283</v>
      </c>
      <c r="AD54" s="399"/>
      <c r="AE54" s="399" t="s">
        <v>283</v>
      </c>
      <c r="AF54" s="399" t="s">
        <v>283</v>
      </c>
      <c r="AG54" s="402" t="s">
        <v>283</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c r="H67" s="49"/>
      <c r="I67" s="49" t="s">
        <v>64</v>
      </c>
      <c r="J67" s="44"/>
      <c r="K67" s="44"/>
      <c r="L67" s="44"/>
      <c r="M67" s="44"/>
      <c r="N67" s="44"/>
      <c r="O67" s="49"/>
      <c r="P67" s="49"/>
      <c r="Q67" s="44"/>
      <c r="R67" s="44"/>
      <c r="S67" s="44"/>
      <c r="T67" s="49"/>
      <c r="U67" s="49"/>
      <c r="V67" s="49"/>
      <c r="W67" s="49"/>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[1]機構処理!BI81</f>
        <v/>
      </c>
      <c r="AJ68" s="416"/>
      <c r="AK68" s="72"/>
      <c r="AL68" s="70"/>
      <c r="AM68" s="72"/>
      <c r="AN68" s="72"/>
      <c r="AO68" s="72"/>
      <c r="AP68" s="20"/>
      <c r="AQ68" s="20"/>
      <c r="AR68" s="20"/>
      <c r="AS68" s="20"/>
      <c r="AT68" s="20"/>
      <c r="AU68" s="20"/>
      <c r="AV68" s="20"/>
    </row>
    <row r="69" spans="1:48" ht="18" customHeight="1">
      <c r="A69" s="35"/>
      <c r="B69" s="407" t="s">
        <v>66</v>
      </c>
      <c r="C69" s="56">
        <v>6</v>
      </c>
      <c r="D69" s="57">
        <v>6</v>
      </c>
      <c r="E69" s="57">
        <v>6</v>
      </c>
      <c r="F69" s="57"/>
      <c r="G69" s="57"/>
      <c r="H69" s="57"/>
      <c r="I69" s="57">
        <v>6</v>
      </c>
      <c r="J69" s="57">
        <v>6</v>
      </c>
      <c r="K69" s="57">
        <v>6</v>
      </c>
      <c r="L69" s="57"/>
      <c r="M69" s="57">
        <v>0</v>
      </c>
      <c r="N69" s="57"/>
      <c r="O69" s="57">
        <v>6</v>
      </c>
      <c r="P69" s="57">
        <v>6</v>
      </c>
      <c r="Q69" s="57"/>
      <c r="R69" s="57">
        <v>6</v>
      </c>
      <c r="S69" s="57">
        <v>6</v>
      </c>
      <c r="T69" s="57">
        <v>0</v>
      </c>
      <c r="U69" s="57"/>
      <c r="V69" s="57">
        <v>6</v>
      </c>
      <c r="W69" s="57"/>
      <c r="X69" s="57"/>
      <c r="Y69" s="57">
        <v>6</v>
      </c>
      <c r="Z69" s="57">
        <v>6</v>
      </c>
      <c r="AA69" s="57"/>
      <c r="AB69" s="57"/>
      <c r="AC69" s="57">
        <v>6</v>
      </c>
      <c r="AD69" s="57"/>
      <c r="AE69" s="57">
        <v>6</v>
      </c>
      <c r="AF69" s="57">
        <v>6</v>
      </c>
      <c r="AG69" s="73">
        <v>6</v>
      </c>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IF(C51="","",[1]機構処理!BF41)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46074</v>
      </c>
      <c r="D73" s="33">
        <f t="shared" ref="D73:AD73" si="13">IF(OR(C73="",C72="修了日"),"",C73+1)</f>
        <v>46075</v>
      </c>
      <c r="E73" s="33">
        <f t="shared" si="13"/>
        <v>46076</v>
      </c>
      <c r="F73" s="33">
        <f t="shared" si="13"/>
        <v>46077</v>
      </c>
      <c r="G73" s="33">
        <f t="shared" si="13"/>
        <v>46078</v>
      </c>
      <c r="H73" s="33">
        <f t="shared" si="13"/>
        <v>46079</v>
      </c>
      <c r="I73" s="33">
        <f t="shared" si="13"/>
        <v>46080</v>
      </c>
      <c r="J73" s="33">
        <f t="shared" si="13"/>
        <v>46081</v>
      </c>
      <c r="K73" s="33">
        <f t="shared" si="13"/>
        <v>46082</v>
      </c>
      <c r="L73" s="33">
        <f t="shared" si="13"/>
        <v>46083</v>
      </c>
      <c r="M73" s="33">
        <f t="shared" si="13"/>
        <v>46084</v>
      </c>
      <c r="N73" s="33">
        <f t="shared" si="13"/>
        <v>46085</v>
      </c>
      <c r="O73" s="33">
        <f t="shared" si="13"/>
        <v>46086</v>
      </c>
      <c r="P73" s="33">
        <f t="shared" si="13"/>
        <v>46087</v>
      </c>
      <c r="Q73" s="33">
        <f t="shared" si="13"/>
        <v>46088</v>
      </c>
      <c r="R73" s="33">
        <f t="shared" si="13"/>
        <v>46089</v>
      </c>
      <c r="S73" s="33">
        <f t="shared" si="13"/>
        <v>46090</v>
      </c>
      <c r="T73" s="33">
        <f t="shared" si="13"/>
        <v>46091</v>
      </c>
      <c r="U73" s="33">
        <f t="shared" si="13"/>
        <v>46092</v>
      </c>
      <c r="V73" s="33">
        <f t="shared" si="13"/>
        <v>46093</v>
      </c>
      <c r="W73" s="33">
        <f t="shared" si="13"/>
        <v>46094</v>
      </c>
      <c r="X73" s="33">
        <f t="shared" si="13"/>
        <v>46095</v>
      </c>
      <c r="Y73" s="33">
        <f t="shared" si="13"/>
        <v>46096</v>
      </c>
      <c r="Z73" s="33">
        <f t="shared" si="13"/>
        <v>46097</v>
      </c>
      <c r="AA73" s="33">
        <f t="shared" si="13"/>
        <v>46098</v>
      </c>
      <c r="AB73" s="33">
        <f t="shared" si="13"/>
        <v>46099</v>
      </c>
      <c r="AC73" s="33">
        <f t="shared" si="13"/>
        <v>46100</v>
      </c>
      <c r="AD73" s="33">
        <f t="shared" si="13"/>
        <v>46101</v>
      </c>
      <c r="AE73" s="33" t="str">
        <f>IF(OR(AD73="",AD72="修了日"),"",IF(AND(DAY(DATE(YEAR(C73),2,29))=29,MONTH(C73)=2),AD73+1,IF(MONTH(C73)=2,"",AD73+1)))</f>
        <v/>
      </c>
      <c r="AF73" s="33" t="str">
        <f>IF(OR(AE73="",AE72="修了日"),"",IF(MONTH(C73)=2,"",AE73+1))</f>
        <v/>
      </c>
      <c r="AG73" s="65" t="str">
        <f>IF(OR(AF73="",AF72="修了日"),"",IF(OR(MONTH(C73)=2,MONTH(C73)=4,MONTH(C73)=6,MONTH(C73)=9,MONTH(C73)=11),"",AF73+1))</f>
        <v/>
      </c>
      <c r="AH73" s="19"/>
      <c r="AI73" s="20"/>
      <c r="AJ73" s="20"/>
      <c r="AK73" s="20"/>
      <c r="AL73" s="20"/>
      <c r="AM73" s="20"/>
      <c r="AN73" s="20"/>
      <c r="AO73" s="20"/>
      <c r="AP73" s="20"/>
      <c r="AQ73" s="20"/>
      <c r="AR73" s="20"/>
      <c r="AS73" s="20"/>
      <c r="AT73" s="20"/>
      <c r="AU73" s="20"/>
      <c r="AV73" s="20"/>
    </row>
    <row r="74" spans="1:48" ht="18.75" customHeight="1">
      <c r="A74" s="35"/>
      <c r="B74" s="31" t="s">
        <v>52</v>
      </c>
      <c r="C74" s="67">
        <f>+C73</f>
        <v>46074</v>
      </c>
      <c r="D74" s="67">
        <f t="shared" ref="D74:AG75" si="14">IF(D73="","",+D73)</f>
        <v>46075</v>
      </c>
      <c r="E74" s="67">
        <f t="shared" si="14"/>
        <v>46076</v>
      </c>
      <c r="F74" s="67">
        <f t="shared" si="14"/>
        <v>46077</v>
      </c>
      <c r="G74" s="67">
        <f t="shared" si="14"/>
        <v>46078</v>
      </c>
      <c r="H74" s="67">
        <f t="shared" si="14"/>
        <v>46079</v>
      </c>
      <c r="I74" s="67">
        <f t="shared" si="14"/>
        <v>46080</v>
      </c>
      <c r="J74" s="67">
        <f t="shared" si="14"/>
        <v>46081</v>
      </c>
      <c r="K74" s="67">
        <f t="shared" si="14"/>
        <v>46082</v>
      </c>
      <c r="L74" s="67">
        <f t="shared" si="14"/>
        <v>46083</v>
      </c>
      <c r="M74" s="67">
        <f t="shared" si="14"/>
        <v>46084</v>
      </c>
      <c r="N74" s="67">
        <f t="shared" si="14"/>
        <v>46085</v>
      </c>
      <c r="O74" s="67">
        <f t="shared" si="14"/>
        <v>46086</v>
      </c>
      <c r="P74" s="67">
        <f t="shared" si="14"/>
        <v>46087</v>
      </c>
      <c r="Q74" s="67">
        <f t="shared" si="14"/>
        <v>46088</v>
      </c>
      <c r="R74" s="67">
        <f t="shared" si="14"/>
        <v>46089</v>
      </c>
      <c r="S74" s="67">
        <f t="shared" si="14"/>
        <v>46090</v>
      </c>
      <c r="T74" s="67">
        <f t="shared" si="14"/>
        <v>46091</v>
      </c>
      <c r="U74" s="67">
        <f t="shared" si="14"/>
        <v>46092</v>
      </c>
      <c r="V74" s="67">
        <f t="shared" si="14"/>
        <v>46093</v>
      </c>
      <c r="W74" s="67">
        <f t="shared" si="14"/>
        <v>46094</v>
      </c>
      <c r="X74" s="67">
        <f t="shared" si="14"/>
        <v>46095</v>
      </c>
      <c r="Y74" s="67">
        <f t="shared" si="14"/>
        <v>46096</v>
      </c>
      <c r="Z74" s="67">
        <f t="shared" si="14"/>
        <v>46097</v>
      </c>
      <c r="AA74" s="67">
        <f t="shared" si="14"/>
        <v>46098</v>
      </c>
      <c r="AB74" s="67">
        <f t="shared" si="14"/>
        <v>46099</v>
      </c>
      <c r="AC74" s="67">
        <f t="shared" si="14"/>
        <v>46100</v>
      </c>
      <c r="AD74" s="67">
        <f t="shared" si="14"/>
        <v>46101</v>
      </c>
      <c r="AE74" s="67" t="str">
        <f t="shared" si="14"/>
        <v/>
      </c>
      <c r="AF74" s="67" t="str">
        <f t="shared" si="14"/>
        <v/>
      </c>
      <c r="AG74" s="38" t="str">
        <f t="shared" si="14"/>
        <v/>
      </c>
      <c r="AH74" s="19"/>
      <c r="AI74" s="20"/>
      <c r="AJ74" s="20"/>
      <c r="AK74" s="20"/>
      <c r="AL74" s="20"/>
      <c r="AM74" s="20"/>
      <c r="AN74" s="20"/>
      <c r="AO74" s="20"/>
      <c r="AP74" s="20"/>
      <c r="AQ74" s="20"/>
      <c r="AR74" s="20"/>
      <c r="AS74" s="20"/>
      <c r="AT74" s="20"/>
      <c r="AU74" s="20"/>
      <c r="AV74" s="20"/>
    </row>
    <row r="75" spans="1:48" ht="18.75" customHeight="1">
      <c r="A75" s="35"/>
      <c r="B75" s="31" t="s">
        <v>53</v>
      </c>
      <c r="C75" s="39">
        <f>+C74</f>
        <v>46074</v>
      </c>
      <c r="D75" s="39">
        <f t="shared" si="14"/>
        <v>46075</v>
      </c>
      <c r="E75" s="39">
        <f t="shared" si="14"/>
        <v>46076</v>
      </c>
      <c r="F75" s="39">
        <f t="shared" si="14"/>
        <v>46077</v>
      </c>
      <c r="G75" s="39">
        <f t="shared" si="14"/>
        <v>46078</v>
      </c>
      <c r="H75" s="39">
        <f t="shared" si="14"/>
        <v>46079</v>
      </c>
      <c r="I75" s="39">
        <f t="shared" si="14"/>
        <v>46080</v>
      </c>
      <c r="J75" s="39">
        <f t="shared" si="14"/>
        <v>46081</v>
      </c>
      <c r="K75" s="39">
        <f t="shared" si="14"/>
        <v>46082</v>
      </c>
      <c r="L75" s="39">
        <f t="shared" si="14"/>
        <v>46083</v>
      </c>
      <c r="M75" s="39">
        <f t="shared" si="14"/>
        <v>46084</v>
      </c>
      <c r="N75" s="39">
        <f t="shared" si="14"/>
        <v>46085</v>
      </c>
      <c r="O75" s="39">
        <f t="shared" si="14"/>
        <v>46086</v>
      </c>
      <c r="P75" s="39">
        <f t="shared" si="14"/>
        <v>46087</v>
      </c>
      <c r="Q75" s="39">
        <f t="shared" si="14"/>
        <v>46088</v>
      </c>
      <c r="R75" s="39">
        <f t="shared" si="14"/>
        <v>46089</v>
      </c>
      <c r="S75" s="39">
        <f t="shared" si="14"/>
        <v>46090</v>
      </c>
      <c r="T75" s="39">
        <f t="shared" si="14"/>
        <v>46091</v>
      </c>
      <c r="U75" s="39">
        <f t="shared" si="14"/>
        <v>46092</v>
      </c>
      <c r="V75" s="39">
        <f t="shared" si="14"/>
        <v>46093</v>
      </c>
      <c r="W75" s="39">
        <f t="shared" si="14"/>
        <v>46094</v>
      </c>
      <c r="X75" s="39">
        <f t="shared" si="14"/>
        <v>46095</v>
      </c>
      <c r="Y75" s="39">
        <f t="shared" si="14"/>
        <v>46096</v>
      </c>
      <c r="Z75" s="39">
        <f t="shared" si="14"/>
        <v>46097</v>
      </c>
      <c r="AA75" s="39">
        <f t="shared" si="14"/>
        <v>46098</v>
      </c>
      <c r="AB75" s="39">
        <f t="shared" si="14"/>
        <v>46099</v>
      </c>
      <c r="AC75" s="39">
        <f t="shared" si="14"/>
        <v>46100</v>
      </c>
      <c r="AD75" s="39">
        <f t="shared" si="14"/>
        <v>46101</v>
      </c>
      <c r="AE75" s="39" t="str">
        <f t="shared" si="14"/>
        <v/>
      </c>
      <c r="AF75" s="39" t="str">
        <f t="shared" si="14"/>
        <v/>
      </c>
      <c r="AG75" s="40" t="str">
        <f t="shared" si="14"/>
        <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tr">
        <f t="shared" ref="C76:AG76" si="15">IF(C$75="","",IF(C$75=$K$152,"ハローワーク来所日③",""))</f>
        <v/>
      </c>
      <c r="D76" s="399" t="str">
        <f t="shared" si="15"/>
        <v/>
      </c>
      <c r="E76" s="399" t="str">
        <f t="shared" si="15"/>
        <v/>
      </c>
      <c r="F76" s="399" t="s">
        <v>283</v>
      </c>
      <c r="G76" s="399" t="s">
        <v>283</v>
      </c>
      <c r="H76" s="399" t="str">
        <f t="shared" si="15"/>
        <v>ハローワーク来所日③</v>
      </c>
      <c r="I76" s="399" t="s">
        <v>283</v>
      </c>
      <c r="J76" s="399" t="str">
        <f t="shared" si="15"/>
        <v/>
      </c>
      <c r="K76" s="399" t="str">
        <f t="shared" si="15"/>
        <v/>
      </c>
      <c r="L76" s="399" t="s">
        <v>283</v>
      </c>
      <c r="M76" s="399"/>
      <c r="N76" s="399" t="s">
        <v>224</v>
      </c>
      <c r="O76" s="399" t="s">
        <v>283</v>
      </c>
      <c r="P76" s="399" t="s">
        <v>318</v>
      </c>
      <c r="Q76" s="399" t="str">
        <f t="shared" si="15"/>
        <v/>
      </c>
      <c r="R76" s="399" t="str">
        <f t="shared" si="15"/>
        <v/>
      </c>
      <c r="S76" s="399" t="s">
        <v>318</v>
      </c>
      <c r="T76" s="399" t="s">
        <v>318</v>
      </c>
      <c r="U76" s="399"/>
      <c r="V76" s="399" t="s">
        <v>318</v>
      </c>
      <c r="W76" s="399" t="s">
        <v>318</v>
      </c>
      <c r="X76" s="399" t="str">
        <f t="shared" si="15"/>
        <v/>
      </c>
      <c r="Y76" s="399" t="str">
        <f t="shared" si="15"/>
        <v/>
      </c>
      <c r="Z76" s="399" t="s">
        <v>286</v>
      </c>
      <c r="AA76" s="399" t="str">
        <f t="shared" si="15"/>
        <v/>
      </c>
      <c r="AB76" s="399" t="s">
        <v>284</v>
      </c>
      <c r="AC76" s="399" t="s">
        <v>284</v>
      </c>
      <c r="AD76" s="399" t="str">
        <f t="shared" si="15"/>
        <v/>
      </c>
      <c r="AE76" s="399" t="str">
        <f t="shared" si="15"/>
        <v/>
      </c>
      <c r="AF76" s="399" t="str">
        <f t="shared" si="15"/>
        <v/>
      </c>
      <c r="AG76" s="402" t="str">
        <f t="shared" si="15"/>
        <v/>
      </c>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4"/>
      <c r="T89" s="49"/>
      <c r="U89" s="49"/>
      <c r="V89" s="49"/>
      <c r="W89" s="49" t="s">
        <v>64</v>
      </c>
      <c r="X89" s="44"/>
      <c r="Y89" s="44"/>
      <c r="Z89" s="49"/>
      <c r="AA89" s="44"/>
      <c r="AB89" s="49"/>
      <c r="AC89" s="49"/>
      <c r="AD89" s="44"/>
      <c r="AE89" s="44"/>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4"/>
      <c r="AA90" s="53"/>
      <c r="AB90" s="54"/>
      <c r="AC90" s="54"/>
      <c r="AD90" s="53"/>
      <c r="AE90" s="53"/>
      <c r="AF90" s="53"/>
      <c r="AG90" s="71"/>
      <c r="AH90" s="132" t="str">
        <f>IF(AI90="","","←")</f>
        <v/>
      </c>
      <c r="AI90" s="417" t="str">
        <f>[1]機構処理!BI85</f>
        <v/>
      </c>
      <c r="AJ90" s="417"/>
      <c r="AK90" s="72"/>
      <c r="AL90" s="70"/>
      <c r="AM90" s="72"/>
      <c r="AN90" s="72"/>
      <c r="AO90" s="72"/>
      <c r="AP90" s="20"/>
      <c r="AQ90" s="20"/>
      <c r="AR90" s="20"/>
      <c r="AS90" s="20"/>
      <c r="AT90" s="20"/>
      <c r="AU90" s="20"/>
      <c r="AV90" s="20"/>
    </row>
    <row r="91" spans="1:48" ht="18" customHeight="1">
      <c r="A91" s="35"/>
      <c r="B91" s="407" t="s">
        <v>66</v>
      </c>
      <c r="C91" s="56"/>
      <c r="D91" s="57"/>
      <c r="E91" s="57"/>
      <c r="F91" s="57">
        <v>6</v>
      </c>
      <c r="G91" s="57">
        <v>6</v>
      </c>
      <c r="H91" s="57"/>
      <c r="I91" s="57">
        <v>6</v>
      </c>
      <c r="J91" s="57"/>
      <c r="K91" s="57"/>
      <c r="L91" s="57">
        <v>6</v>
      </c>
      <c r="M91" s="57"/>
      <c r="N91" s="57">
        <v>6</v>
      </c>
      <c r="O91" s="57">
        <v>6</v>
      </c>
      <c r="P91" s="57">
        <v>6</v>
      </c>
      <c r="Q91" s="57"/>
      <c r="R91" s="57"/>
      <c r="S91" s="57">
        <v>6</v>
      </c>
      <c r="T91" s="57">
        <v>6</v>
      </c>
      <c r="U91" s="57"/>
      <c r="V91" s="57">
        <v>6</v>
      </c>
      <c r="W91" s="57">
        <v>6</v>
      </c>
      <c r="X91" s="57"/>
      <c r="Y91" s="57"/>
      <c r="Z91" s="57">
        <v>6</v>
      </c>
      <c r="AA91" s="57"/>
      <c r="AB91" s="57">
        <v>6</v>
      </c>
      <c r="AC91" s="57">
        <v>6</v>
      </c>
      <c r="AD91" s="57"/>
      <c r="AE91" s="57"/>
      <c r="AF91" s="57"/>
      <c r="AG91" s="73"/>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IF(C73="","",[1]機構処理!BF47)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46102</v>
      </c>
      <c r="D95" s="33">
        <f t="shared" ref="D95:AD95" si="17">IF(OR(C95="",C94="修了日"),"",C95+1)</f>
        <v>46103</v>
      </c>
      <c r="E95" s="33">
        <f t="shared" si="17"/>
        <v>46104</v>
      </c>
      <c r="F95" s="33">
        <f t="shared" si="17"/>
        <v>46105</v>
      </c>
      <c r="G95" s="33">
        <f t="shared" si="17"/>
        <v>46106</v>
      </c>
      <c r="H95" s="33">
        <f t="shared" si="17"/>
        <v>46107</v>
      </c>
      <c r="I95" s="33">
        <f t="shared" si="17"/>
        <v>46108</v>
      </c>
      <c r="J95" s="33">
        <f t="shared" si="17"/>
        <v>46109</v>
      </c>
      <c r="K95" s="33">
        <f t="shared" si="17"/>
        <v>46110</v>
      </c>
      <c r="L95" s="33">
        <f t="shared" si="17"/>
        <v>46111</v>
      </c>
      <c r="M95" s="33">
        <f t="shared" si="17"/>
        <v>46112</v>
      </c>
      <c r="N95" s="33">
        <f t="shared" si="17"/>
        <v>46113</v>
      </c>
      <c r="O95" s="33">
        <f t="shared" si="17"/>
        <v>46114</v>
      </c>
      <c r="P95" s="33">
        <f t="shared" si="17"/>
        <v>46115</v>
      </c>
      <c r="Q95" s="33">
        <f t="shared" si="17"/>
        <v>46116</v>
      </c>
      <c r="R95" s="33">
        <f t="shared" si="17"/>
        <v>46117</v>
      </c>
      <c r="S95" s="33">
        <f t="shared" si="17"/>
        <v>46118</v>
      </c>
      <c r="T95" s="33">
        <f t="shared" si="17"/>
        <v>46119</v>
      </c>
      <c r="U95" s="33">
        <f t="shared" si="17"/>
        <v>46120</v>
      </c>
      <c r="V95" s="33">
        <f t="shared" si="17"/>
        <v>46121</v>
      </c>
      <c r="W95" s="33">
        <f t="shared" si="17"/>
        <v>46122</v>
      </c>
      <c r="X95" s="33">
        <f t="shared" si="17"/>
        <v>46123</v>
      </c>
      <c r="Y95" s="33">
        <f t="shared" si="17"/>
        <v>46124</v>
      </c>
      <c r="Z95" s="33">
        <f t="shared" si="17"/>
        <v>46125</v>
      </c>
      <c r="AA95" s="33">
        <f t="shared" si="17"/>
        <v>46126</v>
      </c>
      <c r="AB95" s="33">
        <f t="shared" si="17"/>
        <v>46127</v>
      </c>
      <c r="AC95" s="33">
        <f t="shared" si="17"/>
        <v>46128</v>
      </c>
      <c r="AD95" s="33">
        <f t="shared" si="17"/>
        <v>46129</v>
      </c>
      <c r="AE95" s="33">
        <f>IF(OR(AD95="",AD94="修了日"),"",IF(AND(DAY(DATE(YEAR(C95),2,29))=29,MONTH(C95)=2),AD95+1,IF(MONTH(C95)=2,"",AD95+1)))</f>
        <v>46130</v>
      </c>
      <c r="AF95" s="33">
        <f>IF(OR(AE95="",AE94="修了日"),"",IF(MONTH(C95)=2,"",AE95+1))</f>
        <v>46131</v>
      </c>
      <c r="AG95" s="65">
        <f>IF(OR(AF95="",AF94="修了日"),"",IF(OR(MONTH(C95)=2,MONTH(C95)=4,MONTH(C95)=6,MONTH(C95)=9,MONTH(C95)=11),"",AF95+1))</f>
        <v>46132</v>
      </c>
      <c r="AH95" s="19"/>
      <c r="AI95" s="20"/>
      <c r="AJ95" s="20"/>
      <c r="AK95" s="20"/>
      <c r="AL95" s="20"/>
      <c r="AM95" s="20"/>
      <c r="AN95" s="20"/>
      <c r="AO95" s="20"/>
      <c r="AP95" s="20"/>
      <c r="AQ95" s="20"/>
      <c r="AR95" s="20"/>
      <c r="AS95" s="20"/>
      <c r="AT95" s="20"/>
      <c r="AU95" s="20"/>
      <c r="AV95" s="20"/>
    </row>
    <row r="96" spans="1:48" ht="18" customHeight="1">
      <c r="A96" s="35"/>
      <c r="B96" s="79" t="s">
        <v>52</v>
      </c>
      <c r="C96" s="36">
        <f>+C95</f>
        <v>46102</v>
      </c>
      <c r="D96" s="67">
        <f t="shared" ref="D96:AG97" si="18">IF(D95="","",+D95)</f>
        <v>46103</v>
      </c>
      <c r="E96" s="67">
        <f t="shared" si="18"/>
        <v>46104</v>
      </c>
      <c r="F96" s="67">
        <f t="shared" si="18"/>
        <v>46105</v>
      </c>
      <c r="G96" s="67">
        <f t="shared" si="18"/>
        <v>46106</v>
      </c>
      <c r="H96" s="67">
        <f t="shared" si="18"/>
        <v>46107</v>
      </c>
      <c r="I96" s="67">
        <f t="shared" si="18"/>
        <v>46108</v>
      </c>
      <c r="J96" s="67">
        <f t="shared" si="18"/>
        <v>46109</v>
      </c>
      <c r="K96" s="67">
        <f t="shared" si="18"/>
        <v>46110</v>
      </c>
      <c r="L96" s="67">
        <f t="shared" si="18"/>
        <v>46111</v>
      </c>
      <c r="M96" s="67">
        <f t="shared" si="18"/>
        <v>46112</v>
      </c>
      <c r="N96" s="67">
        <f t="shared" si="18"/>
        <v>46113</v>
      </c>
      <c r="O96" s="67">
        <f t="shared" si="18"/>
        <v>46114</v>
      </c>
      <c r="P96" s="67">
        <f t="shared" si="18"/>
        <v>46115</v>
      </c>
      <c r="Q96" s="67">
        <f t="shared" si="18"/>
        <v>46116</v>
      </c>
      <c r="R96" s="67">
        <f t="shared" si="18"/>
        <v>46117</v>
      </c>
      <c r="S96" s="67">
        <f t="shared" si="18"/>
        <v>46118</v>
      </c>
      <c r="T96" s="67">
        <f t="shared" si="18"/>
        <v>46119</v>
      </c>
      <c r="U96" s="67">
        <f t="shared" si="18"/>
        <v>46120</v>
      </c>
      <c r="V96" s="67">
        <f t="shared" si="18"/>
        <v>46121</v>
      </c>
      <c r="W96" s="67">
        <f t="shared" si="18"/>
        <v>46122</v>
      </c>
      <c r="X96" s="67">
        <f t="shared" si="18"/>
        <v>46123</v>
      </c>
      <c r="Y96" s="67">
        <f t="shared" si="18"/>
        <v>46124</v>
      </c>
      <c r="Z96" s="67">
        <f t="shared" si="18"/>
        <v>46125</v>
      </c>
      <c r="AA96" s="67">
        <f t="shared" si="18"/>
        <v>46126</v>
      </c>
      <c r="AB96" s="67">
        <f t="shared" si="18"/>
        <v>46127</v>
      </c>
      <c r="AC96" s="67">
        <f t="shared" si="18"/>
        <v>46128</v>
      </c>
      <c r="AD96" s="67">
        <f t="shared" si="18"/>
        <v>46129</v>
      </c>
      <c r="AE96" s="67">
        <f t="shared" si="18"/>
        <v>46130</v>
      </c>
      <c r="AF96" s="67">
        <f t="shared" si="18"/>
        <v>46131</v>
      </c>
      <c r="AG96" s="38">
        <f t="shared" si="18"/>
        <v>46132</v>
      </c>
      <c r="AH96" s="19"/>
      <c r="AI96" s="20"/>
      <c r="AJ96" s="20"/>
      <c r="AK96" s="20"/>
      <c r="AL96" s="20"/>
      <c r="AM96" s="20"/>
      <c r="AN96" s="20"/>
      <c r="AO96" s="20"/>
      <c r="AP96" s="20"/>
      <c r="AQ96" s="20"/>
      <c r="AR96" s="20"/>
      <c r="AS96" s="20"/>
      <c r="AT96" s="20"/>
      <c r="AU96" s="20"/>
      <c r="AV96" s="20"/>
    </row>
    <row r="97" spans="1:48" ht="18" customHeight="1">
      <c r="A97" s="35"/>
      <c r="B97" s="80" t="s">
        <v>53</v>
      </c>
      <c r="C97" s="81">
        <f>+C96</f>
        <v>46102</v>
      </c>
      <c r="D97" s="39">
        <f t="shared" si="18"/>
        <v>46103</v>
      </c>
      <c r="E97" s="39">
        <f t="shared" si="18"/>
        <v>46104</v>
      </c>
      <c r="F97" s="39">
        <f t="shared" si="18"/>
        <v>46105</v>
      </c>
      <c r="G97" s="39">
        <f t="shared" si="18"/>
        <v>46106</v>
      </c>
      <c r="H97" s="39">
        <f t="shared" si="18"/>
        <v>46107</v>
      </c>
      <c r="I97" s="39">
        <f t="shared" si="18"/>
        <v>46108</v>
      </c>
      <c r="J97" s="39">
        <f t="shared" si="18"/>
        <v>46109</v>
      </c>
      <c r="K97" s="39">
        <f t="shared" si="18"/>
        <v>46110</v>
      </c>
      <c r="L97" s="39">
        <f t="shared" si="18"/>
        <v>46111</v>
      </c>
      <c r="M97" s="39">
        <f t="shared" si="18"/>
        <v>46112</v>
      </c>
      <c r="N97" s="39">
        <f t="shared" si="18"/>
        <v>46113</v>
      </c>
      <c r="O97" s="39">
        <f t="shared" si="18"/>
        <v>46114</v>
      </c>
      <c r="P97" s="39">
        <f t="shared" si="18"/>
        <v>46115</v>
      </c>
      <c r="Q97" s="39">
        <f t="shared" si="18"/>
        <v>46116</v>
      </c>
      <c r="R97" s="39">
        <f t="shared" si="18"/>
        <v>46117</v>
      </c>
      <c r="S97" s="39">
        <f t="shared" si="18"/>
        <v>46118</v>
      </c>
      <c r="T97" s="39">
        <f t="shared" si="18"/>
        <v>46119</v>
      </c>
      <c r="U97" s="39">
        <f t="shared" si="18"/>
        <v>46120</v>
      </c>
      <c r="V97" s="39">
        <f t="shared" si="18"/>
        <v>46121</v>
      </c>
      <c r="W97" s="39">
        <f t="shared" si="18"/>
        <v>46122</v>
      </c>
      <c r="X97" s="39">
        <f t="shared" si="18"/>
        <v>46123</v>
      </c>
      <c r="Y97" s="39">
        <f t="shared" si="18"/>
        <v>46124</v>
      </c>
      <c r="Z97" s="39">
        <f t="shared" si="18"/>
        <v>46125</v>
      </c>
      <c r="AA97" s="39">
        <f t="shared" si="18"/>
        <v>46126</v>
      </c>
      <c r="AB97" s="39">
        <f t="shared" si="18"/>
        <v>46127</v>
      </c>
      <c r="AC97" s="39">
        <f t="shared" si="18"/>
        <v>46128</v>
      </c>
      <c r="AD97" s="39">
        <f t="shared" si="18"/>
        <v>46129</v>
      </c>
      <c r="AE97" s="39">
        <f t="shared" si="18"/>
        <v>46130</v>
      </c>
      <c r="AF97" s="39">
        <f t="shared" si="18"/>
        <v>46131</v>
      </c>
      <c r="AG97" s="40">
        <f t="shared" si="18"/>
        <v>46132</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12" t="str">
        <f t="shared" ref="C98:AF98" si="19">IF(C$97="","",IF(C$97=$K$153,"ハローワーク来所日④",""))</f>
        <v/>
      </c>
      <c r="D98" s="399" t="str">
        <f t="shared" si="19"/>
        <v/>
      </c>
      <c r="E98" s="399" t="s">
        <v>284</v>
      </c>
      <c r="F98" s="399" t="s">
        <v>284</v>
      </c>
      <c r="G98" s="399"/>
      <c r="H98" s="399" t="str">
        <f t="shared" si="19"/>
        <v>ハローワーク来所日④</v>
      </c>
      <c r="I98" s="399" t="s">
        <v>284</v>
      </c>
      <c r="J98" s="399" t="str">
        <f t="shared" si="19"/>
        <v/>
      </c>
      <c r="K98" s="399" t="str">
        <f t="shared" si="19"/>
        <v/>
      </c>
      <c r="L98" s="399"/>
      <c r="M98" s="399" t="s">
        <v>284</v>
      </c>
      <c r="N98" s="399"/>
      <c r="O98" s="399" t="s">
        <v>284</v>
      </c>
      <c r="P98" s="399" t="s">
        <v>317</v>
      </c>
      <c r="Q98" s="399" t="str">
        <f t="shared" si="19"/>
        <v/>
      </c>
      <c r="R98" s="399" t="str">
        <f t="shared" si="19"/>
        <v/>
      </c>
      <c r="S98" s="399" t="s">
        <v>284</v>
      </c>
      <c r="T98" s="399"/>
      <c r="U98" s="399"/>
      <c r="V98" s="399" t="s">
        <v>284</v>
      </c>
      <c r="W98" s="399" t="s">
        <v>284</v>
      </c>
      <c r="X98" s="399" t="str">
        <f t="shared" si="19"/>
        <v/>
      </c>
      <c r="Y98" s="399" t="str">
        <f t="shared" si="19"/>
        <v/>
      </c>
      <c r="Z98" s="399" t="s">
        <v>284</v>
      </c>
      <c r="AA98" s="399" t="s">
        <v>286</v>
      </c>
      <c r="AB98" s="399" t="str">
        <f t="shared" si="19"/>
        <v/>
      </c>
      <c r="AC98" s="399" t="s">
        <v>285</v>
      </c>
      <c r="AD98" s="399" t="s">
        <v>285</v>
      </c>
      <c r="AE98" s="399" t="str">
        <f t="shared" si="19"/>
        <v/>
      </c>
      <c r="AF98" s="399" t="str">
        <f t="shared" si="19"/>
        <v/>
      </c>
      <c r="AG98" s="402" t="s">
        <v>285</v>
      </c>
      <c r="AH98" s="211">
        <v>1</v>
      </c>
      <c r="AI98" s="20"/>
      <c r="AJ98" s="20"/>
      <c r="AK98" s="20"/>
      <c r="AL98" s="20"/>
      <c r="AM98" s="20"/>
      <c r="AN98" s="20"/>
      <c r="AO98" s="20"/>
      <c r="AP98" s="20"/>
      <c r="AQ98" s="20"/>
      <c r="AR98" s="20"/>
      <c r="AS98" s="20"/>
      <c r="AT98" s="20"/>
      <c r="AU98" s="20"/>
      <c r="AV98" s="20"/>
    </row>
    <row r="99" spans="1:48" ht="18" customHeight="1">
      <c r="A99" s="411"/>
      <c r="B99" s="41"/>
      <c r="C99" s="413"/>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13"/>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13"/>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13"/>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13"/>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13"/>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13"/>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13"/>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13"/>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13"/>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14"/>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4"/>
      <c r="J110" s="44"/>
      <c r="K110" s="44"/>
      <c r="L110" s="44"/>
      <c r="M110" s="44"/>
      <c r="N110" s="44"/>
      <c r="O110" s="44"/>
      <c r="P110" s="44"/>
      <c r="Q110" s="44"/>
      <c r="R110" s="44"/>
      <c r="S110" s="44"/>
      <c r="T110" s="49"/>
      <c r="U110" s="44"/>
      <c r="V110" s="49"/>
      <c r="W110" s="49"/>
      <c r="X110" s="44"/>
      <c r="Y110" s="44"/>
      <c r="Z110" s="44" t="s">
        <v>64</v>
      </c>
      <c r="AA110" s="49"/>
      <c r="AB110" s="49"/>
      <c r="AC110" s="49"/>
      <c r="AD110" s="49"/>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3"/>
      <c r="J111" s="53"/>
      <c r="K111" s="53"/>
      <c r="L111" s="53"/>
      <c r="M111" s="53"/>
      <c r="N111" s="53"/>
      <c r="O111" s="53"/>
      <c r="P111" s="53"/>
      <c r="Q111" s="53"/>
      <c r="R111" s="53"/>
      <c r="S111" s="53"/>
      <c r="T111" s="54"/>
      <c r="U111" s="53"/>
      <c r="V111" s="54"/>
      <c r="W111" s="54"/>
      <c r="X111" s="53"/>
      <c r="Y111" s="53"/>
      <c r="Z111" s="53"/>
      <c r="AA111" s="54"/>
      <c r="AB111" s="54"/>
      <c r="AC111" s="54"/>
      <c r="AD111" s="54"/>
      <c r="AE111" s="53"/>
      <c r="AF111" s="53"/>
      <c r="AG111" s="71"/>
      <c r="AH111" s="132" t="str">
        <f>IF(AI111="","","←")</f>
        <v/>
      </c>
      <c r="AI111" s="416" t="str">
        <f>[1]機構処理!BI89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c r="D112" s="57"/>
      <c r="E112" s="57">
        <v>6</v>
      </c>
      <c r="F112" s="57">
        <v>6</v>
      </c>
      <c r="G112" s="57"/>
      <c r="H112" s="57"/>
      <c r="I112" s="57">
        <v>6</v>
      </c>
      <c r="J112" s="57"/>
      <c r="K112" s="57"/>
      <c r="L112" s="57"/>
      <c r="M112" s="57">
        <v>6</v>
      </c>
      <c r="N112" s="57"/>
      <c r="O112" s="57">
        <v>6</v>
      </c>
      <c r="P112" s="57">
        <v>6</v>
      </c>
      <c r="Q112" s="57"/>
      <c r="R112" s="57"/>
      <c r="S112" s="57">
        <v>6</v>
      </c>
      <c r="T112" s="57"/>
      <c r="U112" s="57"/>
      <c r="V112" s="57">
        <v>6</v>
      </c>
      <c r="W112" s="57">
        <v>6</v>
      </c>
      <c r="X112" s="57"/>
      <c r="Y112" s="57"/>
      <c r="Z112" s="57">
        <v>6</v>
      </c>
      <c r="AA112" s="57">
        <v>6</v>
      </c>
      <c r="AB112" s="57"/>
      <c r="AC112" s="57">
        <v>6</v>
      </c>
      <c r="AD112" s="57">
        <v>6</v>
      </c>
      <c r="AE112" s="57"/>
      <c r="AF112" s="57"/>
      <c r="AG112" s="73">
        <v>6</v>
      </c>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IF(C95="","",[1]機構処理!BF53)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
      </c>
      <c r="AE115" s="28" t="str">
        <f t="shared" si="20"/>
        <v/>
      </c>
      <c r="AF115" s="28" t="str">
        <f t="shared" si="20"/>
        <v>修了日</v>
      </c>
      <c r="AG115" s="28" t="str">
        <f t="shared" si="20"/>
        <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46133</v>
      </c>
      <c r="D116" s="33">
        <f t="shared" ref="D116:AD116" si="21">IF(OR(C116="",C115="修了日"),"",C116+1)</f>
        <v>46134</v>
      </c>
      <c r="E116" s="33">
        <f t="shared" si="21"/>
        <v>46135</v>
      </c>
      <c r="F116" s="33">
        <f t="shared" si="21"/>
        <v>46136</v>
      </c>
      <c r="G116" s="33">
        <f t="shared" si="21"/>
        <v>46137</v>
      </c>
      <c r="H116" s="33">
        <f t="shared" si="21"/>
        <v>46138</v>
      </c>
      <c r="I116" s="33">
        <f t="shared" si="21"/>
        <v>46139</v>
      </c>
      <c r="J116" s="33">
        <f t="shared" si="21"/>
        <v>46140</v>
      </c>
      <c r="K116" s="33">
        <f t="shared" si="21"/>
        <v>46141</v>
      </c>
      <c r="L116" s="33">
        <f t="shared" si="21"/>
        <v>46142</v>
      </c>
      <c r="M116" s="33">
        <f t="shared" si="21"/>
        <v>46143</v>
      </c>
      <c r="N116" s="33">
        <f t="shared" si="21"/>
        <v>46144</v>
      </c>
      <c r="O116" s="33">
        <f t="shared" si="21"/>
        <v>46145</v>
      </c>
      <c r="P116" s="33">
        <f t="shared" si="21"/>
        <v>46146</v>
      </c>
      <c r="Q116" s="33">
        <f t="shared" si="21"/>
        <v>46147</v>
      </c>
      <c r="R116" s="33">
        <f t="shared" si="21"/>
        <v>46148</v>
      </c>
      <c r="S116" s="33">
        <f t="shared" si="21"/>
        <v>46149</v>
      </c>
      <c r="T116" s="33">
        <f t="shared" si="21"/>
        <v>46150</v>
      </c>
      <c r="U116" s="33">
        <f t="shared" si="21"/>
        <v>46151</v>
      </c>
      <c r="V116" s="33">
        <f t="shared" si="21"/>
        <v>46152</v>
      </c>
      <c r="W116" s="33">
        <f t="shared" si="21"/>
        <v>46153</v>
      </c>
      <c r="X116" s="33">
        <f t="shared" si="21"/>
        <v>46154</v>
      </c>
      <c r="Y116" s="33">
        <f t="shared" si="21"/>
        <v>46155</v>
      </c>
      <c r="Z116" s="33">
        <f t="shared" si="21"/>
        <v>46156</v>
      </c>
      <c r="AA116" s="33">
        <f t="shared" si="21"/>
        <v>46157</v>
      </c>
      <c r="AB116" s="33">
        <f t="shared" si="21"/>
        <v>46158</v>
      </c>
      <c r="AC116" s="33">
        <f t="shared" si="21"/>
        <v>46159</v>
      </c>
      <c r="AD116" s="33">
        <f t="shared" si="21"/>
        <v>46160</v>
      </c>
      <c r="AE116" s="33">
        <f>IF(OR(AD116="",AD115="修了日"),"",IF(AND(DAY(DATE(YEAR(C116),2,29))=29,MONTH(C116)=2),AD116+1,IF(MONTH(C116)=2,"",AD116+1)))</f>
        <v>46161</v>
      </c>
      <c r="AF116" s="33">
        <f>IF(OR(AE116="",AE115="修了日"),"",IF(MONTH(C116)=2,"",AE116+1))</f>
        <v>46162</v>
      </c>
      <c r="AG116" s="65" t="str">
        <f>IF(OR(AF116="",AF115="修了日"),"",IF(OR(MONTH(C116)=2,MONTH(C116)=4,MONTH(C116)=6,MONTH(C116)=9,MONTH(C116)=11),"",AF116+1))</f>
        <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46133</v>
      </c>
      <c r="D117" s="67">
        <f t="shared" ref="D117:AG118" si="22">IF(D116="","",+D116)</f>
        <v>46134</v>
      </c>
      <c r="E117" s="67">
        <f t="shared" si="22"/>
        <v>46135</v>
      </c>
      <c r="F117" s="67">
        <f t="shared" si="22"/>
        <v>46136</v>
      </c>
      <c r="G117" s="67">
        <f t="shared" si="22"/>
        <v>46137</v>
      </c>
      <c r="H117" s="67">
        <f t="shared" si="22"/>
        <v>46138</v>
      </c>
      <c r="I117" s="67">
        <f t="shared" si="22"/>
        <v>46139</v>
      </c>
      <c r="J117" s="67">
        <f t="shared" si="22"/>
        <v>46140</v>
      </c>
      <c r="K117" s="67">
        <f t="shared" si="22"/>
        <v>46141</v>
      </c>
      <c r="L117" s="67">
        <f t="shared" si="22"/>
        <v>46142</v>
      </c>
      <c r="M117" s="67">
        <f t="shared" si="22"/>
        <v>46143</v>
      </c>
      <c r="N117" s="67">
        <f t="shared" si="22"/>
        <v>46144</v>
      </c>
      <c r="O117" s="67">
        <f t="shared" si="22"/>
        <v>46145</v>
      </c>
      <c r="P117" s="67">
        <f t="shared" si="22"/>
        <v>46146</v>
      </c>
      <c r="Q117" s="67">
        <f t="shared" si="22"/>
        <v>46147</v>
      </c>
      <c r="R117" s="67">
        <f t="shared" si="22"/>
        <v>46148</v>
      </c>
      <c r="S117" s="67">
        <f t="shared" si="22"/>
        <v>46149</v>
      </c>
      <c r="T117" s="67">
        <f t="shared" si="22"/>
        <v>46150</v>
      </c>
      <c r="U117" s="67">
        <f t="shared" si="22"/>
        <v>46151</v>
      </c>
      <c r="V117" s="67">
        <f t="shared" si="22"/>
        <v>46152</v>
      </c>
      <c r="W117" s="67">
        <f t="shared" si="22"/>
        <v>46153</v>
      </c>
      <c r="X117" s="67">
        <f t="shared" si="22"/>
        <v>46154</v>
      </c>
      <c r="Y117" s="67">
        <f t="shared" si="22"/>
        <v>46155</v>
      </c>
      <c r="Z117" s="67">
        <f t="shared" si="22"/>
        <v>46156</v>
      </c>
      <c r="AA117" s="67">
        <f t="shared" si="22"/>
        <v>46157</v>
      </c>
      <c r="AB117" s="67">
        <f t="shared" si="22"/>
        <v>46158</v>
      </c>
      <c r="AC117" s="67">
        <f t="shared" si="22"/>
        <v>46159</v>
      </c>
      <c r="AD117" s="67">
        <f t="shared" si="22"/>
        <v>46160</v>
      </c>
      <c r="AE117" s="67">
        <f t="shared" si="22"/>
        <v>46161</v>
      </c>
      <c r="AF117" s="67">
        <f t="shared" si="22"/>
        <v>46162</v>
      </c>
      <c r="AG117" s="38" t="str">
        <f t="shared" si="22"/>
        <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46133</v>
      </c>
      <c r="D118" s="39">
        <f t="shared" si="22"/>
        <v>46134</v>
      </c>
      <c r="E118" s="39">
        <f t="shared" si="22"/>
        <v>46135</v>
      </c>
      <c r="F118" s="39">
        <f t="shared" si="22"/>
        <v>46136</v>
      </c>
      <c r="G118" s="39">
        <f t="shared" si="22"/>
        <v>46137</v>
      </c>
      <c r="H118" s="39">
        <f t="shared" si="22"/>
        <v>46138</v>
      </c>
      <c r="I118" s="39">
        <f t="shared" si="22"/>
        <v>46139</v>
      </c>
      <c r="J118" s="39">
        <f t="shared" si="22"/>
        <v>46140</v>
      </c>
      <c r="K118" s="39">
        <f t="shared" si="22"/>
        <v>46141</v>
      </c>
      <c r="L118" s="39">
        <f t="shared" si="22"/>
        <v>46142</v>
      </c>
      <c r="M118" s="39">
        <f t="shared" si="22"/>
        <v>46143</v>
      </c>
      <c r="N118" s="39">
        <f t="shared" si="22"/>
        <v>46144</v>
      </c>
      <c r="O118" s="39">
        <f t="shared" si="22"/>
        <v>46145</v>
      </c>
      <c r="P118" s="39">
        <f t="shared" si="22"/>
        <v>46146</v>
      </c>
      <c r="Q118" s="39">
        <f t="shared" si="22"/>
        <v>46147</v>
      </c>
      <c r="R118" s="39">
        <f t="shared" si="22"/>
        <v>46148</v>
      </c>
      <c r="S118" s="39">
        <f t="shared" si="22"/>
        <v>46149</v>
      </c>
      <c r="T118" s="39">
        <f t="shared" si="22"/>
        <v>46150</v>
      </c>
      <c r="U118" s="39">
        <f t="shared" si="22"/>
        <v>46151</v>
      </c>
      <c r="V118" s="39">
        <f t="shared" si="22"/>
        <v>46152</v>
      </c>
      <c r="W118" s="39">
        <f t="shared" si="22"/>
        <v>46153</v>
      </c>
      <c r="X118" s="39">
        <f t="shared" si="22"/>
        <v>46154</v>
      </c>
      <c r="Y118" s="39">
        <f t="shared" si="22"/>
        <v>46155</v>
      </c>
      <c r="Z118" s="39">
        <f t="shared" si="22"/>
        <v>46156</v>
      </c>
      <c r="AA118" s="39">
        <f t="shared" si="22"/>
        <v>46157</v>
      </c>
      <c r="AB118" s="39">
        <f t="shared" si="22"/>
        <v>46158</v>
      </c>
      <c r="AC118" s="39">
        <f t="shared" si="22"/>
        <v>46159</v>
      </c>
      <c r="AD118" s="39">
        <f t="shared" si="22"/>
        <v>46160</v>
      </c>
      <c r="AE118" s="39">
        <f t="shared" si="22"/>
        <v>46161</v>
      </c>
      <c r="AF118" s="39">
        <f t="shared" si="22"/>
        <v>46162</v>
      </c>
      <c r="AG118" s="40" t="str">
        <f t="shared" si="22"/>
        <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
        <v>285</v>
      </c>
      <c r="D119" s="399"/>
      <c r="E119" s="399" t="s">
        <v>285</v>
      </c>
      <c r="F119" s="399" t="s">
        <v>285</v>
      </c>
      <c r="G119" s="399" t="s">
        <v>108</v>
      </c>
      <c r="H119" s="399" t="str">
        <f t="shared" ref="H119:AG119" si="23">IF(H$118="","",IF(H$118=$K$154,"ハローワーク来所日⑤",""))</f>
        <v/>
      </c>
      <c r="I119" s="399" t="s">
        <v>285</v>
      </c>
      <c r="J119" s="399" t="str">
        <f t="shared" si="23"/>
        <v>ハローワーク来所日⑤</v>
      </c>
      <c r="K119" s="399" t="str">
        <f t="shared" si="23"/>
        <v/>
      </c>
      <c r="L119" s="399" t="s">
        <v>285</v>
      </c>
      <c r="M119" s="399" t="s">
        <v>285</v>
      </c>
      <c r="N119" s="399" t="str">
        <f t="shared" si="23"/>
        <v/>
      </c>
      <c r="O119" s="399" t="str">
        <f t="shared" si="23"/>
        <v/>
      </c>
      <c r="P119" s="399" t="str">
        <f t="shared" si="23"/>
        <v/>
      </c>
      <c r="Q119" s="399" t="str">
        <f t="shared" si="23"/>
        <v/>
      </c>
      <c r="R119" s="399" t="str">
        <f t="shared" si="23"/>
        <v/>
      </c>
      <c r="S119" s="399" t="s">
        <v>285</v>
      </c>
      <c r="T119" s="399" t="s">
        <v>285</v>
      </c>
      <c r="U119" s="399" t="s">
        <v>68</v>
      </c>
      <c r="V119" s="399" t="str">
        <f t="shared" si="23"/>
        <v/>
      </c>
      <c r="W119" s="399" t="s">
        <v>285</v>
      </c>
      <c r="X119" s="399"/>
      <c r="Y119" s="399" t="s">
        <v>285</v>
      </c>
      <c r="Z119" s="399" t="s">
        <v>285</v>
      </c>
      <c r="AA119" s="399" t="s">
        <v>285</v>
      </c>
      <c r="AB119" s="399" t="str">
        <f t="shared" si="23"/>
        <v/>
      </c>
      <c r="AC119" s="399" t="str">
        <f t="shared" si="23"/>
        <v/>
      </c>
      <c r="AD119" s="399" t="s">
        <v>285</v>
      </c>
      <c r="AE119" s="399" t="s">
        <v>286</v>
      </c>
      <c r="AF119" s="399" t="s">
        <v>205</v>
      </c>
      <c r="AG119" s="402" t="str">
        <f t="shared" si="23"/>
        <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c r="W131" s="49"/>
      <c r="X131" s="44"/>
      <c r="Y131" s="44"/>
      <c r="Z131" s="44"/>
      <c r="AA131" s="44"/>
      <c r="AB131" s="49"/>
      <c r="AC131" s="49"/>
      <c r="AD131" s="44" t="s">
        <v>69</v>
      </c>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[1]機構処理!BI93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v>6</v>
      </c>
      <c r="D133" s="57"/>
      <c r="E133" s="57">
        <v>6</v>
      </c>
      <c r="F133" s="57">
        <v>6</v>
      </c>
      <c r="G133" s="57">
        <v>0</v>
      </c>
      <c r="H133" s="57"/>
      <c r="I133" s="57">
        <v>6</v>
      </c>
      <c r="J133" s="57"/>
      <c r="K133" s="57"/>
      <c r="L133" s="57">
        <v>6</v>
      </c>
      <c r="M133" s="57">
        <v>6</v>
      </c>
      <c r="N133" s="57"/>
      <c r="O133" s="57"/>
      <c r="P133" s="57"/>
      <c r="Q133" s="57"/>
      <c r="R133" s="57"/>
      <c r="S133" s="57">
        <v>6</v>
      </c>
      <c r="T133" s="57">
        <v>6</v>
      </c>
      <c r="U133" s="57">
        <v>0</v>
      </c>
      <c r="V133" s="57"/>
      <c r="W133" s="57">
        <v>6</v>
      </c>
      <c r="X133" s="57"/>
      <c r="Y133" s="57">
        <v>6</v>
      </c>
      <c r="Z133" s="57">
        <v>6</v>
      </c>
      <c r="AA133" s="57">
        <v>6</v>
      </c>
      <c r="AB133" s="57"/>
      <c r="AC133" s="57"/>
      <c r="AD133" s="57">
        <v>6</v>
      </c>
      <c r="AE133" s="57">
        <v>6</v>
      </c>
      <c r="AF133" s="57">
        <v>0</v>
      </c>
      <c r="AG133" s="73"/>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IF(C116="","",[1]機構処理!BF59)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319</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320</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IF([1]様式1!$E$20="","",AI21+AI44+AI66+AI88)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45986</v>
      </c>
      <c r="L140" s="385"/>
      <c r="M140" s="385"/>
      <c r="N140" s="385"/>
      <c r="O140" s="386"/>
      <c r="P140" s="96" t="s">
        <v>72</v>
      </c>
      <c r="Q140" s="387">
        <v>46010</v>
      </c>
      <c r="R140" s="385"/>
      <c r="S140" s="385"/>
      <c r="T140" s="385"/>
      <c r="U140" s="385"/>
      <c r="V140" s="390" t="s">
        <v>255</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46043</v>
      </c>
      <c r="L141" s="385"/>
      <c r="M141" s="385"/>
      <c r="N141" s="385"/>
      <c r="O141" s="386"/>
      <c r="P141" s="96" t="s">
        <v>72</v>
      </c>
      <c r="Q141" s="387">
        <v>46073</v>
      </c>
      <c r="R141" s="385"/>
      <c r="S141" s="385"/>
      <c r="T141" s="385"/>
      <c r="U141" s="385"/>
      <c r="V141" s="390" t="s">
        <v>255</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46133</v>
      </c>
      <c r="L142" s="385"/>
      <c r="M142" s="385"/>
      <c r="N142" s="385"/>
      <c r="O142" s="386"/>
      <c r="P142" s="96" t="s">
        <v>72</v>
      </c>
      <c r="Q142" s="387">
        <v>46161</v>
      </c>
      <c r="R142" s="385"/>
      <c r="S142" s="385"/>
      <c r="T142" s="385"/>
      <c r="U142" s="385"/>
      <c r="V142" s="388" t="s">
        <v>255</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0.43055555555555558</v>
      </c>
      <c r="D148" s="384"/>
      <c r="E148" s="94" t="s">
        <v>72</v>
      </c>
      <c r="F148" s="366">
        <v>0.46527777777777779</v>
      </c>
      <c r="G148" s="367"/>
      <c r="H148" s="15"/>
      <c r="I148" s="100" t="s">
        <v>86</v>
      </c>
      <c r="J148" s="15"/>
      <c r="K148" s="15"/>
      <c r="L148" s="15"/>
      <c r="M148" s="15"/>
      <c r="N148" s="15"/>
      <c r="O148" s="100" t="s">
        <v>321</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0.47222222222222221</v>
      </c>
      <c r="D149" s="366"/>
      <c r="E149" s="94" t="s">
        <v>72</v>
      </c>
      <c r="F149" s="366">
        <v>0.50694444444444442</v>
      </c>
      <c r="G149" s="367"/>
      <c r="H149" s="15"/>
      <c r="I149" s="363"/>
      <c r="J149" s="364"/>
      <c r="K149" s="349" t="s">
        <v>322</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0.51388888888888884</v>
      </c>
      <c r="D150" s="366"/>
      <c r="E150" s="94" t="s">
        <v>72</v>
      </c>
      <c r="F150" s="366">
        <v>0.54861111111111116</v>
      </c>
      <c r="G150" s="367"/>
      <c r="H150" s="15"/>
      <c r="I150" s="380" t="str">
        <f>IF(AND(ハローワーク来所日パターン&lt;&gt;"",$C$29&lt;&gt;"",訓練終了日&gt;ハローワーク来所日1),"１回目","")</f>
        <v>１回目</v>
      </c>
      <c r="J150" s="381"/>
      <c r="K150" s="339">
        <f>IF($I150="","",ハローワーク来所日1)</f>
        <v>46014</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0.59027777777777779</v>
      </c>
      <c r="D151" s="366"/>
      <c r="E151" s="94" t="s">
        <v>72</v>
      </c>
      <c r="F151" s="366">
        <v>0.625</v>
      </c>
      <c r="G151" s="367"/>
      <c r="H151" s="15"/>
      <c r="I151" s="380" t="str">
        <f>IF(AND(ハローワーク来所日パターン&lt;&gt;"",$C$51&lt;&gt;"",訓練終了日&gt;ハローワーク来所日2),"２回目","")</f>
        <v>２回目</v>
      </c>
      <c r="J151" s="381"/>
      <c r="K151" s="339">
        <f>IF($I151="","",ハローワーク来所日2)</f>
        <v>46048</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0.63194444444444442</v>
      </c>
      <c r="D152" s="366"/>
      <c r="E152" s="94" t="s">
        <v>72</v>
      </c>
      <c r="F152" s="366">
        <v>0.66666666666666663</v>
      </c>
      <c r="G152" s="367"/>
      <c r="H152" s="15"/>
      <c r="I152" s="380" t="str">
        <f>IF(AND(ハローワーク来所日パターン&lt;&gt;"",$C$73&lt;&gt;"",訓練終了日&gt;ハローワーク来所日3),"３回目","")</f>
        <v>３回目</v>
      </c>
      <c r="J152" s="381"/>
      <c r="K152" s="339">
        <f>IF($I152="","",ハローワーク来所日3)</f>
        <v>46079</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0.67361111111111116</v>
      </c>
      <c r="D153" s="366"/>
      <c r="E153" s="94" t="s">
        <v>72</v>
      </c>
      <c r="F153" s="366">
        <v>0.70833333333333337</v>
      </c>
      <c r="G153" s="367"/>
      <c r="H153" s="15"/>
      <c r="I153" s="380" t="str">
        <f>IF(AND(ハローワーク来所日パターン&lt;&gt;"",$C$95&lt;&gt;"",訓練終了日&gt;ハローワーク来所日4),"４回目","")</f>
        <v>４回目</v>
      </c>
      <c r="J153" s="381"/>
      <c r="K153" s="339">
        <f>IF($I153="","",ハローワーク来所日4)</f>
        <v>46107</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0.70833333333333337</v>
      </c>
      <c r="D154" s="366"/>
      <c r="E154" s="94" t="s">
        <v>72</v>
      </c>
      <c r="F154" s="366">
        <v>0.75</v>
      </c>
      <c r="G154" s="367"/>
      <c r="H154" s="15"/>
      <c r="I154" s="380" t="str">
        <f>IF(AND(ハローワーク来所日パターン&lt;&gt;"",$C$116&lt;&gt;"",訓練終了日&gt;ハローワーク来所日5),"５回目","")</f>
        <v>５回目</v>
      </c>
      <c r="J154" s="381"/>
      <c r="K154" s="339">
        <f>IF($I154="","",ハローワーク来所日5)</f>
        <v>46140</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45982</v>
      </c>
      <c r="F172" s="340"/>
      <c r="G172" s="340"/>
      <c r="H172" s="340"/>
      <c r="I172" s="340"/>
      <c r="J172" s="94" t="s">
        <v>104</v>
      </c>
      <c r="K172" s="340">
        <f>IF(訓練開始日="","",IF(訓練終了日&lt;EDATE(訓練開始日,1)-1,訓練終了日,EDATE(E172,1)-1))</f>
        <v>46011</v>
      </c>
      <c r="L172" s="340"/>
      <c r="M172" s="340"/>
      <c r="N172" s="340"/>
      <c r="O172" s="341"/>
      <c r="P172" s="108"/>
      <c r="Q172" s="215">
        <f>IF(E172="","",(K172-E172+1))</f>
        <v>30</v>
      </c>
      <c r="R172" s="112" t="s">
        <v>52</v>
      </c>
      <c r="S172" s="101"/>
      <c r="T172" s="113"/>
      <c r="U172" s="215">
        <f>IF(E172="","",[1]機構処理!$BG$24)</f>
        <v>20</v>
      </c>
      <c r="V172" s="112" t="s">
        <v>52</v>
      </c>
      <c r="W172" s="101"/>
      <c r="X172" s="353">
        <f>IF(E172="","",[1]機構処理!BG72)</f>
        <v>0</v>
      </c>
      <c r="Y172" s="354"/>
      <c r="Z172" s="354"/>
      <c r="AA172" s="114" t="s">
        <v>66</v>
      </c>
      <c r="AB172" s="107"/>
      <c r="AC172" s="344">
        <f>IF(E172="","",[1]機構処理!$BH$25)</f>
        <v>102</v>
      </c>
      <c r="AD172" s="345"/>
      <c r="AE172" s="345"/>
      <c r="AF172" s="324" t="s">
        <v>66</v>
      </c>
      <c r="AG172" s="325"/>
      <c r="AH172" s="346" t="str">
        <f>[1]機構処理!BR26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46012</v>
      </c>
      <c r="F173" s="340"/>
      <c r="G173" s="340"/>
      <c r="H173" s="340"/>
      <c r="I173" s="340"/>
      <c r="J173" s="94" t="s">
        <v>104</v>
      </c>
      <c r="K173" s="340">
        <f>IF(E173="","",IF(EDATE(E173,1)-1&lt;訓練終了日,EDATE(E173,1)-1,訓練終了日))</f>
        <v>46042</v>
      </c>
      <c r="L173" s="340"/>
      <c r="M173" s="340"/>
      <c r="N173" s="340"/>
      <c r="O173" s="341"/>
      <c r="P173" s="108"/>
      <c r="Q173" s="215">
        <f>IF(E173="","",(K173-E173+1))</f>
        <v>31</v>
      </c>
      <c r="R173" s="109" t="s">
        <v>52</v>
      </c>
      <c r="S173" s="101"/>
      <c r="T173" s="108"/>
      <c r="U173" s="215">
        <f>IF(E173="","",[1]機構処理!$BG$30)</f>
        <v>14</v>
      </c>
      <c r="V173" s="109" t="s">
        <v>52</v>
      </c>
      <c r="W173" s="101"/>
      <c r="X173" s="342">
        <f>IF(E173="","",[1]機構処理!BG77)</f>
        <v>0</v>
      </c>
      <c r="Y173" s="343"/>
      <c r="Z173" s="343"/>
      <c r="AA173" s="114" t="s">
        <v>66</v>
      </c>
      <c r="AB173" s="107"/>
      <c r="AC173" s="344">
        <f>IF(E173="","",[1]機構処理!$BH$31)</f>
        <v>84</v>
      </c>
      <c r="AD173" s="345"/>
      <c r="AE173" s="345"/>
      <c r="AF173" s="324" t="s">
        <v>66</v>
      </c>
      <c r="AG173" s="325"/>
      <c r="AH173" s="346" t="str">
        <f>[1]機構処理!BR27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46043</v>
      </c>
      <c r="F174" s="340"/>
      <c r="G174" s="340"/>
      <c r="H174" s="340"/>
      <c r="I174" s="340"/>
      <c r="J174" s="94" t="s">
        <v>104</v>
      </c>
      <c r="K174" s="340">
        <f>IF(E174="","",IF(EDATE(E174,1)-1&lt;訓練終了日,EDATE(E174,1)-1,訓練終了日))</f>
        <v>46073</v>
      </c>
      <c r="L174" s="340"/>
      <c r="M174" s="340"/>
      <c r="N174" s="340"/>
      <c r="O174" s="341"/>
      <c r="P174" s="108"/>
      <c r="Q174" s="215">
        <f>IF(E174="","",(K174-E174+1))</f>
        <v>31</v>
      </c>
      <c r="R174" s="109" t="s">
        <v>52</v>
      </c>
      <c r="S174" s="101"/>
      <c r="T174" s="108"/>
      <c r="U174" s="215">
        <f>IF(E174="","",[1]機構処理!$BG$36)</f>
        <v>19</v>
      </c>
      <c r="V174" s="109" t="s">
        <v>52</v>
      </c>
      <c r="W174" s="101"/>
      <c r="X174" s="342">
        <f>IF(E174="","",[1]機構処理!BG81)</f>
        <v>0</v>
      </c>
      <c r="Y174" s="343"/>
      <c r="Z174" s="343"/>
      <c r="AA174" s="114" t="s">
        <v>66</v>
      </c>
      <c r="AB174" s="107"/>
      <c r="AC174" s="344">
        <f>IF(E174="","",[1]機構処理!$BH$37)</f>
        <v>102</v>
      </c>
      <c r="AD174" s="345"/>
      <c r="AE174" s="345"/>
      <c r="AF174" s="324" t="s">
        <v>66</v>
      </c>
      <c r="AG174" s="325"/>
      <c r="AH174" s="346" t="str">
        <f>[1]機構処理!BR28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46074</v>
      </c>
      <c r="F175" s="340"/>
      <c r="G175" s="340"/>
      <c r="H175" s="340"/>
      <c r="I175" s="340"/>
      <c r="J175" s="94" t="s">
        <v>104</v>
      </c>
      <c r="K175" s="340">
        <f>IF(E175="","",IF(EDATE(E175,1)-1&lt;訓練終了日,EDATE(E175,1)-1,訓練終了日))</f>
        <v>46101</v>
      </c>
      <c r="L175" s="340"/>
      <c r="M175" s="340"/>
      <c r="N175" s="340"/>
      <c r="O175" s="341"/>
      <c r="P175" s="108"/>
      <c r="Q175" s="215">
        <f>IF(E175="","",(K175-E175+1))</f>
        <v>28</v>
      </c>
      <c r="R175" s="109" t="s">
        <v>52</v>
      </c>
      <c r="S175" s="101"/>
      <c r="T175" s="108"/>
      <c r="U175" s="215">
        <f>IF(E175="","",[1]機構処理!$BG$42)</f>
        <v>14</v>
      </c>
      <c r="V175" s="109" t="s">
        <v>52</v>
      </c>
      <c r="W175" s="101"/>
      <c r="X175" s="342">
        <f>IF(E175="","",[1]機構処理!BG85)</f>
        <v>0</v>
      </c>
      <c r="Y175" s="343"/>
      <c r="Z175" s="343"/>
      <c r="AA175" s="114" t="s">
        <v>66</v>
      </c>
      <c r="AB175" s="107"/>
      <c r="AC175" s="344">
        <f>IF(E175="","",[1]機構処理!$BH$43)</f>
        <v>84</v>
      </c>
      <c r="AD175" s="345"/>
      <c r="AE175" s="345"/>
      <c r="AF175" s="324" t="s">
        <v>66</v>
      </c>
      <c r="AG175" s="325"/>
      <c r="AH175" s="346" t="str">
        <f>[1]機構処理!BR29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46102</v>
      </c>
      <c r="F176" s="340"/>
      <c r="G176" s="340"/>
      <c r="H176" s="340"/>
      <c r="I176" s="340"/>
      <c r="J176" s="94" t="s">
        <v>104</v>
      </c>
      <c r="K176" s="340">
        <f>IF(E176="","",IF(EDATE(E176,1)-1&lt;訓練終了日,EDATE(E176,1)-1,訓練終了日))</f>
        <v>46132</v>
      </c>
      <c r="L176" s="340"/>
      <c r="M176" s="340"/>
      <c r="N176" s="340"/>
      <c r="O176" s="341"/>
      <c r="P176" s="108"/>
      <c r="Q176" s="215">
        <f>IF(E176="","",K176-E176+1)</f>
        <v>31</v>
      </c>
      <c r="R176" s="109" t="s">
        <v>52</v>
      </c>
      <c r="S176" s="101"/>
      <c r="T176" s="108"/>
      <c r="U176" s="215">
        <f>IF(E176="","",[1]機構処理!$BG$48)</f>
        <v>14</v>
      </c>
      <c r="V176" s="109" t="s">
        <v>52</v>
      </c>
      <c r="W176" s="101"/>
      <c r="X176" s="342">
        <f>IF(E176="","",[1]機構処理!BG89)</f>
        <v>0</v>
      </c>
      <c r="Y176" s="343"/>
      <c r="Z176" s="343"/>
      <c r="AA176" s="114" t="s">
        <v>66</v>
      </c>
      <c r="AB176" s="107"/>
      <c r="AC176" s="344">
        <f>IF(E176="","",[1]機構処理!$BH$49)</f>
        <v>84</v>
      </c>
      <c r="AD176" s="345"/>
      <c r="AE176" s="345"/>
      <c r="AF176" s="324" t="s">
        <v>66</v>
      </c>
      <c r="AG176" s="325"/>
      <c r="AH176" s="346" t="str">
        <f>[1]機構処理!BQ30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46133</v>
      </c>
      <c r="F177" s="340"/>
      <c r="G177" s="340"/>
      <c r="H177" s="340"/>
      <c r="I177" s="340"/>
      <c r="J177" s="94" t="s">
        <v>104</v>
      </c>
      <c r="K177" s="340">
        <f>IF(E177="","",IF(EDATE(E177,1)-1&lt;訓練終了日,EDATE(E177,1)-1,訓練終了日))</f>
        <v>46162</v>
      </c>
      <c r="L177" s="340"/>
      <c r="M177" s="340"/>
      <c r="N177" s="340"/>
      <c r="O177" s="341"/>
      <c r="P177" s="108"/>
      <c r="Q177" s="215">
        <f>IF(E177="","",K177-E177+1)</f>
        <v>30</v>
      </c>
      <c r="R177" s="109" t="s">
        <v>52</v>
      </c>
      <c r="S177" s="101"/>
      <c r="T177" s="108"/>
      <c r="U177" s="215">
        <f>IF(E177="","",[1]機構処理!$BG$54)</f>
        <v>17</v>
      </c>
      <c r="V177" s="109" t="s">
        <v>52</v>
      </c>
      <c r="W177" s="101"/>
      <c r="X177" s="342">
        <f>IF(E177="","",[1]機構処理!BG93)</f>
        <v>0</v>
      </c>
      <c r="Y177" s="343"/>
      <c r="Z177" s="343"/>
      <c r="AA177" s="114" t="s">
        <v>66</v>
      </c>
      <c r="AB177" s="107"/>
      <c r="AC177" s="344">
        <f>IF(E177="","",[1]機構処理!$BH$55)</f>
        <v>84</v>
      </c>
      <c r="AD177" s="345"/>
      <c r="AE177" s="345"/>
      <c r="AF177" s="324" t="s">
        <v>66</v>
      </c>
      <c r="AG177" s="325"/>
      <c r="AH177" s="346" t="str">
        <f>[1]機構処理!BQ31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181</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554" priority="11">
      <formula>LEN(TRIM(C160))=0</formula>
    </cfRule>
  </conditionalFormatting>
  <conditionalFormatting sqref="C6:AG27">
    <cfRule type="expression" dxfId="553" priority="42">
      <formula>WORKDAY(C$6+1,-1,祝祭日)&lt;&gt;C$6</formula>
    </cfRule>
  </conditionalFormatting>
  <conditionalFormatting sqref="C22:AG22">
    <cfRule type="expression" dxfId="552" priority="48">
      <formula>$AH$22&lt;&gt;""</formula>
    </cfRule>
  </conditionalFormatting>
  <conditionalFormatting sqref="C29:AG49">
    <cfRule type="expression" dxfId="551" priority="33">
      <formula>WORKDAY(C$29+1,-1,祝祭日)&lt;&gt;C$29</formula>
    </cfRule>
  </conditionalFormatting>
  <conditionalFormatting sqref="C45:AG45">
    <cfRule type="expression" dxfId="550" priority="47">
      <formula>+$AH$45&lt;&gt;""</formula>
    </cfRule>
  </conditionalFormatting>
  <conditionalFormatting sqref="C51:AG71">
    <cfRule type="expression" dxfId="549" priority="32">
      <formula>WORKDAY(C$51+1,-1,祝祭日)&lt;&gt;C$51</formula>
    </cfRule>
  </conditionalFormatting>
  <conditionalFormatting sqref="C67:AG67">
    <cfRule type="expression" dxfId="548" priority="49">
      <formula>+$AH$67&lt;&gt;""</formula>
    </cfRule>
  </conditionalFormatting>
  <conditionalFormatting sqref="C73:AG93">
    <cfRule type="expression" dxfId="547" priority="4">
      <formula>WORKDAY(C$73+1,-1,祝祭日)&lt;&gt;C$73</formula>
    </cfRule>
  </conditionalFormatting>
  <conditionalFormatting sqref="C89:AG89">
    <cfRule type="expression" dxfId="546" priority="5">
      <formula>+$AH$89&lt;&gt;""</formula>
    </cfRule>
  </conditionalFormatting>
  <conditionalFormatting sqref="C95:AG114">
    <cfRule type="expression" dxfId="545" priority="43">
      <formula>WORKDAY(C$95+1,-1,祝祭日)&lt;&gt;C$95</formula>
    </cfRule>
  </conditionalFormatting>
  <conditionalFormatting sqref="C110:AG110">
    <cfRule type="expression" dxfId="544" priority="50">
      <formula>+$AH$110&lt;&gt;""</formula>
    </cfRule>
  </conditionalFormatting>
  <conditionalFormatting sqref="C116:AG135">
    <cfRule type="expression" dxfId="543" priority="2">
      <formula>WORKDAY(C$116+1,-1,祝祭日)&lt;&gt;C$116</formula>
    </cfRule>
  </conditionalFormatting>
  <conditionalFormatting sqref="C131:AG131">
    <cfRule type="expression" dxfId="542" priority="3">
      <formula>+$AH$131&lt;&gt;""</formula>
    </cfRule>
  </conditionalFormatting>
  <conditionalFormatting sqref="D158:E158">
    <cfRule type="containsBlanks" dxfId="541" priority="37">
      <formula>LEN(TRIM(D158))=0</formula>
    </cfRule>
  </conditionalFormatting>
  <conditionalFormatting sqref="D139:F140">
    <cfRule type="cellIs" dxfId="540" priority="36" operator="equal">
      <formula>""</formula>
    </cfRule>
  </conditionalFormatting>
  <conditionalFormatting sqref="F148:F154 C149:C154">
    <cfRule type="cellIs" dxfId="539" priority="46" stopIfTrue="1" operator="equal">
      <formula>""</formula>
    </cfRule>
  </conditionalFormatting>
  <conditionalFormatting sqref="F154">
    <cfRule type="cellIs" dxfId="538" priority="45" operator="greaterThan">
      <formula>0.917</formula>
    </cfRule>
  </conditionalFormatting>
  <conditionalFormatting sqref="F155:F156 C155:C156">
    <cfRule type="containsBlanks" dxfId="537" priority="14">
      <formula>LEN(TRIM(C155))=0</formula>
    </cfRule>
  </conditionalFormatting>
  <conditionalFormatting sqref="F153:G153">
    <cfRule type="cellIs" dxfId="536" priority="6" operator="greaterThan">
      <formula>0.917</formula>
    </cfRule>
  </conditionalFormatting>
  <conditionalFormatting sqref="F156:G156">
    <cfRule type="cellIs" dxfId="535" priority="9" operator="greaterThan">
      <formula>0.917</formula>
    </cfRule>
  </conditionalFormatting>
  <conditionalFormatting sqref="F160:G168 C161:D168">
    <cfRule type="containsBlanks" dxfId="534" priority="41">
      <formula>LEN(TRIM(C160))=0</formula>
    </cfRule>
  </conditionalFormatting>
  <conditionalFormatting sqref="F166:G166">
    <cfRule type="cellIs" dxfId="533" priority="8" operator="greaterThan">
      <formula>0.917</formula>
    </cfRule>
  </conditionalFormatting>
  <conditionalFormatting sqref="F168:G168">
    <cfRule type="cellIs" dxfId="532" priority="40" operator="greaterThan">
      <formula>0.917</formula>
    </cfRule>
  </conditionalFormatting>
  <conditionalFormatting sqref="K1">
    <cfRule type="expression" dxfId="531" priority="34">
      <formula>$K$1&lt;&gt;""</formula>
    </cfRule>
  </conditionalFormatting>
  <conditionalFormatting sqref="K140:O145">
    <cfRule type="containsBlanks" dxfId="530" priority="13">
      <formula>LEN(TRIM(K140))=0</formula>
    </cfRule>
  </conditionalFormatting>
  <conditionalFormatting sqref="N160">
    <cfRule type="containsBlanks" dxfId="529" priority="10">
      <formula>LEN(TRIM(N160))=0</formula>
    </cfRule>
  </conditionalFormatting>
  <conditionalFormatting sqref="O158:P158">
    <cfRule type="containsBlanks" dxfId="528" priority="12">
      <formula>LEN(TRIM(O158))=0</formula>
    </cfRule>
  </conditionalFormatting>
  <conditionalFormatting sqref="P170:W170">
    <cfRule type="expression" dxfId="527" priority="51">
      <formula>AND(訓練種別コード="001",AI21+AI44+AI66+AI88+#REF!+#REF!&gt;0)</formula>
    </cfRule>
  </conditionalFormatting>
  <conditionalFormatting sqref="Q172:Q177">
    <cfRule type="cellIs" dxfId="526" priority="44" stopIfTrue="1" operator="lessThan">
      <formula>28</formula>
    </cfRule>
  </conditionalFormatting>
  <conditionalFormatting sqref="Q160:R168 N161:O168">
    <cfRule type="containsBlanks" dxfId="525" priority="39">
      <formula>LEN(TRIM(N160))=0</formula>
    </cfRule>
  </conditionalFormatting>
  <conditionalFormatting sqref="Q166:R166">
    <cfRule type="cellIs" dxfId="524" priority="38" operator="greaterThan">
      <formula>0.917</formula>
    </cfRule>
  </conditionalFormatting>
  <conditionalFormatting sqref="Q168:R168">
    <cfRule type="cellIs" dxfId="523" priority="7" operator="greaterThan">
      <formula>0.917</formula>
    </cfRule>
  </conditionalFormatting>
  <conditionalFormatting sqref="Q140:AG145">
    <cfRule type="containsBlanks" dxfId="522" priority="1">
      <formula>LEN(TRIM(Q140))=0</formula>
    </cfRule>
  </conditionalFormatting>
  <conditionalFormatting sqref="X171:AB171 X172 AA172:AB172 X173:AB178">
    <cfRule type="expression" dxfId="521" priority="35">
      <formula>$X$171=""</formula>
    </cfRule>
  </conditionalFormatting>
  <conditionalFormatting sqref="AC178:AE178">
    <cfRule type="expression" dxfId="520" priority="15">
      <formula>AND(NOT(VALUE(訓練総時間)=訓練時間合計),NOT(VALUE(訓練総時間)=IF(様6_訓練時間合計="",0,様6_訓練時間合計)))</formula>
    </cfRule>
  </conditionalFormatting>
  <conditionalFormatting sqref="AH89:AI89">
    <cfRule type="expression" dxfId="519" priority="27">
      <formula>$AI89=""</formula>
    </cfRule>
  </conditionalFormatting>
  <conditionalFormatting sqref="AH111:AI111">
    <cfRule type="expression" dxfId="518" priority="26">
      <formula>$AI111=""</formula>
    </cfRule>
  </conditionalFormatting>
  <conditionalFormatting sqref="AH22:AJ23">
    <cfRule type="expression" dxfId="517" priority="31">
      <formula>$AI22=""</formula>
    </cfRule>
  </conditionalFormatting>
  <conditionalFormatting sqref="AH45:AJ46">
    <cfRule type="expression" dxfId="516" priority="30">
      <formula>$AI45=""</formula>
    </cfRule>
  </conditionalFormatting>
  <conditionalFormatting sqref="AH67:AJ68">
    <cfRule type="expression" dxfId="515" priority="29">
      <formula>$AI67=""</formula>
    </cfRule>
  </conditionalFormatting>
  <conditionalFormatting sqref="AH90:AJ90">
    <cfRule type="expression" dxfId="514" priority="28">
      <formula>$AI90=""</formula>
    </cfRule>
  </conditionalFormatting>
  <conditionalFormatting sqref="AH110:AJ110">
    <cfRule type="expression" dxfId="513" priority="25">
      <formula>$AI110=""</formula>
    </cfRule>
  </conditionalFormatting>
  <conditionalFormatting sqref="AH131:AJ132">
    <cfRule type="expression" dxfId="512" priority="24">
      <formula>$AI131=""</formula>
    </cfRule>
  </conditionalFormatting>
  <conditionalFormatting sqref="AH178:AL178">
    <cfRule type="expression" dxfId="511" priority="17">
      <formula>$AH$178=""</formula>
    </cfRule>
  </conditionalFormatting>
  <conditionalFormatting sqref="AI27:AL27">
    <cfRule type="expression" dxfId="510" priority="23">
      <formula>$C6=""</formula>
    </cfRule>
  </conditionalFormatting>
  <conditionalFormatting sqref="AI49:AL49">
    <cfRule type="expression" dxfId="509" priority="22">
      <formula>$C29=""</formula>
    </cfRule>
  </conditionalFormatting>
  <conditionalFormatting sqref="AI71:AL71">
    <cfRule type="expression" dxfId="508" priority="21">
      <formula>$C51=""</formula>
    </cfRule>
  </conditionalFormatting>
  <conditionalFormatting sqref="AI93:AL93">
    <cfRule type="expression" dxfId="507" priority="20">
      <formula>$C73=""</formula>
    </cfRule>
  </conditionalFormatting>
  <conditionalFormatting sqref="AI114:AL114">
    <cfRule type="expression" dxfId="506" priority="19">
      <formula>$C$95=""</formula>
    </cfRule>
  </conditionalFormatting>
  <conditionalFormatting sqref="AI135:AL135">
    <cfRule type="expression" dxfId="505" priority="18">
      <formula>$C$116=""</formula>
    </cfRule>
  </conditionalFormatting>
  <conditionalFormatting sqref="AK189:AL189">
    <cfRule type="expression" dxfId="504" priority="16">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488E4B98-BB25-4EBC-9F00-1E6F6001761B}">
      <formula1>"○"</formula1>
    </dataValidation>
    <dataValidation type="whole" imeMode="off" allowBlank="1" showInputMessage="1" showErrorMessage="1" sqref="C24:AG27 C47:AG49 C133:AG135 C91:AG93 C112:AG114 C69:AG71" xr:uid="{2C03A51D-7AEE-4EB0-9F2D-711CABF9DDF7}">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9A05DF95-5AD5-4874-BC07-C400DB6EA561}"/>
    <dataValidation type="list" allowBlank="1" showInputMessage="1" showErrorMessage="1" sqref="C89:AG89 C45:AG45 C110:AG110 C22:AG22 C67:AG67 C131:AG131" xr:uid="{165AC729-6789-45DD-9CC8-9E6879E9AD86}">
      <formula1>"○,◎"</formula1>
    </dataValidation>
    <dataValidation imeMode="hiragana" allowBlank="1" showInputMessage="1" showErrorMessage="1" sqref="C97:AG109 C118:AG130 C75:AG87 C53:AG65 C31:AG43 C8:AG20 V140:AG145" xr:uid="{A0173268-48A7-4378-98E9-067B95F5AB8A}"/>
  </dataValidations>
  <hyperlinks>
    <hyperlink ref="AJ150" location="様式7の１!B8" display="様式7の１作成へ" xr:uid="{4D1D8981-2A7C-4A89-A2A4-E14DA54760BE}"/>
    <hyperlink ref="AJ152" location="一覧表!M42" display="一覧表へ戻る" xr:uid="{E61F21B9-514D-4BC1-B7F1-906E460BEC02}"/>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94593" r:id="rId4" name="来所日選択">
              <controlPr defaultSize="0" print="0" autoLine="0" autoPict="0">
                <anchor moveWithCells="1">
                  <from>
                    <xdr:col>4</xdr:col>
                    <xdr:colOff>335280</xdr:colOff>
                    <xdr:row>0</xdr:row>
                    <xdr:rowOff>182880</xdr:rowOff>
                  </from>
                  <to>
                    <xdr:col>9</xdr:col>
                    <xdr:colOff>0</xdr:colOff>
                    <xdr:row>1</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A71D-CA42-4511-8BA6-640C81C4DE02}">
  <sheetPr codeName="Sheet13"/>
  <dimension ref="A1:BQ248"/>
  <sheetViews>
    <sheetView zoomScale="80" zoomScaleNormal="80" zoomScaleSheetLayoutView="80" workbookViewId="0"/>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7" width="5.88671875" style="14" customWidth="1"/>
    <col min="38"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IF(OR(訓練月数=0,訓練月数=""),"訓練期間が入力されていません！！",IF(訓練月数=1,IF(訓練終了日&lt;=INDIRECT("開講スケジュール!D"&amp;[2]開講スケジュール!$D$2+1),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基礎から学ぶJava＋Pythonプログラマー養成科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46078</v>
      </c>
      <c r="D6" s="33">
        <f>IF(C6="","",C6+1)</f>
        <v>46079</v>
      </c>
      <c r="E6" s="33">
        <f t="shared" ref="E6:P6" si="1">IF(D6="","",D6+1)</f>
        <v>46080</v>
      </c>
      <c r="F6" s="33">
        <f t="shared" si="1"/>
        <v>46081</v>
      </c>
      <c r="G6" s="33">
        <f t="shared" si="1"/>
        <v>46082</v>
      </c>
      <c r="H6" s="33">
        <f t="shared" si="1"/>
        <v>46083</v>
      </c>
      <c r="I6" s="33">
        <f t="shared" si="1"/>
        <v>46084</v>
      </c>
      <c r="J6" s="33">
        <f t="shared" si="1"/>
        <v>46085</v>
      </c>
      <c r="K6" s="33">
        <f t="shared" si="1"/>
        <v>46086</v>
      </c>
      <c r="L6" s="33">
        <f t="shared" si="1"/>
        <v>46087</v>
      </c>
      <c r="M6" s="33">
        <f t="shared" si="1"/>
        <v>46088</v>
      </c>
      <c r="N6" s="33">
        <f t="shared" si="1"/>
        <v>46089</v>
      </c>
      <c r="O6" s="33">
        <f t="shared" si="1"/>
        <v>46090</v>
      </c>
      <c r="P6" s="33">
        <f t="shared" si="1"/>
        <v>46091</v>
      </c>
      <c r="Q6" s="33">
        <f t="shared" ref="Q6:AB6" si="2">IF(P6="","",IF(P6+1&gt;訓練終了日,"",P6+1))</f>
        <v>46092</v>
      </c>
      <c r="R6" s="33">
        <f t="shared" si="2"/>
        <v>46093</v>
      </c>
      <c r="S6" s="33">
        <f t="shared" si="2"/>
        <v>46094</v>
      </c>
      <c r="T6" s="33">
        <f t="shared" si="2"/>
        <v>46095</v>
      </c>
      <c r="U6" s="33">
        <f t="shared" si="2"/>
        <v>46096</v>
      </c>
      <c r="V6" s="33">
        <f t="shared" si="2"/>
        <v>46097</v>
      </c>
      <c r="W6" s="33">
        <f t="shared" si="2"/>
        <v>46098</v>
      </c>
      <c r="X6" s="33">
        <f t="shared" si="2"/>
        <v>46099</v>
      </c>
      <c r="Y6" s="33">
        <f t="shared" si="2"/>
        <v>46100</v>
      </c>
      <c r="Z6" s="33">
        <f t="shared" si="2"/>
        <v>46101</v>
      </c>
      <c r="AA6" s="33">
        <f t="shared" si="2"/>
        <v>46102</v>
      </c>
      <c r="AB6" s="33">
        <f t="shared" si="2"/>
        <v>46103</v>
      </c>
      <c r="AC6" s="33">
        <f>IF(AB6="","",IF(AB6+1&gt;訓練終了日,"",IF(AB6+1&gt;=EDATE(C6,1),"",AB6+1)))</f>
        <v>46104</v>
      </c>
      <c r="AD6" s="33">
        <f>IF(AC6="","",IF(AC6+1&gt;訓練終了日,"",IF(AC6+1&gt;=EDATE(C6,1),"",AC6+1)))</f>
        <v>46105</v>
      </c>
      <c r="AE6" s="33" t="str">
        <f>IF(AD6="","",IF(AD6+1&gt;訓練終了日,"",IF(AD6+1&gt;=EDATE(C6,1),"",AD6+1)))</f>
        <v/>
      </c>
      <c r="AF6" s="33" t="str">
        <f>IF(AE6="","",IF(AE6+1&gt;訓練終了日,"",IF(AE6+1&gt;=EDATE(C6,1),"",AE6+1)))</f>
        <v/>
      </c>
      <c r="AG6" s="33" t="str">
        <f>IF(AF6="","",IF(AF6+1&gt;訓練終了日,"",IF(AF6+1&gt;=EDATE(C6,1),"",AF6+1)))</f>
        <v/>
      </c>
      <c r="AH6" s="19"/>
      <c r="AI6" s="20"/>
      <c r="AJ6" s="20"/>
      <c r="AK6" s="20"/>
      <c r="AL6" s="20"/>
      <c r="AM6" s="20"/>
      <c r="AN6" s="20"/>
      <c r="AO6" s="34"/>
      <c r="AP6" s="20"/>
      <c r="AQ6" s="20"/>
      <c r="AR6" s="20"/>
      <c r="AS6" s="20"/>
      <c r="AT6" s="20"/>
      <c r="AU6" s="20"/>
      <c r="AV6" s="20"/>
    </row>
    <row r="7" spans="1:69" ht="18" customHeight="1">
      <c r="A7" s="35"/>
      <c r="B7" s="31" t="s">
        <v>52</v>
      </c>
      <c r="C7" s="36">
        <f t="shared" ref="C7:AG8" si="3">+C6</f>
        <v>46078</v>
      </c>
      <c r="D7" s="37">
        <f t="shared" si="3"/>
        <v>46079</v>
      </c>
      <c r="E7" s="37">
        <f t="shared" si="3"/>
        <v>46080</v>
      </c>
      <c r="F7" s="37">
        <f t="shared" si="3"/>
        <v>46081</v>
      </c>
      <c r="G7" s="37">
        <f t="shared" si="3"/>
        <v>46082</v>
      </c>
      <c r="H7" s="37">
        <f t="shared" si="3"/>
        <v>46083</v>
      </c>
      <c r="I7" s="37">
        <f t="shared" si="3"/>
        <v>46084</v>
      </c>
      <c r="J7" s="37">
        <f t="shared" si="3"/>
        <v>46085</v>
      </c>
      <c r="K7" s="37">
        <f t="shared" si="3"/>
        <v>46086</v>
      </c>
      <c r="L7" s="37">
        <f t="shared" si="3"/>
        <v>46087</v>
      </c>
      <c r="M7" s="37">
        <f t="shared" si="3"/>
        <v>46088</v>
      </c>
      <c r="N7" s="37">
        <f t="shared" si="3"/>
        <v>46089</v>
      </c>
      <c r="O7" s="37">
        <f t="shared" si="3"/>
        <v>46090</v>
      </c>
      <c r="P7" s="37">
        <f t="shared" si="3"/>
        <v>46091</v>
      </c>
      <c r="Q7" s="37">
        <f t="shared" si="3"/>
        <v>46092</v>
      </c>
      <c r="R7" s="37">
        <f t="shared" si="3"/>
        <v>46093</v>
      </c>
      <c r="S7" s="37">
        <f t="shared" si="3"/>
        <v>46094</v>
      </c>
      <c r="T7" s="37">
        <f t="shared" si="3"/>
        <v>46095</v>
      </c>
      <c r="U7" s="37">
        <f t="shared" si="3"/>
        <v>46096</v>
      </c>
      <c r="V7" s="37">
        <f t="shared" si="3"/>
        <v>46097</v>
      </c>
      <c r="W7" s="37">
        <f t="shared" si="3"/>
        <v>46098</v>
      </c>
      <c r="X7" s="37">
        <f t="shared" si="3"/>
        <v>46099</v>
      </c>
      <c r="Y7" s="37">
        <f t="shared" si="3"/>
        <v>46100</v>
      </c>
      <c r="Z7" s="37">
        <f t="shared" si="3"/>
        <v>46101</v>
      </c>
      <c r="AA7" s="37">
        <f t="shared" si="3"/>
        <v>46102</v>
      </c>
      <c r="AB7" s="37">
        <f t="shared" si="3"/>
        <v>46103</v>
      </c>
      <c r="AC7" s="37">
        <f t="shared" si="3"/>
        <v>46104</v>
      </c>
      <c r="AD7" s="37">
        <f t="shared" si="3"/>
        <v>46105</v>
      </c>
      <c r="AE7" s="37" t="str">
        <f t="shared" si="3"/>
        <v/>
      </c>
      <c r="AF7" s="37" t="str">
        <f t="shared" si="3"/>
        <v/>
      </c>
      <c r="AG7" s="38" t="str">
        <f t="shared" si="3"/>
        <v/>
      </c>
      <c r="AH7" s="19"/>
      <c r="AI7" s="20"/>
      <c r="AJ7" s="20"/>
      <c r="AK7" s="20"/>
      <c r="AL7" s="20"/>
      <c r="AM7" s="20"/>
      <c r="AN7" s="20"/>
      <c r="AO7" s="34"/>
      <c r="AP7" s="20"/>
      <c r="AQ7" s="20"/>
      <c r="AR7" s="20"/>
      <c r="AS7" s="20"/>
      <c r="AT7" s="20"/>
      <c r="AU7" s="20"/>
      <c r="AV7" s="20"/>
    </row>
    <row r="8" spans="1:69" ht="18" customHeight="1">
      <c r="A8" s="35"/>
      <c r="B8" s="31" t="s">
        <v>53</v>
      </c>
      <c r="C8" s="39">
        <f t="shared" si="3"/>
        <v>46078</v>
      </c>
      <c r="D8" s="39">
        <f t="shared" si="3"/>
        <v>46079</v>
      </c>
      <c r="E8" s="39">
        <f t="shared" si="3"/>
        <v>46080</v>
      </c>
      <c r="F8" s="39">
        <f t="shared" si="3"/>
        <v>46081</v>
      </c>
      <c r="G8" s="39">
        <f t="shared" si="3"/>
        <v>46082</v>
      </c>
      <c r="H8" s="39">
        <f t="shared" si="3"/>
        <v>46083</v>
      </c>
      <c r="I8" s="39">
        <f t="shared" si="3"/>
        <v>46084</v>
      </c>
      <c r="J8" s="39">
        <f t="shared" si="3"/>
        <v>46085</v>
      </c>
      <c r="K8" s="39">
        <f t="shared" si="3"/>
        <v>46086</v>
      </c>
      <c r="L8" s="39">
        <f t="shared" si="3"/>
        <v>46087</v>
      </c>
      <c r="M8" s="39">
        <f t="shared" si="3"/>
        <v>46088</v>
      </c>
      <c r="N8" s="39">
        <f t="shared" si="3"/>
        <v>46089</v>
      </c>
      <c r="O8" s="39">
        <f t="shared" si="3"/>
        <v>46090</v>
      </c>
      <c r="P8" s="39">
        <f t="shared" si="3"/>
        <v>46091</v>
      </c>
      <c r="Q8" s="39">
        <f t="shared" si="3"/>
        <v>46092</v>
      </c>
      <c r="R8" s="39">
        <f t="shared" si="3"/>
        <v>46093</v>
      </c>
      <c r="S8" s="39">
        <f t="shared" si="3"/>
        <v>46094</v>
      </c>
      <c r="T8" s="39">
        <f t="shared" si="3"/>
        <v>46095</v>
      </c>
      <c r="U8" s="39">
        <f t="shared" si="3"/>
        <v>46096</v>
      </c>
      <c r="V8" s="39">
        <f t="shared" si="3"/>
        <v>46097</v>
      </c>
      <c r="W8" s="39">
        <f t="shared" si="3"/>
        <v>46098</v>
      </c>
      <c r="X8" s="39">
        <f t="shared" si="3"/>
        <v>46099</v>
      </c>
      <c r="Y8" s="39">
        <f t="shared" si="3"/>
        <v>46100</v>
      </c>
      <c r="Z8" s="39">
        <f t="shared" si="3"/>
        <v>46101</v>
      </c>
      <c r="AA8" s="39">
        <f t="shared" si="3"/>
        <v>46102</v>
      </c>
      <c r="AB8" s="39">
        <f t="shared" si="3"/>
        <v>46103</v>
      </c>
      <c r="AC8" s="39">
        <f t="shared" si="3"/>
        <v>46104</v>
      </c>
      <c r="AD8" s="39">
        <f t="shared" si="3"/>
        <v>46105</v>
      </c>
      <c r="AE8" s="39" t="str">
        <f t="shared" si="3"/>
        <v/>
      </c>
      <c r="AF8" s="39" t="str">
        <f t="shared" si="3"/>
        <v/>
      </c>
      <c r="AG8" s="40" t="str">
        <f t="shared" si="3"/>
        <v/>
      </c>
      <c r="AH8" s="19"/>
      <c r="AI8" s="20"/>
      <c r="AJ8" s="20"/>
      <c r="AK8" s="20"/>
      <c r="AL8" s="20"/>
      <c r="AM8" s="20"/>
      <c r="AN8" s="20"/>
      <c r="AO8" s="20"/>
      <c r="AP8" s="20"/>
      <c r="AQ8" s="20"/>
      <c r="AR8" s="20"/>
      <c r="AS8" s="20"/>
      <c r="AT8" s="20"/>
      <c r="AU8" s="20"/>
      <c r="AV8" s="20"/>
    </row>
    <row r="9" spans="1:69" ht="18" customHeight="1">
      <c r="A9" s="411" t="s">
        <v>54</v>
      </c>
      <c r="B9" s="41"/>
      <c r="C9" s="423" t="s">
        <v>55</v>
      </c>
      <c r="D9" s="399" t="s">
        <v>222</v>
      </c>
      <c r="E9" s="399" t="s">
        <v>317</v>
      </c>
      <c r="F9" s="425"/>
      <c r="G9" s="399"/>
      <c r="H9" s="399" t="s">
        <v>359</v>
      </c>
      <c r="I9" s="399" t="s">
        <v>360</v>
      </c>
      <c r="J9" s="399" t="s">
        <v>360</v>
      </c>
      <c r="K9" s="399" t="s">
        <v>360</v>
      </c>
      <c r="L9" s="399" t="s">
        <v>360</v>
      </c>
      <c r="M9" s="399" t="s">
        <v>57</v>
      </c>
      <c r="N9" s="399"/>
      <c r="O9" s="399" t="s">
        <v>360</v>
      </c>
      <c r="P9" s="399" t="s">
        <v>360</v>
      </c>
      <c r="Q9" s="399" t="s">
        <v>360</v>
      </c>
      <c r="R9" s="399" t="s">
        <v>227</v>
      </c>
      <c r="S9" s="399" t="s">
        <v>228</v>
      </c>
      <c r="T9" s="399" t="s">
        <v>56</v>
      </c>
      <c r="U9" s="399"/>
      <c r="V9" s="399" t="s">
        <v>228</v>
      </c>
      <c r="W9" s="399"/>
      <c r="X9" s="399" t="s">
        <v>228</v>
      </c>
      <c r="Y9" s="399" t="s">
        <v>228</v>
      </c>
      <c r="Z9" s="399"/>
      <c r="AA9" s="399"/>
      <c r="AB9" s="399"/>
      <c r="AC9" s="399" t="s">
        <v>228</v>
      </c>
      <c r="AD9" s="399" t="s">
        <v>229</v>
      </c>
      <c r="AE9" s="399"/>
      <c r="AF9" s="399"/>
      <c r="AG9" s="426"/>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4" hidden="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0"/>
      <c r="K20" s="400"/>
      <c r="L20" s="400"/>
      <c r="M20" s="400"/>
      <c r="N20" s="400"/>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[2]機構処理!BI72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5</v>
      </c>
      <c r="E24" s="57">
        <v>6</v>
      </c>
      <c r="F24" s="57"/>
      <c r="G24" s="57"/>
      <c r="H24" s="57">
        <v>6</v>
      </c>
      <c r="I24" s="57">
        <v>6</v>
      </c>
      <c r="J24" s="57">
        <v>6</v>
      </c>
      <c r="K24" s="57">
        <v>6</v>
      </c>
      <c r="L24" s="57">
        <v>6</v>
      </c>
      <c r="M24" s="57">
        <v>0</v>
      </c>
      <c r="N24" s="57"/>
      <c r="O24" s="57">
        <v>6</v>
      </c>
      <c r="P24" s="57">
        <v>6</v>
      </c>
      <c r="Q24" s="57">
        <v>6</v>
      </c>
      <c r="R24" s="57">
        <v>6</v>
      </c>
      <c r="S24" s="57">
        <v>6</v>
      </c>
      <c r="T24" s="57">
        <v>0</v>
      </c>
      <c r="U24" s="57"/>
      <c r="V24" s="57">
        <v>6</v>
      </c>
      <c r="W24" s="57"/>
      <c r="X24" s="57">
        <v>6</v>
      </c>
      <c r="Y24" s="57">
        <v>6</v>
      </c>
      <c r="Z24" s="57"/>
      <c r="AA24" s="57"/>
      <c r="AB24" s="57"/>
      <c r="AC24" s="57">
        <v>6</v>
      </c>
      <c r="AD24" s="57">
        <v>6</v>
      </c>
      <c r="AE24" s="57"/>
      <c r="AF24" s="57"/>
      <c r="AG24" s="58"/>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1</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IF(C6="","",[2]機構処理!BF29)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46106</v>
      </c>
      <c r="D29" s="33">
        <f t="shared" ref="D29:AD29" si="5">IF(OR(C29="",C28="修了日"),"",C29+1)</f>
        <v>46107</v>
      </c>
      <c r="E29" s="33">
        <f t="shared" si="5"/>
        <v>46108</v>
      </c>
      <c r="F29" s="33">
        <f t="shared" si="5"/>
        <v>46109</v>
      </c>
      <c r="G29" s="33">
        <f t="shared" si="5"/>
        <v>46110</v>
      </c>
      <c r="H29" s="33">
        <f t="shared" si="5"/>
        <v>46111</v>
      </c>
      <c r="I29" s="33">
        <f t="shared" si="5"/>
        <v>46112</v>
      </c>
      <c r="J29" s="33">
        <f t="shared" si="5"/>
        <v>46113</v>
      </c>
      <c r="K29" s="33">
        <f t="shared" si="5"/>
        <v>46114</v>
      </c>
      <c r="L29" s="33">
        <f t="shared" si="5"/>
        <v>46115</v>
      </c>
      <c r="M29" s="33">
        <f t="shared" si="5"/>
        <v>46116</v>
      </c>
      <c r="N29" s="33">
        <f t="shared" si="5"/>
        <v>46117</v>
      </c>
      <c r="O29" s="33">
        <f t="shared" si="5"/>
        <v>46118</v>
      </c>
      <c r="P29" s="33">
        <f t="shared" si="5"/>
        <v>46119</v>
      </c>
      <c r="Q29" s="33">
        <f t="shared" si="5"/>
        <v>46120</v>
      </c>
      <c r="R29" s="33">
        <f t="shared" si="5"/>
        <v>46121</v>
      </c>
      <c r="S29" s="33">
        <f t="shared" si="5"/>
        <v>46122</v>
      </c>
      <c r="T29" s="33">
        <f t="shared" si="5"/>
        <v>46123</v>
      </c>
      <c r="U29" s="33">
        <f t="shared" si="5"/>
        <v>46124</v>
      </c>
      <c r="V29" s="33">
        <f t="shared" si="5"/>
        <v>46125</v>
      </c>
      <c r="W29" s="33">
        <f t="shared" si="5"/>
        <v>46126</v>
      </c>
      <c r="X29" s="33">
        <f t="shared" si="5"/>
        <v>46127</v>
      </c>
      <c r="Y29" s="33">
        <f t="shared" si="5"/>
        <v>46128</v>
      </c>
      <c r="Z29" s="33">
        <f t="shared" si="5"/>
        <v>46129</v>
      </c>
      <c r="AA29" s="33">
        <f t="shared" si="5"/>
        <v>46130</v>
      </c>
      <c r="AB29" s="33">
        <f t="shared" si="5"/>
        <v>46131</v>
      </c>
      <c r="AC29" s="33">
        <f t="shared" si="5"/>
        <v>46132</v>
      </c>
      <c r="AD29" s="33">
        <f t="shared" si="5"/>
        <v>46133</v>
      </c>
      <c r="AE29" s="33">
        <f>IF(OR(AD29="",AD28="修了日"),"",IF(AND(DAY(DATE(YEAR(C29),2,29))=29,MONTH(C29)=2),AD29+1,IF(MONTH(C29)=2,"",AD29+1)))</f>
        <v>46134</v>
      </c>
      <c r="AF29" s="33">
        <f>IF(OR(AE29="",AE28="修了日"),"",IF(MONTH(C29)=2,"",AE29+1))</f>
        <v>46135</v>
      </c>
      <c r="AG29" s="65">
        <f>IF(OR(AF29="",AF28="修了日"),"",IF(OR(MONTH(C29)=2,MONTH(C29)=4,MONTH(C29)=6,MONTH(C29)=9,MONTH(C29)=11),"",AF29+1))</f>
        <v>46136</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46106</v>
      </c>
      <c r="D30" s="67">
        <f t="shared" si="6"/>
        <v>46107</v>
      </c>
      <c r="E30" s="67">
        <f t="shared" si="6"/>
        <v>46108</v>
      </c>
      <c r="F30" s="67">
        <f t="shared" si="6"/>
        <v>46109</v>
      </c>
      <c r="G30" s="67">
        <f t="shared" si="6"/>
        <v>46110</v>
      </c>
      <c r="H30" s="67">
        <f t="shared" si="6"/>
        <v>46111</v>
      </c>
      <c r="I30" s="67">
        <f t="shared" si="6"/>
        <v>46112</v>
      </c>
      <c r="J30" s="67">
        <f t="shared" si="6"/>
        <v>46113</v>
      </c>
      <c r="K30" s="67">
        <f t="shared" si="6"/>
        <v>46114</v>
      </c>
      <c r="L30" s="67">
        <f t="shared" si="6"/>
        <v>46115</v>
      </c>
      <c r="M30" s="67">
        <f t="shared" si="6"/>
        <v>46116</v>
      </c>
      <c r="N30" s="67">
        <f t="shared" si="6"/>
        <v>46117</v>
      </c>
      <c r="O30" s="67">
        <f t="shared" si="6"/>
        <v>46118</v>
      </c>
      <c r="P30" s="67">
        <f t="shared" si="6"/>
        <v>46119</v>
      </c>
      <c r="Q30" s="67">
        <f t="shared" si="6"/>
        <v>46120</v>
      </c>
      <c r="R30" s="67">
        <f t="shared" si="6"/>
        <v>46121</v>
      </c>
      <c r="S30" s="67">
        <f t="shared" si="6"/>
        <v>46122</v>
      </c>
      <c r="T30" s="67">
        <f t="shared" si="6"/>
        <v>46123</v>
      </c>
      <c r="U30" s="67">
        <f t="shared" si="6"/>
        <v>46124</v>
      </c>
      <c r="V30" s="67">
        <f t="shared" si="6"/>
        <v>46125</v>
      </c>
      <c r="W30" s="67">
        <f t="shared" si="6"/>
        <v>46126</v>
      </c>
      <c r="X30" s="67">
        <f t="shared" si="6"/>
        <v>46127</v>
      </c>
      <c r="Y30" s="67">
        <f t="shared" si="6"/>
        <v>46128</v>
      </c>
      <c r="Z30" s="67">
        <f t="shared" si="6"/>
        <v>46129</v>
      </c>
      <c r="AA30" s="67">
        <f t="shared" si="6"/>
        <v>46130</v>
      </c>
      <c r="AB30" s="67">
        <f>IF(AB29="","",+AB29)</f>
        <v>46131</v>
      </c>
      <c r="AC30" s="67">
        <f t="shared" si="6"/>
        <v>46132</v>
      </c>
      <c r="AD30" s="37">
        <f t="shared" si="6"/>
        <v>46133</v>
      </c>
      <c r="AE30" s="67">
        <f t="shared" si="6"/>
        <v>46134</v>
      </c>
      <c r="AF30" s="67">
        <f t="shared" si="6"/>
        <v>46135</v>
      </c>
      <c r="AG30" s="68">
        <f t="shared" si="6"/>
        <v>46136</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46106</v>
      </c>
      <c r="D31" s="39">
        <f t="shared" si="6"/>
        <v>46107</v>
      </c>
      <c r="E31" s="39">
        <f t="shared" si="6"/>
        <v>46108</v>
      </c>
      <c r="F31" s="39">
        <f t="shared" si="6"/>
        <v>46109</v>
      </c>
      <c r="G31" s="39">
        <f t="shared" si="6"/>
        <v>46110</v>
      </c>
      <c r="H31" s="39">
        <f t="shared" si="6"/>
        <v>46111</v>
      </c>
      <c r="I31" s="39">
        <f t="shared" si="6"/>
        <v>46112</v>
      </c>
      <c r="J31" s="39">
        <f t="shared" si="6"/>
        <v>46113</v>
      </c>
      <c r="K31" s="39">
        <f t="shared" si="6"/>
        <v>46114</v>
      </c>
      <c r="L31" s="39">
        <f t="shared" si="6"/>
        <v>46115</v>
      </c>
      <c r="M31" s="39">
        <f t="shared" si="6"/>
        <v>46116</v>
      </c>
      <c r="N31" s="39">
        <f t="shared" si="6"/>
        <v>46117</v>
      </c>
      <c r="O31" s="39">
        <f t="shared" si="6"/>
        <v>46118</v>
      </c>
      <c r="P31" s="39">
        <f t="shared" si="6"/>
        <v>46119</v>
      </c>
      <c r="Q31" s="39">
        <f t="shared" si="6"/>
        <v>46120</v>
      </c>
      <c r="R31" s="39">
        <f t="shared" si="6"/>
        <v>46121</v>
      </c>
      <c r="S31" s="39">
        <f t="shared" si="6"/>
        <v>46122</v>
      </c>
      <c r="T31" s="39">
        <f t="shared" si="6"/>
        <v>46123</v>
      </c>
      <c r="U31" s="39">
        <f t="shared" si="6"/>
        <v>46124</v>
      </c>
      <c r="V31" s="39">
        <f t="shared" si="6"/>
        <v>46125</v>
      </c>
      <c r="W31" s="39">
        <f t="shared" si="6"/>
        <v>46126</v>
      </c>
      <c r="X31" s="39">
        <f t="shared" si="6"/>
        <v>46127</v>
      </c>
      <c r="Y31" s="39">
        <f t="shared" si="6"/>
        <v>46128</v>
      </c>
      <c r="Z31" s="39">
        <f t="shared" si="6"/>
        <v>46129</v>
      </c>
      <c r="AA31" s="39">
        <f t="shared" si="6"/>
        <v>46130</v>
      </c>
      <c r="AB31" s="39">
        <f t="shared" si="6"/>
        <v>46131</v>
      </c>
      <c r="AC31" s="39">
        <f t="shared" si="6"/>
        <v>46132</v>
      </c>
      <c r="AD31" s="39">
        <f t="shared" si="6"/>
        <v>46133</v>
      </c>
      <c r="AE31" s="39">
        <f t="shared" si="6"/>
        <v>46134</v>
      </c>
      <c r="AF31" s="39">
        <f t="shared" si="6"/>
        <v>46135</v>
      </c>
      <c r="AG31" s="40">
        <f t="shared" si="6"/>
        <v>46136</v>
      </c>
      <c r="AH31" s="19"/>
      <c r="AI31" s="20"/>
      <c r="AJ31" s="20"/>
      <c r="AK31" s="20"/>
      <c r="AL31" s="20"/>
      <c r="AM31" s="20"/>
      <c r="AN31" s="20"/>
      <c r="AO31" s="20"/>
      <c r="AP31" s="20"/>
      <c r="AQ31" s="20"/>
      <c r="AR31" s="20"/>
      <c r="AS31" s="20"/>
      <c r="AT31" s="20"/>
      <c r="AU31" s="20"/>
      <c r="AV31" s="20"/>
    </row>
    <row r="32" spans="1:48" ht="18" customHeight="1">
      <c r="A32" s="411" t="s">
        <v>247</v>
      </c>
      <c r="B32" s="41"/>
      <c r="C32" s="412" t="s">
        <v>361</v>
      </c>
      <c r="D32" s="399" t="s">
        <v>361</v>
      </c>
      <c r="E32" s="399" t="s">
        <v>361</v>
      </c>
      <c r="F32" s="399" t="str">
        <f t="shared" ref="F32:AB32" si="7">IF(F$31="","",IF(F$31=$K$150,"ハローワーク来所日①",""))</f>
        <v/>
      </c>
      <c r="G32" s="399" t="str">
        <f t="shared" si="7"/>
        <v/>
      </c>
      <c r="H32" s="399" t="s">
        <v>361</v>
      </c>
      <c r="I32" s="399" t="str">
        <f t="shared" si="7"/>
        <v/>
      </c>
      <c r="J32" s="399" t="s">
        <v>362</v>
      </c>
      <c r="K32" s="399" t="s">
        <v>362</v>
      </c>
      <c r="L32" s="399" t="s">
        <v>362</v>
      </c>
      <c r="M32" s="399" t="str">
        <f t="shared" si="7"/>
        <v/>
      </c>
      <c r="N32" s="399" t="str">
        <f t="shared" si="7"/>
        <v/>
      </c>
      <c r="O32" s="399" t="s">
        <v>362</v>
      </c>
      <c r="P32" s="399" t="str">
        <f t="shared" si="7"/>
        <v>ハローワーク来所日①</v>
      </c>
      <c r="Q32" s="399" t="str">
        <f t="shared" si="7"/>
        <v/>
      </c>
      <c r="R32" s="399" t="s">
        <v>362</v>
      </c>
      <c r="S32" s="399" t="s">
        <v>362</v>
      </c>
      <c r="T32" s="399" t="str">
        <f t="shared" si="7"/>
        <v/>
      </c>
      <c r="U32" s="399" t="str">
        <f t="shared" si="7"/>
        <v/>
      </c>
      <c r="V32" s="399" t="s">
        <v>362</v>
      </c>
      <c r="W32" s="399" t="str">
        <f t="shared" si="7"/>
        <v/>
      </c>
      <c r="X32" s="399" t="s">
        <v>230</v>
      </c>
      <c r="Y32" s="399" t="s">
        <v>230</v>
      </c>
      <c r="Z32" s="399" t="s">
        <v>230</v>
      </c>
      <c r="AA32" s="399" t="str">
        <f t="shared" si="7"/>
        <v/>
      </c>
      <c r="AB32" s="399" t="str">
        <f t="shared" si="7"/>
        <v/>
      </c>
      <c r="AC32" s="399" t="s">
        <v>230</v>
      </c>
      <c r="AD32" s="399" t="s">
        <v>230</v>
      </c>
      <c r="AE32" s="399"/>
      <c r="AF32" s="399" t="s">
        <v>230</v>
      </c>
      <c r="AG32" s="402" t="s">
        <v>230</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c r="I45" s="49"/>
      <c r="J45" s="44"/>
      <c r="K45" s="44"/>
      <c r="L45" s="44"/>
      <c r="M45" s="44"/>
      <c r="N45" s="44"/>
      <c r="O45" s="49"/>
      <c r="P45" s="49"/>
      <c r="Q45" s="44"/>
      <c r="R45" s="44"/>
      <c r="S45" s="44"/>
      <c r="T45" s="49"/>
      <c r="U45" s="49"/>
      <c r="V45" s="49" t="s">
        <v>64</v>
      </c>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[2]機構処理!BI77</f>
        <v/>
      </c>
      <c r="AJ46" s="418"/>
      <c r="AK46" s="70"/>
      <c r="AL46" s="70"/>
      <c r="AM46" s="70"/>
      <c r="AN46" s="70"/>
      <c r="AO46" s="70"/>
      <c r="AP46" s="20"/>
      <c r="AQ46" s="20"/>
      <c r="AR46" s="20"/>
      <c r="AS46" s="20"/>
      <c r="AT46" s="20"/>
      <c r="AU46" s="20"/>
      <c r="AV46" s="20"/>
    </row>
    <row r="47" spans="1:48" ht="18" customHeight="1">
      <c r="A47" s="35"/>
      <c r="B47" s="407" t="s">
        <v>66</v>
      </c>
      <c r="C47" s="56">
        <v>6</v>
      </c>
      <c r="D47" s="57">
        <v>6</v>
      </c>
      <c r="E47" s="57">
        <v>6</v>
      </c>
      <c r="F47" s="57"/>
      <c r="G47" s="57"/>
      <c r="H47" s="57">
        <v>6</v>
      </c>
      <c r="I47" s="57"/>
      <c r="J47" s="57">
        <v>6</v>
      </c>
      <c r="K47" s="57">
        <v>6</v>
      </c>
      <c r="L47" s="57">
        <v>6</v>
      </c>
      <c r="M47" s="57"/>
      <c r="N47" s="57"/>
      <c r="O47" s="57">
        <v>6</v>
      </c>
      <c r="P47" s="57"/>
      <c r="Q47" s="57"/>
      <c r="R47" s="57">
        <v>6</v>
      </c>
      <c r="S47" s="57">
        <v>6</v>
      </c>
      <c r="T47" s="57"/>
      <c r="U47" s="57"/>
      <c r="V47" s="57">
        <v>6</v>
      </c>
      <c r="W47" s="57"/>
      <c r="X47" s="57">
        <v>6</v>
      </c>
      <c r="Y47" s="57">
        <v>6</v>
      </c>
      <c r="Z47" s="57">
        <v>6</v>
      </c>
      <c r="AA47" s="57"/>
      <c r="AB47" s="57"/>
      <c r="AC47" s="57">
        <v>6</v>
      </c>
      <c r="AD47" s="57">
        <v>6</v>
      </c>
      <c r="AE47" s="57"/>
      <c r="AF47" s="57">
        <v>6</v>
      </c>
      <c r="AG47" s="58">
        <v>6</v>
      </c>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IF(C29="","",[2]機構処理!BF35)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46137</v>
      </c>
      <c r="D51" s="33">
        <f t="shared" ref="D51:AD51" si="9">IF(OR(C51="",C50="修了日"),"",C51+1)</f>
        <v>46138</v>
      </c>
      <c r="E51" s="33">
        <f t="shared" si="9"/>
        <v>46139</v>
      </c>
      <c r="F51" s="33">
        <f t="shared" si="9"/>
        <v>46140</v>
      </c>
      <c r="G51" s="33">
        <f t="shared" si="9"/>
        <v>46141</v>
      </c>
      <c r="H51" s="33">
        <f t="shared" si="9"/>
        <v>46142</v>
      </c>
      <c r="I51" s="33">
        <f t="shared" si="9"/>
        <v>46143</v>
      </c>
      <c r="J51" s="33">
        <f t="shared" si="9"/>
        <v>46144</v>
      </c>
      <c r="K51" s="33">
        <f t="shared" si="9"/>
        <v>46145</v>
      </c>
      <c r="L51" s="33">
        <f t="shared" si="9"/>
        <v>46146</v>
      </c>
      <c r="M51" s="33">
        <f t="shared" si="9"/>
        <v>46147</v>
      </c>
      <c r="N51" s="33">
        <f t="shared" si="9"/>
        <v>46148</v>
      </c>
      <c r="O51" s="33">
        <f t="shared" si="9"/>
        <v>46149</v>
      </c>
      <c r="P51" s="33">
        <f t="shared" si="9"/>
        <v>46150</v>
      </c>
      <c r="Q51" s="33">
        <f t="shared" si="9"/>
        <v>46151</v>
      </c>
      <c r="R51" s="33">
        <f t="shared" si="9"/>
        <v>46152</v>
      </c>
      <c r="S51" s="33">
        <f t="shared" si="9"/>
        <v>46153</v>
      </c>
      <c r="T51" s="33">
        <f t="shared" si="9"/>
        <v>46154</v>
      </c>
      <c r="U51" s="33">
        <f t="shared" si="9"/>
        <v>46155</v>
      </c>
      <c r="V51" s="33">
        <f t="shared" si="9"/>
        <v>46156</v>
      </c>
      <c r="W51" s="33">
        <f t="shared" si="9"/>
        <v>46157</v>
      </c>
      <c r="X51" s="33">
        <f t="shared" si="9"/>
        <v>46158</v>
      </c>
      <c r="Y51" s="33">
        <f t="shared" si="9"/>
        <v>46159</v>
      </c>
      <c r="Z51" s="33">
        <f t="shared" si="9"/>
        <v>46160</v>
      </c>
      <c r="AA51" s="33">
        <f t="shared" si="9"/>
        <v>46161</v>
      </c>
      <c r="AB51" s="33">
        <f t="shared" si="9"/>
        <v>46162</v>
      </c>
      <c r="AC51" s="33">
        <f t="shared" si="9"/>
        <v>46163</v>
      </c>
      <c r="AD51" s="33">
        <f t="shared" si="9"/>
        <v>46164</v>
      </c>
      <c r="AE51" s="33">
        <f>IF(OR(AD51="",AD50="修了日"),"",IF(AND(DAY(DATE(YEAR(C51),2,29))=29,MONTH(C51)=2),AD51+1,IF(MONTH(C51)=2,"",AD51+1)))</f>
        <v>46165</v>
      </c>
      <c r="AF51" s="33">
        <f>IF(OR(AE51="",AE50="修了日"),"",IF(MONTH(C51)=2,"",AE51+1))</f>
        <v>46166</v>
      </c>
      <c r="AG51" s="65" t="str">
        <f>IF(OR(AF51="",AF50="修了日"),"",IF(OR(MONTH(C51)=2,MONTH(C51)=4,MONTH(C51)=6,MONTH(C51)=9,MONTH(C51)=11),"",AF51+1))</f>
        <v/>
      </c>
      <c r="AH51" s="19"/>
      <c r="AI51" s="20"/>
      <c r="AJ51" s="20"/>
      <c r="AK51" s="20"/>
      <c r="AL51" s="20"/>
      <c r="AM51" s="20"/>
      <c r="AN51" s="20"/>
      <c r="AO51" s="20"/>
      <c r="AP51" s="20"/>
      <c r="AQ51" s="20"/>
      <c r="AR51" s="20"/>
      <c r="AS51" s="20"/>
      <c r="AT51" s="20"/>
      <c r="AU51" s="20"/>
      <c r="AV51" s="20"/>
    </row>
    <row r="52" spans="1:48" ht="18" customHeight="1">
      <c r="A52" s="35"/>
      <c r="B52" s="31" t="s">
        <v>52</v>
      </c>
      <c r="C52" s="67">
        <f>+C51</f>
        <v>46137</v>
      </c>
      <c r="D52" s="67">
        <f t="shared" ref="D52:AG53" si="10">IF(D51="","",+D51)</f>
        <v>46138</v>
      </c>
      <c r="E52" s="67">
        <f t="shared" si="10"/>
        <v>46139</v>
      </c>
      <c r="F52" s="67">
        <f t="shared" si="10"/>
        <v>46140</v>
      </c>
      <c r="G52" s="67">
        <f t="shared" si="10"/>
        <v>46141</v>
      </c>
      <c r="H52" s="67">
        <f t="shared" si="10"/>
        <v>46142</v>
      </c>
      <c r="I52" s="67">
        <f t="shared" si="10"/>
        <v>46143</v>
      </c>
      <c r="J52" s="67">
        <f t="shared" si="10"/>
        <v>46144</v>
      </c>
      <c r="K52" s="67">
        <f t="shared" si="10"/>
        <v>46145</v>
      </c>
      <c r="L52" s="67">
        <f t="shared" si="10"/>
        <v>46146</v>
      </c>
      <c r="M52" s="67">
        <f t="shared" si="10"/>
        <v>46147</v>
      </c>
      <c r="N52" s="67">
        <f t="shared" si="10"/>
        <v>46148</v>
      </c>
      <c r="O52" s="67">
        <f t="shared" si="10"/>
        <v>46149</v>
      </c>
      <c r="P52" s="67">
        <f t="shared" si="10"/>
        <v>46150</v>
      </c>
      <c r="Q52" s="67">
        <f t="shared" si="10"/>
        <v>46151</v>
      </c>
      <c r="R52" s="67">
        <f t="shared" si="10"/>
        <v>46152</v>
      </c>
      <c r="S52" s="67">
        <f t="shared" si="10"/>
        <v>46153</v>
      </c>
      <c r="T52" s="67">
        <f t="shared" si="10"/>
        <v>46154</v>
      </c>
      <c r="U52" s="67">
        <f t="shared" si="10"/>
        <v>46155</v>
      </c>
      <c r="V52" s="67">
        <f t="shared" si="10"/>
        <v>46156</v>
      </c>
      <c r="W52" s="67">
        <f t="shared" si="10"/>
        <v>46157</v>
      </c>
      <c r="X52" s="67">
        <f t="shared" si="10"/>
        <v>46158</v>
      </c>
      <c r="Y52" s="67">
        <f t="shared" si="10"/>
        <v>46159</v>
      </c>
      <c r="Z52" s="67">
        <f t="shared" si="10"/>
        <v>46160</v>
      </c>
      <c r="AA52" s="67">
        <f t="shared" si="10"/>
        <v>46161</v>
      </c>
      <c r="AB52" s="67">
        <f t="shared" si="10"/>
        <v>46162</v>
      </c>
      <c r="AC52" s="67">
        <f t="shared" si="10"/>
        <v>46163</v>
      </c>
      <c r="AD52" s="67">
        <f t="shared" si="10"/>
        <v>46164</v>
      </c>
      <c r="AE52" s="67">
        <f t="shared" si="10"/>
        <v>46165</v>
      </c>
      <c r="AF52" s="67">
        <f t="shared" si="10"/>
        <v>46166</v>
      </c>
      <c r="AG52" s="38" t="str">
        <f t="shared" si="10"/>
        <v/>
      </c>
      <c r="AH52" s="19"/>
      <c r="AI52" s="20"/>
      <c r="AJ52" s="20"/>
      <c r="AK52" s="20"/>
      <c r="AL52" s="20"/>
      <c r="AM52" s="20"/>
      <c r="AN52" s="20"/>
      <c r="AO52" s="20"/>
      <c r="AP52" s="20"/>
      <c r="AQ52" s="20"/>
      <c r="AR52" s="20"/>
      <c r="AS52" s="20"/>
      <c r="AT52" s="20"/>
      <c r="AU52" s="20"/>
      <c r="AV52" s="20"/>
    </row>
    <row r="53" spans="1:48" ht="18" customHeight="1">
      <c r="A53" s="35"/>
      <c r="B53" s="31" t="s">
        <v>53</v>
      </c>
      <c r="C53" s="39">
        <f>+C52</f>
        <v>46137</v>
      </c>
      <c r="D53" s="39">
        <f t="shared" si="10"/>
        <v>46138</v>
      </c>
      <c r="E53" s="39">
        <f t="shared" si="10"/>
        <v>46139</v>
      </c>
      <c r="F53" s="39">
        <f t="shared" si="10"/>
        <v>46140</v>
      </c>
      <c r="G53" s="39">
        <f t="shared" si="10"/>
        <v>46141</v>
      </c>
      <c r="H53" s="39">
        <f t="shared" si="10"/>
        <v>46142</v>
      </c>
      <c r="I53" s="39">
        <f t="shared" si="10"/>
        <v>46143</v>
      </c>
      <c r="J53" s="39">
        <f t="shared" si="10"/>
        <v>46144</v>
      </c>
      <c r="K53" s="39">
        <f t="shared" si="10"/>
        <v>46145</v>
      </c>
      <c r="L53" s="39">
        <f t="shared" si="10"/>
        <v>46146</v>
      </c>
      <c r="M53" s="39">
        <f t="shared" si="10"/>
        <v>46147</v>
      </c>
      <c r="N53" s="39">
        <f t="shared" si="10"/>
        <v>46148</v>
      </c>
      <c r="O53" s="39">
        <f t="shared" si="10"/>
        <v>46149</v>
      </c>
      <c r="P53" s="39">
        <f t="shared" si="10"/>
        <v>46150</v>
      </c>
      <c r="Q53" s="39">
        <f t="shared" si="10"/>
        <v>46151</v>
      </c>
      <c r="R53" s="39">
        <f t="shared" si="10"/>
        <v>46152</v>
      </c>
      <c r="S53" s="39">
        <f t="shared" si="10"/>
        <v>46153</v>
      </c>
      <c r="T53" s="39">
        <f t="shared" si="10"/>
        <v>46154</v>
      </c>
      <c r="U53" s="39">
        <f t="shared" si="10"/>
        <v>46155</v>
      </c>
      <c r="V53" s="39">
        <f t="shared" si="10"/>
        <v>46156</v>
      </c>
      <c r="W53" s="39">
        <f t="shared" si="10"/>
        <v>46157</v>
      </c>
      <c r="X53" s="39">
        <f t="shared" si="10"/>
        <v>46158</v>
      </c>
      <c r="Y53" s="39">
        <f t="shared" si="10"/>
        <v>46159</v>
      </c>
      <c r="Z53" s="39">
        <f t="shared" si="10"/>
        <v>46160</v>
      </c>
      <c r="AA53" s="39">
        <f t="shared" si="10"/>
        <v>46161</v>
      </c>
      <c r="AB53" s="39">
        <f t="shared" si="10"/>
        <v>46162</v>
      </c>
      <c r="AC53" s="39">
        <f t="shared" si="10"/>
        <v>46163</v>
      </c>
      <c r="AD53" s="39">
        <f t="shared" si="10"/>
        <v>46164</v>
      </c>
      <c r="AE53" s="39">
        <f t="shared" si="10"/>
        <v>46165</v>
      </c>
      <c r="AF53" s="39">
        <f t="shared" si="10"/>
        <v>46166</v>
      </c>
      <c r="AG53" s="40" t="str">
        <f t="shared" si="10"/>
        <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G54" si="11">IF(C$53="","",IF(C$53=$K$151,"ハローワーク来所日②",""))</f>
        <v/>
      </c>
      <c r="D54" s="399" t="str">
        <f t="shared" si="11"/>
        <v/>
      </c>
      <c r="E54" s="399" t="s">
        <v>230</v>
      </c>
      <c r="F54" s="399" t="s">
        <v>363</v>
      </c>
      <c r="G54" s="399" t="str">
        <f t="shared" si="11"/>
        <v/>
      </c>
      <c r="H54" s="399" t="s">
        <v>363</v>
      </c>
      <c r="I54" s="399" t="s">
        <v>317</v>
      </c>
      <c r="J54" s="399" t="str">
        <f t="shared" si="11"/>
        <v/>
      </c>
      <c r="K54" s="399" t="str">
        <f t="shared" si="11"/>
        <v/>
      </c>
      <c r="L54" s="399" t="str">
        <f t="shared" si="11"/>
        <v/>
      </c>
      <c r="M54" s="399" t="str">
        <f t="shared" si="11"/>
        <v/>
      </c>
      <c r="N54" s="399" t="str">
        <f t="shared" si="11"/>
        <v/>
      </c>
      <c r="O54" s="399" t="str">
        <f t="shared" si="11"/>
        <v>ハローワーク来所日②</v>
      </c>
      <c r="P54" s="399" t="s">
        <v>363</v>
      </c>
      <c r="Q54" s="399" t="s">
        <v>107</v>
      </c>
      <c r="R54" s="399" t="str">
        <f t="shared" si="11"/>
        <v/>
      </c>
      <c r="S54" s="399" t="s">
        <v>363</v>
      </c>
      <c r="T54" s="399" t="s">
        <v>363</v>
      </c>
      <c r="U54" s="399" t="s">
        <v>363</v>
      </c>
      <c r="V54" s="399" t="s">
        <v>363</v>
      </c>
      <c r="W54" s="399" t="s">
        <v>363</v>
      </c>
      <c r="X54" s="399" t="s">
        <v>107</v>
      </c>
      <c r="Y54" s="399" t="str">
        <f t="shared" si="11"/>
        <v/>
      </c>
      <c r="Z54" s="399" t="s">
        <v>363</v>
      </c>
      <c r="AA54" s="399"/>
      <c r="AB54" s="399" t="s">
        <v>363</v>
      </c>
      <c r="AC54" s="399" t="s">
        <v>363</v>
      </c>
      <c r="AD54" s="399" t="s">
        <v>363</v>
      </c>
      <c r="AE54" s="399" t="str">
        <f t="shared" si="11"/>
        <v/>
      </c>
      <c r="AF54" s="399" t="str">
        <f t="shared" si="11"/>
        <v/>
      </c>
      <c r="AG54" s="402" t="str">
        <f t="shared" si="11"/>
        <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t="s">
        <v>64</v>
      </c>
      <c r="F67" s="44"/>
      <c r="G67" s="44"/>
      <c r="H67" s="49"/>
      <c r="I67" s="49"/>
      <c r="J67" s="44"/>
      <c r="K67" s="44"/>
      <c r="L67" s="44"/>
      <c r="M67" s="44"/>
      <c r="N67" s="44"/>
      <c r="O67" s="49"/>
      <c r="P67" s="49"/>
      <c r="Q67" s="44"/>
      <c r="R67" s="44"/>
      <c r="S67" s="44"/>
      <c r="T67" s="49"/>
      <c r="U67" s="49"/>
      <c r="V67" s="49"/>
      <c r="W67" s="49"/>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[2]機構処理!BI81</f>
        <v/>
      </c>
      <c r="AJ68" s="416"/>
      <c r="AK68" s="72"/>
      <c r="AL68" s="70"/>
      <c r="AM68" s="72"/>
      <c r="AN68" s="72"/>
      <c r="AO68" s="72"/>
      <c r="AP68" s="20"/>
      <c r="AQ68" s="20"/>
      <c r="AR68" s="20"/>
      <c r="AS68" s="20"/>
      <c r="AT68" s="20"/>
      <c r="AU68" s="20"/>
      <c r="AV68" s="20"/>
    </row>
    <row r="69" spans="1:48" ht="18" customHeight="1">
      <c r="A69" s="35"/>
      <c r="B69" s="407" t="s">
        <v>66</v>
      </c>
      <c r="C69" s="56"/>
      <c r="D69" s="57"/>
      <c r="E69" s="57">
        <v>6</v>
      </c>
      <c r="F69" s="57">
        <v>6</v>
      </c>
      <c r="G69" s="57"/>
      <c r="H69" s="57">
        <v>6</v>
      </c>
      <c r="I69" s="57">
        <v>6</v>
      </c>
      <c r="J69" s="57"/>
      <c r="K69" s="57"/>
      <c r="L69" s="57"/>
      <c r="M69" s="57"/>
      <c r="N69" s="57"/>
      <c r="O69" s="57"/>
      <c r="P69" s="57">
        <v>6</v>
      </c>
      <c r="Q69" s="57">
        <v>0</v>
      </c>
      <c r="R69" s="57"/>
      <c r="S69" s="57">
        <v>6</v>
      </c>
      <c r="T69" s="57">
        <v>6</v>
      </c>
      <c r="U69" s="57">
        <v>6</v>
      </c>
      <c r="V69" s="57">
        <v>6</v>
      </c>
      <c r="W69" s="57">
        <v>6</v>
      </c>
      <c r="X69" s="57">
        <v>0</v>
      </c>
      <c r="Y69" s="57"/>
      <c r="Z69" s="57">
        <v>6</v>
      </c>
      <c r="AA69" s="57"/>
      <c r="AB69" s="57">
        <v>6</v>
      </c>
      <c r="AC69" s="57">
        <v>6</v>
      </c>
      <c r="AD69" s="57">
        <v>6</v>
      </c>
      <c r="AE69" s="57"/>
      <c r="AF69" s="57"/>
      <c r="AG69" s="73"/>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IF(C51="","",[2]機構処理!BF41)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46167</v>
      </c>
      <c r="D73" s="33">
        <f t="shared" ref="D73:AD73" si="13">IF(OR(C73="",C72="修了日"),"",C73+1)</f>
        <v>46168</v>
      </c>
      <c r="E73" s="33">
        <f t="shared" si="13"/>
        <v>46169</v>
      </c>
      <c r="F73" s="33">
        <f t="shared" si="13"/>
        <v>46170</v>
      </c>
      <c r="G73" s="33">
        <f t="shared" si="13"/>
        <v>46171</v>
      </c>
      <c r="H73" s="33">
        <f t="shared" si="13"/>
        <v>46172</v>
      </c>
      <c r="I73" s="33">
        <f t="shared" si="13"/>
        <v>46173</v>
      </c>
      <c r="J73" s="33">
        <f t="shared" si="13"/>
        <v>46174</v>
      </c>
      <c r="K73" s="33">
        <f t="shared" si="13"/>
        <v>46175</v>
      </c>
      <c r="L73" s="33">
        <f t="shared" si="13"/>
        <v>46176</v>
      </c>
      <c r="M73" s="33">
        <f t="shared" si="13"/>
        <v>46177</v>
      </c>
      <c r="N73" s="33">
        <f t="shared" si="13"/>
        <v>46178</v>
      </c>
      <c r="O73" s="33">
        <f t="shared" si="13"/>
        <v>46179</v>
      </c>
      <c r="P73" s="33">
        <f t="shared" si="13"/>
        <v>46180</v>
      </c>
      <c r="Q73" s="33">
        <f t="shared" si="13"/>
        <v>46181</v>
      </c>
      <c r="R73" s="33">
        <f t="shared" si="13"/>
        <v>46182</v>
      </c>
      <c r="S73" s="33">
        <f t="shared" si="13"/>
        <v>46183</v>
      </c>
      <c r="T73" s="33">
        <f t="shared" si="13"/>
        <v>46184</v>
      </c>
      <c r="U73" s="33">
        <f t="shared" si="13"/>
        <v>46185</v>
      </c>
      <c r="V73" s="33">
        <f t="shared" si="13"/>
        <v>46186</v>
      </c>
      <c r="W73" s="33">
        <f t="shared" si="13"/>
        <v>46187</v>
      </c>
      <c r="X73" s="33">
        <f t="shared" si="13"/>
        <v>46188</v>
      </c>
      <c r="Y73" s="33">
        <f t="shared" si="13"/>
        <v>46189</v>
      </c>
      <c r="Z73" s="33">
        <f t="shared" si="13"/>
        <v>46190</v>
      </c>
      <c r="AA73" s="33">
        <f t="shared" si="13"/>
        <v>46191</v>
      </c>
      <c r="AB73" s="33">
        <f t="shared" si="13"/>
        <v>46192</v>
      </c>
      <c r="AC73" s="33">
        <f t="shared" si="13"/>
        <v>46193</v>
      </c>
      <c r="AD73" s="33">
        <f t="shared" si="13"/>
        <v>46194</v>
      </c>
      <c r="AE73" s="33">
        <f>IF(OR(AD73="",AD72="修了日"),"",IF(AND(DAY(DATE(YEAR(C73),2,29))=29,MONTH(C73)=2),AD73+1,IF(MONTH(C73)=2,"",AD73+1)))</f>
        <v>46195</v>
      </c>
      <c r="AF73" s="33">
        <f>IF(OR(AE73="",AE72="修了日"),"",IF(MONTH(C73)=2,"",AE73+1))</f>
        <v>46196</v>
      </c>
      <c r="AG73" s="65">
        <f>IF(OR(AF73="",AF72="修了日"),"",IF(OR(MONTH(C73)=2,MONTH(C73)=4,MONTH(C73)=6,MONTH(C73)=9,MONTH(C73)=11),"",AF73+1))</f>
        <v>46197</v>
      </c>
      <c r="AH73" s="19"/>
      <c r="AI73" s="20"/>
      <c r="AJ73" s="20"/>
      <c r="AK73" s="20"/>
      <c r="AL73" s="20"/>
      <c r="AM73" s="20"/>
      <c r="AN73" s="20"/>
      <c r="AO73" s="20"/>
      <c r="AP73" s="20"/>
      <c r="AQ73" s="20"/>
      <c r="AR73" s="20"/>
      <c r="AS73" s="20"/>
      <c r="AT73" s="20"/>
      <c r="AU73" s="20"/>
      <c r="AV73" s="20"/>
    </row>
    <row r="74" spans="1:48" ht="18.75" customHeight="1">
      <c r="A74" s="35"/>
      <c r="B74" s="31" t="s">
        <v>52</v>
      </c>
      <c r="C74" s="67">
        <f>+C73</f>
        <v>46167</v>
      </c>
      <c r="D74" s="67">
        <f t="shared" ref="D74:AG75" si="14">IF(D73="","",+D73)</f>
        <v>46168</v>
      </c>
      <c r="E74" s="67">
        <f t="shared" si="14"/>
        <v>46169</v>
      </c>
      <c r="F74" s="67">
        <f t="shared" si="14"/>
        <v>46170</v>
      </c>
      <c r="G74" s="67">
        <f t="shared" si="14"/>
        <v>46171</v>
      </c>
      <c r="H74" s="67">
        <f t="shared" si="14"/>
        <v>46172</v>
      </c>
      <c r="I74" s="67">
        <f t="shared" si="14"/>
        <v>46173</v>
      </c>
      <c r="J74" s="67">
        <f t="shared" si="14"/>
        <v>46174</v>
      </c>
      <c r="K74" s="67">
        <f t="shared" si="14"/>
        <v>46175</v>
      </c>
      <c r="L74" s="67">
        <f t="shared" si="14"/>
        <v>46176</v>
      </c>
      <c r="M74" s="67">
        <f t="shared" si="14"/>
        <v>46177</v>
      </c>
      <c r="N74" s="67">
        <f t="shared" si="14"/>
        <v>46178</v>
      </c>
      <c r="O74" s="67">
        <f t="shared" si="14"/>
        <v>46179</v>
      </c>
      <c r="P74" s="67">
        <f t="shared" si="14"/>
        <v>46180</v>
      </c>
      <c r="Q74" s="67">
        <f t="shared" si="14"/>
        <v>46181</v>
      </c>
      <c r="R74" s="67">
        <f t="shared" si="14"/>
        <v>46182</v>
      </c>
      <c r="S74" s="67">
        <f t="shared" si="14"/>
        <v>46183</v>
      </c>
      <c r="T74" s="67">
        <f t="shared" si="14"/>
        <v>46184</v>
      </c>
      <c r="U74" s="67">
        <f t="shared" si="14"/>
        <v>46185</v>
      </c>
      <c r="V74" s="67">
        <f t="shared" si="14"/>
        <v>46186</v>
      </c>
      <c r="W74" s="67">
        <f t="shared" si="14"/>
        <v>46187</v>
      </c>
      <c r="X74" s="67">
        <f t="shared" si="14"/>
        <v>46188</v>
      </c>
      <c r="Y74" s="67">
        <f t="shared" si="14"/>
        <v>46189</v>
      </c>
      <c r="Z74" s="67">
        <f t="shared" si="14"/>
        <v>46190</v>
      </c>
      <c r="AA74" s="67">
        <f t="shared" si="14"/>
        <v>46191</v>
      </c>
      <c r="AB74" s="67">
        <f t="shared" si="14"/>
        <v>46192</v>
      </c>
      <c r="AC74" s="67">
        <f t="shared" si="14"/>
        <v>46193</v>
      </c>
      <c r="AD74" s="67">
        <f t="shared" si="14"/>
        <v>46194</v>
      </c>
      <c r="AE74" s="67">
        <f t="shared" si="14"/>
        <v>46195</v>
      </c>
      <c r="AF74" s="67">
        <f t="shared" si="14"/>
        <v>46196</v>
      </c>
      <c r="AG74" s="38">
        <f t="shared" si="14"/>
        <v>46197</v>
      </c>
      <c r="AH74" s="19"/>
      <c r="AI74" s="20"/>
      <c r="AJ74" s="20"/>
      <c r="AK74" s="20"/>
      <c r="AL74" s="20"/>
      <c r="AM74" s="20"/>
      <c r="AN74" s="20"/>
      <c r="AO74" s="20"/>
      <c r="AP74" s="20"/>
      <c r="AQ74" s="20"/>
      <c r="AR74" s="20"/>
      <c r="AS74" s="20"/>
      <c r="AT74" s="20"/>
      <c r="AU74" s="20"/>
      <c r="AV74" s="20"/>
    </row>
    <row r="75" spans="1:48" ht="18.75" customHeight="1">
      <c r="A75" s="35"/>
      <c r="B75" s="31" t="s">
        <v>53</v>
      </c>
      <c r="C75" s="39">
        <f>+C74</f>
        <v>46167</v>
      </c>
      <c r="D75" s="39">
        <f t="shared" si="14"/>
        <v>46168</v>
      </c>
      <c r="E75" s="39">
        <f t="shared" si="14"/>
        <v>46169</v>
      </c>
      <c r="F75" s="39">
        <f t="shared" si="14"/>
        <v>46170</v>
      </c>
      <c r="G75" s="39">
        <f t="shared" si="14"/>
        <v>46171</v>
      </c>
      <c r="H75" s="39">
        <f t="shared" si="14"/>
        <v>46172</v>
      </c>
      <c r="I75" s="39">
        <f t="shared" si="14"/>
        <v>46173</v>
      </c>
      <c r="J75" s="39">
        <f t="shared" si="14"/>
        <v>46174</v>
      </c>
      <c r="K75" s="39">
        <f t="shared" si="14"/>
        <v>46175</v>
      </c>
      <c r="L75" s="39">
        <f t="shared" si="14"/>
        <v>46176</v>
      </c>
      <c r="M75" s="39">
        <f t="shared" si="14"/>
        <v>46177</v>
      </c>
      <c r="N75" s="39">
        <f t="shared" si="14"/>
        <v>46178</v>
      </c>
      <c r="O75" s="39">
        <f t="shared" si="14"/>
        <v>46179</v>
      </c>
      <c r="P75" s="39">
        <f t="shared" si="14"/>
        <v>46180</v>
      </c>
      <c r="Q75" s="39">
        <f t="shared" si="14"/>
        <v>46181</v>
      </c>
      <c r="R75" s="39">
        <f t="shared" si="14"/>
        <v>46182</v>
      </c>
      <c r="S75" s="39">
        <f t="shared" si="14"/>
        <v>46183</v>
      </c>
      <c r="T75" s="39">
        <f t="shared" si="14"/>
        <v>46184</v>
      </c>
      <c r="U75" s="39">
        <f t="shared" si="14"/>
        <v>46185</v>
      </c>
      <c r="V75" s="39">
        <f t="shared" si="14"/>
        <v>46186</v>
      </c>
      <c r="W75" s="39">
        <f t="shared" si="14"/>
        <v>46187</v>
      </c>
      <c r="X75" s="39">
        <f t="shared" si="14"/>
        <v>46188</v>
      </c>
      <c r="Y75" s="39">
        <f t="shared" si="14"/>
        <v>46189</v>
      </c>
      <c r="Z75" s="39">
        <f t="shared" si="14"/>
        <v>46190</v>
      </c>
      <c r="AA75" s="39">
        <f t="shared" si="14"/>
        <v>46191</v>
      </c>
      <c r="AB75" s="39">
        <f t="shared" si="14"/>
        <v>46192</v>
      </c>
      <c r="AC75" s="39">
        <f t="shared" si="14"/>
        <v>46193</v>
      </c>
      <c r="AD75" s="39">
        <f t="shared" si="14"/>
        <v>46194</v>
      </c>
      <c r="AE75" s="39">
        <f t="shared" si="14"/>
        <v>46195</v>
      </c>
      <c r="AF75" s="39">
        <f t="shared" si="14"/>
        <v>46196</v>
      </c>
      <c r="AG75" s="40">
        <f t="shared" si="14"/>
        <v>46197</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
        <v>363</v>
      </c>
      <c r="D76" s="399"/>
      <c r="E76" s="399" t="str">
        <f t="shared" ref="E76:AE76" si="15">IF(E$75="","",IF(E$75=$K$152,"ハローワーク来所日③",""))</f>
        <v/>
      </c>
      <c r="F76" s="399" t="s">
        <v>363</v>
      </c>
      <c r="G76" s="399" t="s">
        <v>363</v>
      </c>
      <c r="H76" s="399" t="str">
        <f t="shared" si="15"/>
        <v/>
      </c>
      <c r="I76" s="399" t="str">
        <f t="shared" si="15"/>
        <v/>
      </c>
      <c r="J76" s="399" t="s">
        <v>363</v>
      </c>
      <c r="K76" s="399" t="str">
        <f t="shared" si="15"/>
        <v/>
      </c>
      <c r="L76" s="399" t="s">
        <v>364</v>
      </c>
      <c r="M76" s="399" t="s">
        <v>364</v>
      </c>
      <c r="N76" s="399" t="str">
        <f t="shared" si="15"/>
        <v>ハローワーク来所日③</v>
      </c>
      <c r="O76" s="399" t="str">
        <f t="shared" si="15"/>
        <v/>
      </c>
      <c r="P76" s="399" t="str">
        <f t="shared" si="15"/>
        <v/>
      </c>
      <c r="Q76" s="399" t="s">
        <v>364</v>
      </c>
      <c r="R76" s="399" t="str">
        <f t="shared" si="15"/>
        <v/>
      </c>
      <c r="S76" s="399" t="str">
        <f t="shared" si="15"/>
        <v/>
      </c>
      <c r="T76" s="399" t="s">
        <v>364</v>
      </c>
      <c r="U76" s="399" t="s">
        <v>364</v>
      </c>
      <c r="V76" s="399" t="str">
        <f t="shared" si="15"/>
        <v/>
      </c>
      <c r="W76" s="399" t="str">
        <f t="shared" si="15"/>
        <v/>
      </c>
      <c r="X76" s="399" t="s">
        <v>364</v>
      </c>
      <c r="Y76" s="399" t="str">
        <f t="shared" si="15"/>
        <v/>
      </c>
      <c r="Z76" s="399" t="s">
        <v>364</v>
      </c>
      <c r="AA76" s="399" t="s">
        <v>279</v>
      </c>
      <c r="AB76" s="399" t="s">
        <v>364</v>
      </c>
      <c r="AC76" s="399" t="str">
        <f t="shared" si="15"/>
        <v/>
      </c>
      <c r="AD76" s="399" t="str">
        <f t="shared" si="15"/>
        <v/>
      </c>
      <c r="AE76" s="399" t="str">
        <f t="shared" si="15"/>
        <v/>
      </c>
      <c r="AF76" s="399" t="s">
        <v>364</v>
      </c>
      <c r="AG76" s="402" t="s">
        <v>364</v>
      </c>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t="s">
        <v>64</v>
      </c>
      <c r="K89" s="44"/>
      <c r="L89" s="44"/>
      <c r="M89" s="44"/>
      <c r="N89" s="44"/>
      <c r="O89" s="49"/>
      <c r="P89" s="49"/>
      <c r="Q89" s="44"/>
      <c r="R89" s="44"/>
      <c r="S89" s="44"/>
      <c r="T89" s="49"/>
      <c r="U89" s="49"/>
      <c r="V89" s="49"/>
      <c r="W89" s="49"/>
      <c r="X89" s="44"/>
      <c r="Y89" s="44"/>
      <c r="Z89" s="44"/>
      <c r="AA89" s="44"/>
      <c r="AB89" s="49"/>
      <c r="AC89" s="49"/>
      <c r="AD89" s="44"/>
      <c r="AE89" s="44"/>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3"/>
      <c r="AA90" s="53"/>
      <c r="AB90" s="54"/>
      <c r="AC90" s="54"/>
      <c r="AD90" s="53"/>
      <c r="AE90" s="53"/>
      <c r="AF90" s="53"/>
      <c r="AG90" s="71"/>
      <c r="AH90" s="132" t="str">
        <f>IF(AI90="","","←")</f>
        <v/>
      </c>
      <c r="AI90" s="417" t="str">
        <f>[2]機構処理!BI85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v>6</v>
      </c>
      <c r="H91" s="57"/>
      <c r="I91" s="57"/>
      <c r="J91" s="57">
        <v>6</v>
      </c>
      <c r="K91" s="57"/>
      <c r="L91" s="57">
        <v>6</v>
      </c>
      <c r="M91" s="57">
        <v>6</v>
      </c>
      <c r="N91" s="57"/>
      <c r="O91" s="57"/>
      <c r="P91" s="57"/>
      <c r="Q91" s="57">
        <v>6</v>
      </c>
      <c r="R91" s="57"/>
      <c r="S91" s="57"/>
      <c r="T91" s="57">
        <v>6</v>
      </c>
      <c r="U91" s="57">
        <v>6</v>
      </c>
      <c r="V91" s="57"/>
      <c r="W91" s="57"/>
      <c r="X91" s="57">
        <v>6</v>
      </c>
      <c r="Y91" s="57"/>
      <c r="Z91" s="57">
        <v>6</v>
      </c>
      <c r="AA91" s="57">
        <v>6</v>
      </c>
      <c r="AB91" s="57">
        <v>6</v>
      </c>
      <c r="AC91" s="57"/>
      <c r="AD91" s="57"/>
      <c r="AE91" s="57"/>
      <c r="AF91" s="57">
        <v>6</v>
      </c>
      <c r="AG91" s="73">
        <v>6</v>
      </c>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IF(C73="","",[2]機構処理!BF47)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46198</v>
      </c>
      <c r="D95" s="33">
        <f t="shared" ref="D95:AD95" si="17">IF(OR(C95="",C94="修了日"),"",C95+1)</f>
        <v>46199</v>
      </c>
      <c r="E95" s="33">
        <f t="shared" si="17"/>
        <v>46200</v>
      </c>
      <c r="F95" s="33">
        <f t="shared" si="17"/>
        <v>46201</v>
      </c>
      <c r="G95" s="33">
        <f t="shared" si="17"/>
        <v>46202</v>
      </c>
      <c r="H95" s="33">
        <f t="shared" si="17"/>
        <v>46203</v>
      </c>
      <c r="I95" s="33">
        <f t="shared" si="17"/>
        <v>46204</v>
      </c>
      <c r="J95" s="33">
        <f t="shared" si="17"/>
        <v>46205</v>
      </c>
      <c r="K95" s="33">
        <f t="shared" si="17"/>
        <v>46206</v>
      </c>
      <c r="L95" s="33">
        <f t="shared" si="17"/>
        <v>46207</v>
      </c>
      <c r="M95" s="33">
        <f t="shared" si="17"/>
        <v>46208</v>
      </c>
      <c r="N95" s="33">
        <f t="shared" si="17"/>
        <v>46209</v>
      </c>
      <c r="O95" s="33">
        <f t="shared" si="17"/>
        <v>46210</v>
      </c>
      <c r="P95" s="33">
        <f t="shared" si="17"/>
        <v>46211</v>
      </c>
      <c r="Q95" s="33">
        <f t="shared" si="17"/>
        <v>46212</v>
      </c>
      <c r="R95" s="33">
        <f t="shared" si="17"/>
        <v>46213</v>
      </c>
      <c r="S95" s="33">
        <f t="shared" si="17"/>
        <v>46214</v>
      </c>
      <c r="T95" s="33">
        <f t="shared" si="17"/>
        <v>46215</v>
      </c>
      <c r="U95" s="33">
        <f t="shared" si="17"/>
        <v>46216</v>
      </c>
      <c r="V95" s="33">
        <f t="shared" si="17"/>
        <v>46217</v>
      </c>
      <c r="W95" s="33">
        <f t="shared" si="17"/>
        <v>46218</v>
      </c>
      <c r="X95" s="33">
        <f t="shared" si="17"/>
        <v>46219</v>
      </c>
      <c r="Y95" s="33">
        <f t="shared" si="17"/>
        <v>46220</v>
      </c>
      <c r="Z95" s="33">
        <f t="shared" si="17"/>
        <v>46221</v>
      </c>
      <c r="AA95" s="33">
        <f t="shared" si="17"/>
        <v>46222</v>
      </c>
      <c r="AB95" s="33">
        <f t="shared" si="17"/>
        <v>46223</v>
      </c>
      <c r="AC95" s="33">
        <f t="shared" si="17"/>
        <v>46224</v>
      </c>
      <c r="AD95" s="33">
        <f t="shared" si="17"/>
        <v>46225</v>
      </c>
      <c r="AE95" s="33">
        <f>IF(OR(AD95="",AD94="修了日"),"",IF(AND(DAY(DATE(YEAR(C95),2,29))=29,MONTH(C95)=2),AD95+1,IF(MONTH(C95)=2,"",AD95+1)))</f>
        <v>46226</v>
      </c>
      <c r="AF95" s="33">
        <f>IF(OR(AE95="",AE94="修了日"),"",IF(MONTH(C95)=2,"",AE95+1))</f>
        <v>46227</v>
      </c>
      <c r="AG95" s="65" t="str">
        <f>IF(OR(AF95="",AF94="修了日"),"",IF(OR(MONTH(C95)=2,MONTH(C95)=4,MONTH(C95)=6,MONTH(C95)=9,MONTH(C95)=11),"",AF95+1))</f>
        <v/>
      </c>
      <c r="AH95" s="19"/>
      <c r="AI95" s="20"/>
      <c r="AJ95" s="20"/>
      <c r="AK95" s="20"/>
      <c r="AL95" s="20"/>
      <c r="AM95" s="20"/>
      <c r="AN95" s="20"/>
      <c r="AO95" s="20"/>
      <c r="AP95" s="20"/>
      <c r="AQ95" s="20"/>
      <c r="AR95" s="20"/>
      <c r="AS95" s="20"/>
      <c r="AT95" s="20"/>
      <c r="AU95" s="20"/>
      <c r="AV95" s="20"/>
    </row>
    <row r="96" spans="1:48" ht="18" customHeight="1">
      <c r="A96" s="35"/>
      <c r="B96" s="79" t="s">
        <v>52</v>
      </c>
      <c r="C96" s="36">
        <f>+C95</f>
        <v>46198</v>
      </c>
      <c r="D96" s="67">
        <f t="shared" ref="D96:AG97" si="18">IF(D95="","",+D95)</f>
        <v>46199</v>
      </c>
      <c r="E96" s="67">
        <f t="shared" si="18"/>
        <v>46200</v>
      </c>
      <c r="F96" s="67">
        <f t="shared" si="18"/>
        <v>46201</v>
      </c>
      <c r="G96" s="67">
        <f t="shared" si="18"/>
        <v>46202</v>
      </c>
      <c r="H96" s="67">
        <f t="shared" si="18"/>
        <v>46203</v>
      </c>
      <c r="I96" s="67">
        <f t="shared" si="18"/>
        <v>46204</v>
      </c>
      <c r="J96" s="67">
        <f t="shared" si="18"/>
        <v>46205</v>
      </c>
      <c r="K96" s="67">
        <f t="shared" si="18"/>
        <v>46206</v>
      </c>
      <c r="L96" s="67">
        <f t="shared" si="18"/>
        <v>46207</v>
      </c>
      <c r="M96" s="67">
        <f t="shared" si="18"/>
        <v>46208</v>
      </c>
      <c r="N96" s="67">
        <f t="shared" si="18"/>
        <v>46209</v>
      </c>
      <c r="O96" s="67">
        <f t="shared" si="18"/>
        <v>46210</v>
      </c>
      <c r="P96" s="67">
        <f t="shared" si="18"/>
        <v>46211</v>
      </c>
      <c r="Q96" s="67">
        <f t="shared" si="18"/>
        <v>46212</v>
      </c>
      <c r="R96" s="67">
        <f t="shared" si="18"/>
        <v>46213</v>
      </c>
      <c r="S96" s="67">
        <f t="shared" si="18"/>
        <v>46214</v>
      </c>
      <c r="T96" s="67">
        <f t="shared" si="18"/>
        <v>46215</v>
      </c>
      <c r="U96" s="67">
        <f t="shared" si="18"/>
        <v>46216</v>
      </c>
      <c r="V96" s="67">
        <f t="shared" si="18"/>
        <v>46217</v>
      </c>
      <c r="W96" s="67">
        <f t="shared" si="18"/>
        <v>46218</v>
      </c>
      <c r="X96" s="67">
        <f t="shared" si="18"/>
        <v>46219</v>
      </c>
      <c r="Y96" s="67">
        <f t="shared" si="18"/>
        <v>46220</v>
      </c>
      <c r="Z96" s="67">
        <f t="shared" si="18"/>
        <v>46221</v>
      </c>
      <c r="AA96" s="67">
        <f t="shared" si="18"/>
        <v>46222</v>
      </c>
      <c r="AB96" s="67">
        <f t="shared" si="18"/>
        <v>46223</v>
      </c>
      <c r="AC96" s="67">
        <f t="shared" si="18"/>
        <v>46224</v>
      </c>
      <c r="AD96" s="67">
        <f t="shared" si="18"/>
        <v>46225</v>
      </c>
      <c r="AE96" s="67">
        <f t="shared" si="18"/>
        <v>46226</v>
      </c>
      <c r="AF96" s="67">
        <f t="shared" si="18"/>
        <v>46227</v>
      </c>
      <c r="AG96" s="38" t="str">
        <f t="shared" si="18"/>
        <v/>
      </c>
      <c r="AH96" s="19"/>
      <c r="AI96" s="20"/>
      <c r="AJ96" s="20"/>
      <c r="AK96" s="20"/>
      <c r="AL96" s="20"/>
      <c r="AM96" s="20"/>
      <c r="AN96" s="20"/>
      <c r="AO96" s="20"/>
      <c r="AP96" s="20"/>
      <c r="AQ96" s="20"/>
      <c r="AR96" s="20"/>
      <c r="AS96" s="20"/>
      <c r="AT96" s="20"/>
      <c r="AU96" s="20"/>
      <c r="AV96" s="20"/>
    </row>
    <row r="97" spans="1:48" ht="18" customHeight="1">
      <c r="A97" s="35"/>
      <c r="B97" s="80" t="s">
        <v>53</v>
      </c>
      <c r="C97" s="81">
        <f>+C96</f>
        <v>46198</v>
      </c>
      <c r="D97" s="39">
        <f t="shared" si="18"/>
        <v>46199</v>
      </c>
      <c r="E97" s="39">
        <f t="shared" si="18"/>
        <v>46200</v>
      </c>
      <c r="F97" s="39">
        <f t="shared" si="18"/>
        <v>46201</v>
      </c>
      <c r="G97" s="39">
        <f t="shared" si="18"/>
        <v>46202</v>
      </c>
      <c r="H97" s="39">
        <f t="shared" si="18"/>
        <v>46203</v>
      </c>
      <c r="I97" s="39">
        <f t="shared" si="18"/>
        <v>46204</v>
      </c>
      <c r="J97" s="39">
        <f t="shared" si="18"/>
        <v>46205</v>
      </c>
      <c r="K97" s="39">
        <f t="shared" si="18"/>
        <v>46206</v>
      </c>
      <c r="L97" s="39">
        <f t="shared" si="18"/>
        <v>46207</v>
      </c>
      <c r="M97" s="39">
        <f t="shared" si="18"/>
        <v>46208</v>
      </c>
      <c r="N97" s="39">
        <f t="shared" si="18"/>
        <v>46209</v>
      </c>
      <c r="O97" s="39">
        <f t="shared" si="18"/>
        <v>46210</v>
      </c>
      <c r="P97" s="39">
        <f t="shared" si="18"/>
        <v>46211</v>
      </c>
      <c r="Q97" s="39">
        <f t="shared" si="18"/>
        <v>46212</v>
      </c>
      <c r="R97" s="39">
        <f t="shared" si="18"/>
        <v>46213</v>
      </c>
      <c r="S97" s="39">
        <f t="shared" si="18"/>
        <v>46214</v>
      </c>
      <c r="T97" s="39">
        <f t="shared" si="18"/>
        <v>46215</v>
      </c>
      <c r="U97" s="39">
        <f t="shared" si="18"/>
        <v>46216</v>
      </c>
      <c r="V97" s="39">
        <f t="shared" si="18"/>
        <v>46217</v>
      </c>
      <c r="W97" s="39">
        <f t="shared" si="18"/>
        <v>46218</v>
      </c>
      <c r="X97" s="39">
        <f t="shared" si="18"/>
        <v>46219</v>
      </c>
      <c r="Y97" s="39">
        <f t="shared" si="18"/>
        <v>46220</v>
      </c>
      <c r="Z97" s="39">
        <f t="shared" si="18"/>
        <v>46221</v>
      </c>
      <c r="AA97" s="39">
        <f t="shared" si="18"/>
        <v>46222</v>
      </c>
      <c r="AB97" s="39">
        <f t="shared" si="18"/>
        <v>46223</v>
      </c>
      <c r="AC97" s="39">
        <f t="shared" si="18"/>
        <v>46224</v>
      </c>
      <c r="AD97" s="39">
        <f t="shared" si="18"/>
        <v>46225</v>
      </c>
      <c r="AE97" s="39">
        <f t="shared" si="18"/>
        <v>46226</v>
      </c>
      <c r="AF97" s="39">
        <f t="shared" si="18"/>
        <v>46227</v>
      </c>
      <c r="AG97" s="40" t="str">
        <f t="shared" si="18"/>
        <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12" t="s">
        <v>364</v>
      </c>
      <c r="D98" s="399" t="s">
        <v>317</v>
      </c>
      <c r="E98" s="399" t="str">
        <f t="shared" ref="E98:AG98" si="19">IF(E$97="","",IF(E$97=$K$153,"ハローワーク来所日④",""))</f>
        <v/>
      </c>
      <c r="F98" s="399" t="str">
        <f t="shared" si="19"/>
        <v/>
      </c>
      <c r="G98" s="399" t="s">
        <v>364</v>
      </c>
      <c r="H98" s="399"/>
      <c r="I98" s="399" t="s">
        <v>232</v>
      </c>
      <c r="J98" s="399" t="str">
        <f t="shared" si="19"/>
        <v>ハローワーク来所日④</v>
      </c>
      <c r="K98" s="399" t="s">
        <v>280</v>
      </c>
      <c r="L98" s="399" t="str">
        <f t="shared" si="19"/>
        <v/>
      </c>
      <c r="M98" s="399" t="str">
        <f t="shared" si="19"/>
        <v/>
      </c>
      <c r="N98" s="399" t="s">
        <v>280</v>
      </c>
      <c r="O98" s="399"/>
      <c r="P98" s="399" t="s">
        <v>280</v>
      </c>
      <c r="Q98" s="399" t="s">
        <v>280</v>
      </c>
      <c r="R98" s="399" t="s">
        <v>280</v>
      </c>
      <c r="S98" s="399" t="str">
        <f t="shared" si="19"/>
        <v/>
      </c>
      <c r="T98" s="399" t="str">
        <f t="shared" si="19"/>
        <v/>
      </c>
      <c r="U98" s="399" t="s">
        <v>231</v>
      </c>
      <c r="V98" s="399"/>
      <c r="W98" s="399" t="str">
        <f t="shared" si="19"/>
        <v/>
      </c>
      <c r="X98" s="399" t="s">
        <v>231</v>
      </c>
      <c r="Y98" s="399" t="s">
        <v>231</v>
      </c>
      <c r="Z98" s="399" t="str">
        <f t="shared" si="19"/>
        <v/>
      </c>
      <c r="AA98" s="399" t="str">
        <f t="shared" si="19"/>
        <v/>
      </c>
      <c r="AB98" s="399" t="str">
        <f t="shared" si="19"/>
        <v/>
      </c>
      <c r="AC98" s="399" t="str">
        <f t="shared" si="19"/>
        <v/>
      </c>
      <c r="AD98" s="399" t="s">
        <v>231</v>
      </c>
      <c r="AE98" s="399" t="s">
        <v>231</v>
      </c>
      <c r="AF98" s="399" t="s">
        <v>231</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13"/>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13"/>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13"/>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13"/>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13"/>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13"/>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13"/>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13"/>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13"/>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13"/>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14"/>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t="s">
        <v>64</v>
      </c>
      <c r="H110" s="49"/>
      <c r="I110" s="49"/>
      <c r="J110" s="44"/>
      <c r="K110" s="44"/>
      <c r="L110" s="44"/>
      <c r="M110" s="44"/>
      <c r="N110" s="44"/>
      <c r="O110" s="49"/>
      <c r="P110" s="49"/>
      <c r="Q110" s="44"/>
      <c r="R110" s="44"/>
      <c r="S110" s="44"/>
      <c r="T110" s="49"/>
      <c r="U110" s="49"/>
      <c r="V110" s="49"/>
      <c r="W110" s="49"/>
      <c r="X110" s="44"/>
      <c r="Y110" s="44"/>
      <c r="Z110" s="44"/>
      <c r="AA110" s="44"/>
      <c r="AB110" s="49"/>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3"/>
      <c r="T111" s="54"/>
      <c r="U111" s="54"/>
      <c r="V111" s="54"/>
      <c r="W111" s="54"/>
      <c r="X111" s="53"/>
      <c r="Y111" s="53"/>
      <c r="Z111" s="53"/>
      <c r="AA111" s="53"/>
      <c r="AB111" s="54"/>
      <c r="AC111" s="54"/>
      <c r="AD111" s="53"/>
      <c r="AE111" s="53"/>
      <c r="AF111" s="53"/>
      <c r="AG111" s="71"/>
      <c r="AH111" s="132" t="str">
        <f>IF(AI111="","","←")</f>
        <v/>
      </c>
      <c r="AI111" s="416" t="str">
        <f>[2]機構処理!BI89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v>6</v>
      </c>
      <c r="D112" s="57">
        <v>6</v>
      </c>
      <c r="E112" s="57"/>
      <c r="F112" s="57"/>
      <c r="G112" s="57">
        <v>6</v>
      </c>
      <c r="H112" s="57"/>
      <c r="I112" s="57">
        <v>6</v>
      </c>
      <c r="J112" s="57"/>
      <c r="K112" s="57">
        <v>6</v>
      </c>
      <c r="L112" s="57"/>
      <c r="M112" s="57"/>
      <c r="N112" s="57">
        <v>6</v>
      </c>
      <c r="O112" s="57"/>
      <c r="P112" s="57">
        <v>6</v>
      </c>
      <c r="Q112" s="57">
        <v>6</v>
      </c>
      <c r="R112" s="57">
        <v>6</v>
      </c>
      <c r="S112" s="57"/>
      <c r="T112" s="57"/>
      <c r="U112" s="57">
        <v>6</v>
      </c>
      <c r="V112" s="57"/>
      <c r="W112" s="57"/>
      <c r="X112" s="57">
        <v>6</v>
      </c>
      <c r="Y112" s="57">
        <v>6</v>
      </c>
      <c r="Z112" s="57"/>
      <c r="AA112" s="57"/>
      <c r="AB112" s="57"/>
      <c r="AC112" s="57"/>
      <c r="AD112" s="57">
        <v>6</v>
      </c>
      <c r="AE112" s="57">
        <v>6</v>
      </c>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IF(C95="","",[2]機構処理!BF53)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修了日</v>
      </c>
      <c r="AE115" s="28" t="str">
        <f t="shared" si="20"/>
        <v/>
      </c>
      <c r="AF115" s="28" t="str">
        <f t="shared" si="20"/>
        <v/>
      </c>
      <c r="AG115" s="28" t="str">
        <f t="shared" si="20"/>
        <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46228</v>
      </c>
      <c r="D116" s="33">
        <f t="shared" ref="D116:AD116" si="21">IF(OR(C116="",C115="修了日"),"",C116+1)</f>
        <v>46229</v>
      </c>
      <c r="E116" s="33">
        <f t="shared" si="21"/>
        <v>46230</v>
      </c>
      <c r="F116" s="33">
        <f t="shared" si="21"/>
        <v>46231</v>
      </c>
      <c r="G116" s="33">
        <f t="shared" si="21"/>
        <v>46232</v>
      </c>
      <c r="H116" s="33">
        <f t="shared" si="21"/>
        <v>46233</v>
      </c>
      <c r="I116" s="33">
        <f t="shared" si="21"/>
        <v>46234</v>
      </c>
      <c r="J116" s="33">
        <f t="shared" si="21"/>
        <v>46235</v>
      </c>
      <c r="K116" s="33">
        <f t="shared" si="21"/>
        <v>46236</v>
      </c>
      <c r="L116" s="33">
        <f t="shared" si="21"/>
        <v>46237</v>
      </c>
      <c r="M116" s="33">
        <f t="shared" si="21"/>
        <v>46238</v>
      </c>
      <c r="N116" s="33">
        <f t="shared" si="21"/>
        <v>46239</v>
      </c>
      <c r="O116" s="33">
        <f t="shared" si="21"/>
        <v>46240</v>
      </c>
      <c r="P116" s="33">
        <f t="shared" si="21"/>
        <v>46241</v>
      </c>
      <c r="Q116" s="33">
        <f t="shared" si="21"/>
        <v>46242</v>
      </c>
      <c r="R116" s="33">
        <f t="shared" si="21"/>
        <v>46243</v>
      </c>
      <c r="S116" s="33">
        <f t="shared" si="21"/>
        <v>46244</v>
      </c>
      <c r="T116" s="33">
        <f t="shared" si="21"/>
        <v>46245</v>
      </c>
      <c r="U116" s="33">
        <f t="shared" si="21"/>
        <v>46246</v>
      </c>
      <c r="V116" s="33">
        <f t="shared" si="21"/>
        <v>46247</v>
      </c>
      <c r="W116" s="33">
        <f t="shared" si="21"/>
        <v>46248</v>
      </c>
      <c r="X116" s="33">
        <f t="shared" si="21"/>
        <v>46249</v>
      </c>
      <c r="Y116" s="33">
        <f t="shared" si="21"/>
        <v>46250</v>
      </c>
      <c r="Z116" s="33">
        <f t="shared" si="21"/>
        <v>46251</v>
      </c>
      <c r="AA116" s="33">
        <f t="shared" si="21"/>
        <v>46252</v>
      </c>
      <c r="AB116" s="33">
        <f t="shared" si="21"/>
        <v>46253</v>
      </c>
      <c r="AC116" s="33">
        <f t="shared" si="21"/>
        <v>46254</v>
      </c>
      <c r="AD116" s="33">
        <f t="shared" si="21"/>
        <v>46255</v>
      </c>
      <c r="AE116" s="33" t="str">
        <f>IF(OR(AD116="",AD115="修了日"),"",IF(AND(DAY(DATE(YEAR(C116),2,29))=29,MONTH(C116)=2),AD116+1,IF(MONTH(C116)=2,"",AD116+1)))</f>
        <v/>
      </c>
      <c r="AF116" s="33" t="str">
        <f>IF(OR(AE116="",AE115="修了日"),"",IF(MONTH(C116)=2,"",AE116+1))</f>
        <v/>
      </c>
      <c r="AG116" s="65" t="str">
        <f>IF(OR(AF116="",AF115="修了日"),"",IF(OR(MONTH(C116)=2,MONTH(C116)=4,MONTH(C116)=6,MONTH(C116)=9,MONTH(C116)=11),"",AF116+1))</f>
        <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46228</v>
      </c>
      <c r="D117" s="67">
        <f t="shared" ref="D117:AG118" si="22">IF(D116="","",+D116)</f>
        <v>46229</v>
      </c>
      <c r="E117" s="67">
        <f t="shared" si="22"/>
        <v>46230</v>
      </c>
      <c r="F117" s="67">
        <f t="shared" si="22"/>
        <v>46231</v>
      </c>
      <c r="G117" s="67">
        <f t="shared" si="22"/>
        <v>46232</v>
      </c>
      <c r="H117" s="67">
        <f t="shared" si="22"/>
        <v>46233</v>
      </c>
      <c r="I117" s="67">
        <f t="shared" si="22"/>
        <v>46234</v>
      </c>
      <c r="J117" s="67">
        <f t="shared" si="22"/>
        <v>46235</v>
      </c>
      <c r="K117" s="67">
        <f t="shared" si="22"/>
        <v>46236</v>
      </c>
      <c r="L117" s="67">
        <f t="shared" si="22"/>
        <v>46237</v>
      </c>
      <c r="M117" s="67">
        <f t="shared" si="22"/>
        <v>46238</v>
      </c>
      <c r="N117" s="67">
        <f t="shared" si="22"/>
        <v>46239</v>
      </c>
      <c r="O117" s="67">
        <f t="shared" si="22"/>
        <v>46240</v>
      </c>
      <c r="P117" s="67">
        <f t="shared" si="22"/>
        <v>46241</v>
      </c>
      <c r="Q117" s="67">
        <f t="shared" si="22"/>
        <v>46242</v>
      </c>
      <c r="R117" s="67">
        <f t="shared" si="22"/>
        <v>46243</v>
      </c>
      <c r="S117" s="67">
        <f t="shared" si="22"/>
        <v>46244</v>
      </c>
      <c r="T117" s="67">
        <f t="shared" si="22"/>
        <v>46245</v>
      </c>
      <c r="U117" s="67">
        <f t="shared" si="22"/>
        <v>46246</v>
      </c>
      <c r="V117" s="67">
        <f t="shared" si="22"/>
        <v>46247</v>
      </c>
      <c r="W117" s="67">
        <f t="shared" si="22"/>
        <v>46248</v>
      </c>
      <c r="X117" s="67">
        <f t="shared" si="22"/>
        <v>46249</v>
      </c>
      <c r="Y117" s="67">
        <f t="shared" si="22"/>
        <v>46250</v>
      </c>
      <c r="Z117" s="67">
        <f t="shared" si="22"/>
        <v>46251</v>
      </c>
      <c r="AA117" s="67">
        <f t="shared" si="22"/>
        <v>46252</v>
      </c>
      <c r="AB117" s="67">
        <f t="shared" si="22"/>
        <v>46253</v>
      </c>
      <c r="AC117" s="67">
        <f t="shared" si="22"/>
        <v>46254</v>
      </c>
      <c r="AD117" s="67">
        <f t="shared" si="22"/>
        <v>46255</v>
      </c>
      <c r="AE117" s="67" t="str">
        <f t="shared" si="22"/>
        <v/>
      </c>
      <c r="AF117" s="67" t="str">
        <f t="shared" si="22"/>
        <v/>
      </c>
      <c r="AG117" s="38" t="str">
        <f t="shared" si="22"/>
        <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46228</v>
      </c>
      <c r="D118" s="39">
        <f t="shared" si="22"/>
        <v>46229</v>
      </c>
      <c r="E118" s="39">
        <f t="shared" si="22"/>
        <v>46230</v>
      </c>
      <c r="F118" s="39">
        <f t="shared" si="22"/>
        <v>46231</v>
      </c>
      <c r="G118" s="39">
        <f t="shared" si="22"/>
        <v>46232</v>
      </c>
      <c r="H118" s="39">
        <f t="shared" si="22"/>
        <v>46233</v>
      </c>
      <c r="I118" s="39">
        <f t="shared" si="22"/>
        <v>46234</v>
      </c>
      <c r="J118" s="39">
        <f t="shared" si="22"/>
        <v>46235</v>
      </c>
      <c r="K118" s="39">
        <f t="shared" si="22"/>
        <v>46236</v>
      </c>
      <c r="L118" s="39">
        <f t="shared" si="22"/>
        <v>46237</v>
      </c>
      <c r="M118" s="39">
        <f t="shared" si="22"/>
        <v>46238</v>
      </c>
      <c r="N118" s="39">
        <f t="shared" si="22"/>
        <v>46239</v>
      </c>
      <c r="O118" s="39">
        <f t="shared" si="22"/>
        <v>46240</v>
      </c>
      <c r="P118" s="39">
        <f t="shared" si="22"/>
        <v>46241</v>
      </c>
      <c r="Q118" s="39">
        <f t="shared" si="22"/>
        <v>46242</v>
      </c>
      <c r="R118" s="39">
        <f t="shared" si="22"/>
        <v>46243</v>
      </c>
      <c r="S118" s="39">
        <f t="shared" si="22"/>
        <v>46244</v>
      </c>
      <c r="T118" s="39">
        <f t="shared" si="22"/>
        <v>46245</v>
      </c>
      <c r="U118" s="39">
        <f t="shared" si="22"/>
        <v>46246</v>
      </c>
      <c r="V118" s="39">
        <f t="shared" si="22"/>
        <v>46247</v>
      </c>
      <c r="W118" s="39">
        <f t="shared" si="22"/>
        <v>46248</v>
      </c>
      <c r="X118" s="39">
        <f t="shared" si="22"/>
        <v>46249</v>
      </c>
      <c r="Y118" s="39">
        <f t="shared" si="22"/>
        <v>46250</v>
      </c>
      <c r="Z118" s="39">
        <f t="shared" si="22"/>
        <v>46251</v>
      </c>
      <c r="AA118" s="39">
        <f t="shared" si="22"/>
        <v>46252</v>
      </c>
      <c r="AB118" s="39">
        <f t="shared" si="22"/>
        <v>46253</v>
      </c>
      <c r="AC118" s="39">
        <f t="shared" si="22"/>
        <v>46254</v>
      </c>
      <c r="AD118" s="39">
        <f t="shared" si="22"/>
        <v>46255</v>
      </c>
      <c r="AE118" s="39" t="str">
        <f t="shared" si="22"/>
        <v/>
      </c>
      <c r="AF118" s="39" t="str">
        <f t="shared" si="22"/>
        <v/>
      </c>
      <c r="AG118" s="40" t="str">
        <f t="shared" si="22"/>
        <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F119" si="23">IF(C$118="","",IF(C$118=$K$154,"ハローワーク来所日⑤",""))</f>
        <v/>
      </c>
      <c r="D119" s="399" t="str">
        <f t="shared" si="23"/>
        <v/>
      </c>
      <c r="E119" s="399" t="s">
        <v>231</v>
      </c>
      <c r="F119" s="399" t="s">
        <v>231</v>
      </c>
      <c r="G119" s="399" t="s">
        <v>231</v>
      </c>
      <c r="H119" s="399" t="s">
        <v>231</v>
      </c>
      <c r="I119" s="399" t="s">
        <v>231</v>
      </c>
      <c r="J119" s="399" t="s">
        <v>68</v>
      </c>
      <c r="K119" s="399" t="str">
        <f t="shared" si="23"/>
        <v/>
      </c>
      <c r="L119" s="399" t="s">
        <v>233</v>
      </c>
      <c r="M119" s="399" t="str">
        <f t="shared" si="23"/>
        <v>ハローワーク来所日⑤</v>
      </c>
      <c r="N119" s="399" t="s">
        <v>233</v>
      </c>
      <c r="O119" s="399" t="s">
        <v>233</v>
      </c>
      <c r="P119" s="399" t="s">
        <v>233</v>
      </c>
      <c r="Q119" s="399" t="s">
        <v>108</v>
      </c>
      <c r="R119" s="399" t="str">
        <f t="shared" si="23"/>
        <v/>
      </c>
      <c r="S119" s="399" t="s">
        <v>233</v>
      </c>
      <c r="T119" s="399" t="str">
        <f t="shared" si="23"/>
        <v/>
      </c>
      <c r="U119" s="399" t="s">
        <v>233</v>
      </c>
      <c r="V119" s="399"/>
      <c r="W119" s="399"/>
      <c r="X119" s="399"/>
      <c r="Y119" s="399" t="str">
        <f t="shared" si="23"/>
        <v/>
      </c>
      <c r="Z119" s="399" t="s">
        <v>233</v>
      </c>
      <c r="AA119" s="399" t="s">
        <v>233</v>
      </c>
      <c r="AB119" s="399" t="s">
        <v>233</v>
      </c>
      <c r="AC119" s="399" t="s">
        <v>233</v>
      </c>
      <c r="AD119" s="399" t="s">
        <v>109</v>
      </c>
      <c r="AE119" s="399"/>
      <c r="AF119" s="399" t="str">
        <f t="shared" si="23"/>
        <v/>
      </c>
      <c r="AG119" s="402"/>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c r="W131" s="49"/>
      <c r="X131" s="44"/>
      <c r="Y131" s="44"/>
      <c r="Z131" s="44"/>
      <c r="AA131" s="44"/>
      <c r="AB131" s="49" t="s">
        <v>69</v>
      </c>
      <c r="AC131" s="49"/>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[2]機構処理!BI93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c r="E133" s="57">
        <v>6</v>
      </c>
      <c r="F133" s="57">
        <v>6</v>
      </c>
      <c r="G133" s="57">
        <v>6</v>
      </c>
      <c r="H133" s="57">
        <v>6</v>
      </c>
      <c r="I133" s="57">
        <v>6</v>
      </c>
      <c r="J133" s="57">
        <v>0</v>
      </c>
      <c r="K133" s="57"/>
      <c r="L133" s="57">
        <v>6</v>
      </c>
      <c r="M133" s="57"/>
      <c r="N133" s="57">
        <v>6</v>
      </c>
      <c r="O133" s="57">
        <v>6</v>
      </c>
      <c r="P133" s="57">
        <v>6</v>
      </c>
      <c r="Q133" s="57">
        <v>0</v>
      </c>
      <c r="R133" s="57"/>
      <c r="S133" s="57">
        <v>6</v>
      </c>
      <c r="T133" s="57"/>
      <c r="U133" s="57">
        <v>6</v>
      </c>
      <c r="V133" s="57"/>
      <c r="W133" s="57"/>
      <c r="X133" s="57"/>
      <c r="Y133" s="57"/>
      <c r="Z133" s="57">
        <v>6</v>
      </c>
      <c r="AA133" s="57">
        <v>6</v>
      </c>
      <c r="AB133" s="57">
        <v>6</v>
      </c>
      <c r="AC133" s="57">
        <v>6</v>
      </c>
      <c r="AD133" s="57">
        <v>0</v>
      </c>
      <c r="AE133" s="57"/>
      <c r="AF133" s="57"/>
      <c r="AG133" s="73"/>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IF(C116="","",[2]機構処理!BF59)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365</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366</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IF([2]様式1!$E$20="","",AI21+AI44+AI66+AI88)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46079</v>
      </c>
      <c r="L140" s="385"/>
      <c r="M140" s="385"/>
      <c r="N140" s="385"/>
      <c r="O140" s="386"/>
      <c r="P140" s="96" t="s">
        <v>72</v>
      </c>
      <c r="Q140" s="387">
        <v>46105</v>
      </c>
      <c r="R140" s="385"/>
      <c r="S140" s="385"/>
      <c r="T140" s="385"/>
      <c r="U140" s="385"/>
      <c r="V140" s="390" t="s">
        <v>281</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46139</v>
      </c>
      <c r="L141" s="385"/>
      <c r="M141" s="385"/>
      <c r="N141" s="385"/>
      <c r="O141" s="386"/>
      <c r="P141" s="96" t="s">
        <v>72</v>
      </c>
      <c r="Q141" s="387">
        <v>46164</v>
      </c>
      <c r="R141" s="385"/>
      <c r="S141" s="385"/>
      <c r="T141" s="385"/>
      <c r="U141" s="385"/>
      <c r="V141" s="390" t="s">
        <v>281</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46230</v>
      </c>
      <c r="L142" s="385"/>
      <c r="M142" s="385"/>
      <c r="N142" s="385"/>
      <c r="O142" s="386"/>
      <c r="P142" s="96" t="s">
        <v>72</v>
      </c>
      <c r="Q142" s="387">
        <v>46254</v>
      </c>
      <c r="R142" s="385"/>
      <c r="S142" s="385"/>
      <c r="T142" s="385"/>
      <c r="U142" s="385"/>
      <c r="V142" s="388" t="s">
        <v>281</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0.4236111111111111</v>
      </c>
      <c r="D148" s="384"/>
      <c r="E148" s="94" t="s">
        <v>72</v>
      </c>
      <c r="F148" s="366">
        <v>0.45833333333333331</v>
      </c>
      <c r="G148" s="367"/>
      <c r="H148" s="15"/>
      <c r="I148" s="100" t="s">
        <v>86</v>
      </c>
      <c r="J148" s="15"/>
      <c r="K148" s="15"/>
      <c r="L148" s="15"/>
      <c r="M148" s="15"/>
      <c r="N148" s="15"/>
      <c r="O148" s="100" t="s">
        <v>367</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0.46527777777777779</v>
      </c>
      <c r="D149" s="366"/>
      <c r="E149" s="94" t="s">
        <v>72</v>
      </c>
      <c r="F149" s="366">
        <v>0.5</v>
      </c>
      <c r="G149" s="367"/>
      <c r="H149" s="15"/>
      <c r="I149" s="363"/>
      <c r="J149" s="364"/>
      <c r="K149" s="349" t="s">
        <v>368</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0.50694444444444442</v>
      </c>
      <c r="D150" s="366"/>
      <c r="E150" s="94" t="s">
        <v>72</v>
      </c>
      <c r="F150" s="366">
        <v>0.54166666666666663</v>
      </c>
      <c r="G150" s="367"/>
      <c r="H150" s="15"/>
      <c r="I150" s="380" t="str">
        <f>IF(AND(ハローワーク来所日パターン&lt;&gt;"",$C$29&lt;&gt;"",訓練終了日&gt;ハローワーク来所日1),"１回目","")</f>
        <v>１回目</v>
      </c>
      <c r="J150" s="381"/>
      <c r="K150" s="339">
        <f>IF($I150="","",ハローワーク来所日1)</f>
        <v>46119</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0.58333333333333337</v>
      </c>
      <c r="D151" s="366"/>
      <c r="E151" s="94" t="s">
        <v>72</v>
      </c>
      <c r="F151" s="366">
        <v>0.61805555555555558</v>
      </c>
      <c r="G151" s="367"/>
      <c r="H151" s="15"/>
      <c r="I151" s="380" t="str">
        <f>IF(AND(ハローワーク来所日パターン&lt;&gt;"",$C$51&lt;&gt;"",訓練終了日&gt;ハローワーク来所日2),"２回目","")</f>
        <v>２回目</v>
      </c>
      <c r="J151" s="381"/>
      <c r="K151" s="339">
        <f>IF($I151="","",ハローワーク来所日2)</f>
        <v>46149</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0.625</v>
      </c>
      <c r="D152" s="366"/>
      <c r="E152" s="94" t="s">
        <v>72</v>
      </c>
      <c r="F152" s="366">
        <v>0.65972222222222221</v>
      </c>
      <c r="G152" s="367"/>
      <c r="H152" s="15"/>
      <c r="I152" s="380" t="str">
        <f>IF(AND(ハローワーク来所日パターン&lt;&gt;"",$C$73&lt;&gt;"",訓練終了日&gt;ハローワーク来所日3),"３回目","")</f>
        <v>３回目</v>
      </c>
      <c r="J152" s="381"/>
      <c r="K152" s="339">
        <f>IF($I152="","",ハローワーク来所日3)</f>
        <v>46178</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0.66666666666666663</v>
      </c>
      <c r="D153" s="366"/>
      <c r="E153" s="94" t="s">
        <v>72</v>
      </c>
      <c r="F153" s="366">
        <v>0.70138888888888884</v>
      </c>
      <c r="G153" s="367"/>
      <c r="H153" s="15"/>
      <c r="I153" s="380" t="str">
        <f>IF(AND(ハローワーク来所日パターン&lt;&gt;"",$C$95&lt;&gt;"",訓練終了日&gt;ハローワーク来所日4),"４回目","")</f>
        <v>４回目</v>
      </c>
      <c r="J153" s="381"/>
      <c r="K153" s="339">
        <f>IF($I153="","",ハローワーク来所日4)</f>
        <v>46205</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0.70138888888888884</v>
      </c>
      <c r="D154" s="366"/>
      <c r="E154" s="94" t="s">
        <v>72</v>
      </c>
      <c r="F154" s="366">
        <v>0.74305555555555558</v>
      </c>
      <c r="G154" s="367"/>
      <c r="H154" s="15"/>
      <c r="I154" s="380" t="str">
        <f>IF(AND(ハローワーク来所日パターン&lt;&gt;"",$C$116&lt;&gt;"",訓練終了日&gt;ハローワーク来所日5),"５回目","")</f>
        <v>５回目</v>
      </c>
      <c r="J154" s="381"/>
      <c r="K154" s="339">
        <f>IF($I154="","",ハローワーク来所日5)</f>
        <v>46238</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46078</v>
      </c>
      <c r="F172" s="340"/>
      <c r="G172" s="340"/>
      <c r="H172" s="340"/>
      <c r="I172" s="340"/>
      <c r="J172" s="94" t="s">
        <v>104</v>
      </c>
      <c r="K172" s="340">
        <f>IF(訓練開始日="","",IF(訓練終了日&lt;EDATE(訓練開始日,1)-1,訓練終了日,EDATE(E172,1)-1))</f>
        <v>46105</v>
      </c>
      <c r="L172" s="340"/>
      <c r="M172" s="340"/>
      <c r="N172" s="340"/>
      <c r="O172" s="341"/>
      <c r="P172" s="108"/>
      <c r="Q172" s="215">
        <f>IF(E172="","",(K172-E172+1))</f>
        <v>28</v>
      </c>
      <c r="R172" s="112" t="s">
        <v>52</v>
      </c>
      <c r="S172" s="101"/>
      <c r="T172" s="113"/>
      <c r="U172" s="215">
        <f>IF(E172="","",[2]機構処理!$BG$24)</f>
        <v>20</v>
      </c>
      <c r="V172" s="112" t="s">
        <v>52</v>
      </c>
      <c r="W172" s="101"/>
      <c r="X172" s="353">
        <f>IF(E172="","",[2]機構処理!BG72)</f>
        <v>0</v>
      </c>
      <c r="Y172" s="354"/>
      <c r="Z172" s="354"/>
      <c r="AA172" s="114" t="s">
        <v>66</v>
      </c>
      <c r="AB172" s="107"/>
      <c r="AC172" s="344">
        <f>IF(E172="","",[2]機構処理!$BH$25)</f>
        <v>102</v>
      </c>
      <c r="AD172" s="345"/>
      <c r="AE172" s="345"/>
      <c r="AF172" s="324" t="s">
        <v>66</v>
      </c>
      <c r="AG172" s="325"/>
      <c r="AH172" s="346" t="str">
        <f>[2]機構処理!BR26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46106</v>
      </c>
      <c r="F173" s="340"/>
      <c r="G173" s="340"/>
      <c r="H173" s="340"/>
      <c r="I173" s="340"/>
      <c r="J173" s="94" t="s">
        <v>104</v>
      </c>
      <c r="K173" s="340">
        <f>IF(E173="","",IF(EDATE(E173,1)-1&lt;訓練終了日,EDATE(E173,1)-1,訓練終了日))</f>
        <v>46136</v>
      </c>
      <c r="L173" s="340"/>
      <c r="M173" s="340"/>
      <c r="N173" s="340"/>
      <c r="O173" s="341"/>
      <c r="P173" s="108"/>
      <c r="Q173" s="215">
        <f>IF(E173="","",(K173-E173+1))</f>
        <v>31</v>
      </c>
      <c r="R173" s="109" t="s">
        <v>52</v>
      </c>
      <c r="S173" s="101"/>
      <c r="T173" s="108"/>
      <c r="U173" s="215">
        <f>IF(E173="","",[2]機構処理!$BG$30)</f>
        <v>18</v>
      </c>
      <c r="V173" s="109" t="s">
        <v>52</v>
      </c>
      <c r="W173" s="101"/>
      <c r="X173" s="342">
        <f>IF(E173="","",[2]機構処理!BG77)</f>
        <v>0</v>
      </c>
      <c r="Y173" s="343"/>
      <c r="Z173" s="343"/>
      <c r="AA173" s="114" t="s">
        <v>66</v>
      </c>
      <c r="AB173" s="107"/>
      <c r="AC173" s="344">
        <f>IF(E173="","",[2]機構処理!$BH$31)</f>
        <v>108</v>
      </c>
      <c r="AD173" s="345"/>
      <c r="AE173" s="345"/>
      <c r="AF173" s="324" t="s">
        <v>66</v>
      </c>
      <c r="AG173" s="325"/>
      <c r="AH173" s="346" t="str">
        <f>[2]機構処理!BR27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46137</v>
      </c>
      <c r="F174" s="340"/>
      <c r="G174" s="340"/>
      <c r="H174" s="340"/>
      <c r="I174" s="340"/>
      <c r="J174" s="94" t="s">
        <v>104</v>
      </c>
      <c r="K174" s="340">
        <f>IF(E174="","",IF(EDATE(E174,1)-1&lt;訓練終了日,EDATE(E174,1)-1,訓練終了日))</f>
        <v>46166</v>
      </c>
      <c r="L174" s="340"/>
      <c r="M174" s="340"/>
      <c r="N174" s="340"/>
      <c r="O174" s="341"/>
      <c r="P174" s="108"/>
      <c r="Q174" s="215">
        <f>IF(E174="","",(K174-E174+1))</f>
        <v>30</v>
      </c>
      <c r="R174" s="109" t="s">
        <v>52</v>
      </c>
      <c r="S174" s="101"/>
      <c r="T174" s="108"/>
      <c r="U174" s="215">
        <f>IF(E174="","",[2]機構処理!$BG$36)</f>
        <v>16</v>
      </c>
      <c r="V174" s="109" t="s">
        <v>52</v>
      </c>
      <c r="W174" s="101"/>
      <c r="X174" s="342">
        <f>IF(E174="","",[2]機構処理!BG81)</f>
        <v>0</v>
      </c>
      <c r="Y174" s="343"/>
      <c r="Z174" s="343"/>
      <c r="AA174" s="114" t="s">
        <v>66</v>
      </c>
      <c r="AB174" s="107"/>
      <c r="AC174" s="344">
        <f>IF(E174="","",[2]機構処理!$BH$37)</f>
        <v>84</v>
      </c>
      <c r="AD174" s="345"/>
      <c r="AE174" s="345"/>
      <c r="AF174" s="324" t="s">
        <v>66</v>
      </c>
      <c r="AG174" s="325"/>
      <c r="AH174" s="346" t="str">
        <f>[2]機構処理!BR28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46167</v>
      </c>
      <c r="F175" s="340"/>
      <c r="G175" s="340"/>
      <c r="H175" s="340"/>
      <c r="I175" s="340"/>
      <c r="J175" s="94" t="s">
        <v>104</v>
      </c>
      <c r="K175" s="340">
        <f>IF(E175="","",IF(EDATE(E175,1)-1&lt;訓練終了日,EDATE(E175,1)-1,訓練終了日))</f>
        <v>46197</v>
      </c>
      <c r="L175" s="340"/>
      <c r="M175" s="340"/>
      <c r="N175" s="340"/>
      <c r="O175" s="341"/>
      <c r="P175" s="108"/>
      <c r="Q175" s="215">
        <f>IF(E175="","",(K175-E175+1))</f>
        <v>31</v>
      </c>
      <c r="R175" s="109" t="s">
        <v>52</v>
      </c>
      <c r="S175" s="101"/>
      <c r="T175" s="108"/>
      <c r="U175" s="215">
        <f>IF(E175="","",[2]機構処理!$BG$42)</f>
        <v>15</v>
      </c>
      <c r="V175" s="109" t="s">
        <v>52</v>
      </c>
      <c r="W175" s="101"/>
      <c r="X175" s="342">
        <f>IF(E175="","",[2]機構処理!BG85)</f>
        <v>0</v>
      </c>
      <c r="Y175" s="343"/>
      <c r="Z175" s="343"/>
      <c r="AA175" s="114" t="s">
        <v>66</v>
      </c>
      <c r="AB175" s="107"/>
      <c r="AC175" s="344">
        <f>IF(E175="","",[2]機構処理!$BH$43)</f>
        <v>90</v>
      </c>
      <c r="AD175" s="345"/>
      <c r="AE175" s="345"/>
      <c r="AF175" s="324" t="s">
        <v>66</v>
      </c>
      <c r="AG175" s="325"/>
      <c r="AH175" s="346" t="str">
        <f>[2]機構処理!BR29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46198</v>
      </c>
      <c r="F176" s="340"/>
      <c r="G176" s="340"/>
      <c r="H176" s="340"/>
      <c r="I176" s="340"/>
      <c r="J176" s="94" t="s">
        <v>104</v>
      </c>
      <c r="K176" s="340">
        <f>IF(E176="","",IF(EDATE(E176,1)-1&lt;訓練終了日,EDATE(E176,1)-1,訓練終了日))</f>
        <v>46227</v>
      </c>
      <c r="L176" s="340"/>
      <c r="M176" s="340"/>
      <c r="N176" s="340"/>
      <c r="O176" s="341"/>
      <c r="P176" s="108"/>
      <c r="Q176" s="215">
        <f>IF(E176="","",K176-E176+1)</f>
        <v>30</v>
      </c>
      <c r="R176" s="109" t="s">
        <v>52</v>
      </c>
      <c r="S176" s="101"/>
      <c r="T176" s="108"/>
      <c r="U176" s="215">
        <f>IF(E176="","",[2]機構処理!$BG$48)</f>
        <v>15</v>
      </c>
      <c r="V176" s="109" t="s">
        <v>52</v>
      </c>
      <c r="W176" s="101"/>
      <c r="X176" s="342">
        <f>IF(E176="","",[2]機構処理!BG89)</f>
        <v>0</v>
      </c>
      <c r="Y176" s="343"/>
      <c r="Z176" s="343"/>
      <c r="AA176" s="114" t="s">
        <v>66</v>
      </c>
      <c r="AB176" s="107"/>
      <c r="AC176" s="344">
        <f>IF(E176="","",[2]機構処理!$BH$49)</f>
        <v>90</v>
      </c>
      <c r="AD176" s="345"/>
      <c r="AE176" s="345"/>
      <c r="AF176" s="324" t="s">
        <v>66</v>
      </c>
      <c r="AG176" s="325"/>
      <c r="AH176" s="346" t="str">
        <f>[2]機構処理!BQ30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46228</v>
      </c>
      <c r="F177" s="340"/>
      <c r="G177" s="340"/>
      <c r="H177" s="340"/>
      <c r="I177" s="340"/>
      <c r="J177" s="94" t="s">
        <v>104</v>
      </c>
      <c r="K177" s="340">
        <f>IF(E177="","",IF(EDATE(E177,1)-1&lt;訓練終了日,EDATE(E177,1)-1,訓練終了日))</f>
        <v>46255</v>
      </c>
      <c r="L177" s="340"/>
      <c r="M177" s="340"/>
      <c r="N177" s="340"/>
      <c r="O177" s="341"/>
      <c r="P177" s="108"/>
      <c r="Q177" s="215">
        <f>IF(E177="","",K177-E177+1)</f>
        <v>28</v>
      </c>
      <c r="R177" s="109" t="s">
        <v>52</v>
      </c>
      <c r="S177" s="101"/>
      <c r="T177" s="108"/>
      <c r="U177" s="215">
        <f>IF(E177="","",[2]機構処理!$BG$54)</f>
        <v>18</v>
      </c>
      <c r="V177" s="109" t="s">
        <v>52</v>
      </c>
      <c r="W177" s="101"/>
      <c r="X177" s="342">
        <f>IF(E177="","",[2]機構処理!BG93)</f>
        <v>0</v>
      </c>
      <c r="Y177" s="343"/>
      <c r="Z177" s="343"/>
      <c r="AA177" s="114" t="s">
        <v>66</v>
      </c>
      <c r="AB177" s="107"/>
      <c r="AC177" s="344">
        <f>IF(E177="","",[2]機構処理!$BH$55)</f>
        <v>90</v>
      </c>
      <c r="AD177" s="345"/>
      <c r="AE177" s="345"/>
      <c r="AF177" s="324" t="s">
        <v>66</v>
      </c>
      <c r="AG177" s="325"/>
      <c r="AH177" s="346" t="str">
        <f>[2]機構処理!BQ31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178</v>
      </c>
      <c r="Q178" s="334"/>
      <c r="R178" s="111" t="s">
        <v>52</v>
      </c>
      <c r="S178" s="115"/>
      <c r="T178" s="333">
        <f>IF(U172="","",SUM(U172:U177))</f>
        <v>102</v>
      </c>
      <c r="U178" s="335"/>
      <c r="V178" s="109" t="s">
        <v>52</v>
      </c>
      <c r="W178" s="101"/>
      <c r="X178" s="336">
        <f>IF(X172="","",SUM(X172:Z177))</f>
        <v>0</v>
      </c>
      <c r="Y178" s="337"/>
      <c r="Z178" s="337"/>
      <c r="AA178" s="114" t="s">
        <v>66</v>
      </c>
      <c r="AB178" s="107"/>
      <c r="AC178" s="333">
        <f>IF(AC172="","",SUM(AC172:AC177))</f>
        <v>564</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2.9" customHeight="1">
      <c r="AH181" s="100"/>
    </row>
    <row r="182" spans="1:48" ht="12.9" customHeight="1">
      <c r="AH182" s="100"/>
    </row>
    <row r="183" spans="1:48" ht="12.9" customHeight="1">
      <c r="X183" s="121"/>
      <c r="AH183" s="100"/>
    </row>
    <row r="184" spans="1:48" ht="30" hidden="1" customHeight="1">
      <c r="V184" s="217" t="s">
        <v>369</v>
      </c>
      <c r="X184" s="218" t="s">
        <v>207</v>
      </c>
      <c r="AC184" s="218">
        <f>VALUE(訓練総時間)</f>
        <v>564</v>
      </c>
      <c r="AH184" s="219" t="s">
        <v>208</v>
      </c>
    </row>
    <row r="185" spans="1:48" ht="30" hidden="1" customHeight="1">
      <c r="V185" s="217" t="s">
        <v>209</v>
      </c>
      <c r="X185" s="218" t="s">
        <v>210</v>
      </c>
      <c r="AC185" s="218">
        <f>訓練時間合計</f>
        <v>564</v>
      </c>
      <c r="AH185" s="219" t="s">
        <v>211</v>
      </c>
    </row>
    <row r="186" spans="1:48" ht="30" hidden="1" customHeight="1">
      <c r="V186" s="217" t="s">
        <v>212</v>
      </c>
      <c r="X186" s="218" t="s">
        <v>213</v>
      </c>
      <c r="AC186" s="218">
        <f>IF(様6_訓練時間合計="",0,様6_訓練時間合計)</f>
        <v>564</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503" priority="6">
      <formula>LEN(TRIM(C160))=0</formula>
    </cfRule>
  </conditionalFormatting>
  <conditionalFormatting sqref="C6:AG27">
    <cfRule type="expression" dxfId="502" priority="38">
      <formula>WORKDAY(C$6+1,-1,祝祭日)&lt;&gt;C$6</formula>
    </cfRule>
  </conditionalFormatting>
  <conditionalFormatting sqref="C22:AG22">
    <cfRule type="expression" dxfId="501" priority="45">
      <formula>$AH$22&lt;&gt;""</formula>
    </cfRule>
  </conditionalFormatting>
  <conditionalFormatting sqref="C29:AG49">
    <cfRule type="expression" dxfId="500" priority="29">
      <formula>WORKDAY(C$29+1,-1,祝祭日)&lt;&gt;C$29</formula>
    </cfRule>
  </conditionalFormatting>
  <conditionalFormatting sqref="C45:AG45">
    <cfRule type="expression" dxfId="499" priority="44">
      <formula>+$AH$45&lt;&gt;""</formula>
    </cfRule>
  </conditionalFormatting>
  <conditionalFormatting sqref="C51:AG71">
    <cfRule type="expression" dxfId="498" priority="28">
      <formula>WORKDAY(C$51+1,-1,祝祭日)&lt;&gt;C$51</formula>
    </cfRule>
  </conditionalFormatting>
  <conditionalFormatting sqref="C67:AG67">
    <cfRule type="expression" dxfId="497" priority="46">
      <formula>+$AH$67&lt;&gt;""</formula>
    </cfRule>
  </conditionalFormatting>
  <conditionalFormatting sqref="C73:AG93">
    <cfRule type="expression" dxfId="496" priority="27">
      <formula>WORKDAY(C$73+1,-1,祝祭日)&lt;&gt;C$73</formula>
    </cfRule>
  </conditionalFormatting>
  <conditionalFormatting sqref="C89:AG89">
    <cfRule type="expression" dxfId="495" priority="47">
      <formula>+$AH$89&lt;&gt;""</formula>
    </cfRule>
  </conditionalFormatting>
  <conditionalFormatting sqref="C95:AG114">
    <cfRule type="expression" dxfId="494" priority="40">
      <formula>WORKDAY(C$95+1,-1,祝祭日)&lt;&gt;C$95</formula>
    </cfRule>
  </conditionalFormatting>
  <conditionalFormatting sqref="C110:AG110">
    <cfRule type="expression" dxfId="493" priority="48">
      <formula>+$AH$110&lt;&gt;""</formula>
    </cfRule>
  </conditionalFormatting>
  <conditionalFormatting sqref="C116:AG135">
    <cfRule type="expression" dxfId="492" priority="39">
      <formula>WORKDAY(C$116+1,-1,祝祭日)&lt;&gt;C$116</formula>
    </cfRule>
  </conditionalFormatting>
  <conditionalFormatting sqref="C131:AG131">
    <cfRule type="expression" dxfId="491" priority="49">
      <formula>+$AH$131&lt;&gt;""</formula>
    </cfRule>
  </conditionalFormatting>
  <conditionalFormatting sqref="D158:E158">
    <cfRule type="containsBlanks" dxfId="490" priority="33">
      <formula>LEN(TRIM(D158))=0</formula>
    </cfRule>
  </conditionalFormatting>
  <conditionalFormatting sqref="D139:F140">
    <cfRule type="cellIs" dxfId="489" priority="32" operator="equal">
      <formula>""</formula>
    </cfRule>
  </conditionalFormatting>
  <conditionalFormatting sqref="F148:F154 C149:C154">
    <cfRule type="cellIs" dxfId="488" priority="43" stopIfTrue="1" operator="equal">
      <formula>""</formula>
    </cfRule>
  </conditionalFormatting>
  <conditionalFormatting sqref="F154">
    <cfRule type="cellIs" dxfId="487" priority="42" operator="greaterThan">
      <formula>0.917</formula>
    </cfRule>
  </conditionalFormatting>
  <conditionalFormatting sqref="F155:F156 C155:C156">
    <cfRule type="containsBlanks" dxfId="486" priority="9">
      <formula>LEN(TRIM(C155))=0</formula>
    </cfRule>
  </conditionalFormatting>
  <conditionalFormatting sqref="F153:G153">
    <cfRule type="cellIs" dxfId="485" priority="1" operator="greaterThan">
      <formula>0.917</formula>
    </cfRule>
  </conditionalFormatting>
  <conditionalFormatting sqref="F156:G156">
    <cfRule type="cellIs" dxfId="484" priority="4" operator="greaterThan">
      <formula>0.917</formula>
    </cfRule>
  </conditionalFormatting>
  <conditionalFormatting sqref="F160:G168 C161:D168">
    <cfRule type="containsBlanks" dxfId="483" priority="37">
      <formula>LEN(TRIM(C160))=0</formula>
    </cfRule>
  </conditionalFormatting>
  <conditionalFormatting sqref="F166:G166">
    <cfRule type="cellIs" dxfId="482" priority="3" operator="greaterThan">
      <formula>0.917</formula>
    </cfRule>
  </conditionalFormatting>
  <conditionalFormatting sqref="F168:G168">
    <cfRule type="cellIs" dxfId="481" priority="36" operator="greaterThan">
      <formula>0.917</formula>
    </cfRule>
  </conditionalFormatting>
  <conditionalFormatting sqref="K1">
    <cfRule type="expression" dxfId="480" priority="30">
      <formula>$K$1&lt;&gt;""</formula>
    </cfRule>
  </conditionalFormatting>
  <conditionalFormatting sqref="K140:O145 Q140:AG145">
    <cfRule type="containsBlanks" dxfId="479" priority="8">
      <formula>LEN(TRIM(K140))=0</formula>
    </cfRule>
  </conditionalFormatting>
  <conditionalFormatting sqref="N160">
    <cfRule type="containsBlanks" dxfId="478" priority="5">
      <formula>LEN(TRIM(N160))=0</formula>
    </cfRule>
  </conditionalFormatting>
  <conditionalFormatting sqref="O158:P158">
    <cfRule type="containsBlanks" dxfId="477" priority="7">
      <formula>LEN(TRIM(O158))=0</formula>
    </cfRule>
  </conditionalFormatting>
  <conditionalFormatting sqref="P170:W170">
    <cfRule type="expression" dxfId="476" priority="50">
      <formula>AND(訓練種別コード="001",AI21+AI44+AI66+AI88+#REF!+#REF!&gt;0)</formula>
    </cfRule>
  </conditionalFormatting>
  <conditionalFormatting sqref="Q172:Q177">
    <cfRule type="cellIs" dxfId="475" priority="41" stopIfTrue="1" operator="lessThan">
      <formula>28</formula>
    </cfRule>
  </conditionalFormatting>
  <conditionalFormatting sqref="Q160:R168 N161:O168">
    <cfRule type="containsBlanks" dxfId="474" priority="35">
      <formula>LEN(TRIM(N160))=0</formula>
    </cfRule>
  </conditionalFormatting>
  <conditionalFormatting sqref="Q166:R166">
    <cfRule type="cellIs" dxfId="473" priority="34" operator="greaterThan">
      <formula>0.917</formula>
    </cfRule>
  </conditionalFormatting>
  <conditionalFormatting sqref="Q168:R168">
    <cfRule type="cellIs" dxfId="472" priority="2" operator="greaterThan">
      <formula>0.917</formula>
    </cfRule>
  </conditionalFormatting>
  <conditionalFormatting sqref="X171:AB171 X172 AA172:AB172 X173:AB178">
    <cfRule type="expression" dxfId="471" priority="31">
      <formula>$X$171=""</formula>
    </cfRule>
  </conditionalFormatting>
  <conditionalFormatting sqref="AC178:AE178">
    <cfRule type="expression" dxfId="470" priority="10">
      <formula>AND(NOT(VALUE(訓練総時間)=訓練時間合計),NOT(VALUE(訓練総時間)=IF(様6_訓練時間合計="",0,様6_訓練時間合計)))</formula>
    </cfRule>
  </conditionalFormatting>
  <conditionalFormatting sqref="AH89:AI89">
    <cfRule type="expression" dxfId="469" priority="22">
      <formula>$AI89=""</formula>
    </cfRule>
  </conditionalFormatting>
  <conditionalFormatting sqref="AH111:AI111">
    <cfRule type="expression" dxfId="468" priority="21">
      <formula>$AI111=""</formula>
    </cfRule>
  </conditionalFormatting>
  <conditionalFormatting sqref="AH22:AJ23">
    <cfRule type="expression" dxfId="467" priority="26">
      <formula>$AI22=""</formula>
    </cfRule>
  </conditionalFormatting>
  <conditionalFormatting sqref="AH45:AJ46">
    <cfRule type="expression" dxfId="466" priority="25">
      <formula>$AI45=""</formula>
    </cfRule>
  </conditionalFormatting>
  <conditionalFormatting sqref="AH67:AJ68">
    <cfRule type="expression" dxfId="465" priority="24">
      <formula>$AI67=""</formula>
    </cfRule>
  </conditionalFormatting>
  <conditionalFormatting sqref="AH90:AJ90">
    <cfRule type="expression" dxfId="464" priority="23">
      <formula>$AI90=""</formula>
    </cfRule>
  </conditionalFormatting>
  <conditionalFormatting sqref="AH110:AJ110">
    <cfRule type="expression" dxfId="463" priority="20">
      <formula>$AI110=""</formula>
    </cfRule>
  </conditionalFormatting>
  <conditionalFormatting sqref="AH131:AJ132">
    <cfRule type="expression" dxfId="462" priority="19">
      <formula>$AI131=""</formula>
    </cfRule>
  </conditionalFormatting>
  <conditionalFormatting sqref="AH178:AL178">
    <cfRule type="expression" dxfId="461" priority="12">
      <formula>$AH$178=""</formula>
    </cfRule>
  </conditionalFormatting>
  <conditionalFormatting sqref="AI27:AL27">
    <cfRule type="expression" dxfId="460" priority="18">
      <formula>$C6=""</formula>
    </cfRule>
  </conditionalFormatting>
  <conditionalFormatting sqref="AI49:AL49">
    <cfRule type="expression" dxfId="459" priority="17">
      <formula>$C29=""</formula>
    </cfRule>
  </conditionalFormatting>
  <conditionalFormatting sqref="AI71:AL71">
    <cfRule type="expression" dxfId="458" priority="16">
      <formula>$C51=""</formula>
    </cfRule>
  </conditionalFormatting>
  <conditionalFormatting sqref="AI93:AL93">
    <cfRule type="expression" dxfId="457" priority="15">
      <formula>$C73=""</formula>
    </cfRule>
  </conditionalFormatting>
  <conditionalFormatting sqref="AI114:AL114">
    <cfRule type="expression" dxfId="456" priority="14">
      <formula>$C$95=""</formula>
    </cfRule>
  </conditionalFormatting>
  <conditionalFormatting sqref="AI135:AL135">
    <cfRule type="expression" dxfId="455" priority="13">
      <formula>$C$116=""</formula>
    </cfRule>
  </conditionalFormatting>
  <conditionalFormatting sqref="AK189:AL189">
    <cfRule type="expression" dxfId="454" priority="11">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F43E99DB-32F3-4DBC-AAF2-002699534D11}">
      <formula1>"○"</formula1>
    </dataValidation>
    <dataValidation type="whole" imeMode="off" allowBlank="1" showInputMessage="1" showErrorMessage="1" sqref="C24:AG27 C47:AG49 C133:AG135 C91:AG93 C69:AG71 C112:AG114" xr:uid="{D7CBA66B-D70E-4CEE-8744-B6E7A17235E8}">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EBA081FC-53D6-422F-891D-43E85485F850}"/>
    <dataValidation type="list" allowBlank="1" showInputMessage="1" showErrorMessage="1" sqref="C89:AG89 C45:AG45 C131:AG131 C22:AG22 C67:AG67 C110:AG110" xr:uid="{5791E8F3-7D20-4D80-B76A-D7945BC2A8A0}">
      <formula1>"○,◎"</formula1>
    </dataValidation>
    <dataValidation imeMode="hiragana" allowBlank="1" showInputMessage="1" showErrorMessage="1" sqref="V140:AG145 C118:AG130 C75:AG87 C53:AG65 C31:AG43 C8:AG20 C97:AG109" xr:uid="{391E95E1-8C52-439D-A5B8-525CC05DBC7E}"/>
  </dataValidations>
  <hyperlinks>
    <hyperlink ref="AJ150" location="様式7の１!B8" display="様式7の１作成へ" xr:uid="{58995722-07D0-4539-AD83-6F8EDC213E55}"/>
    <hyperlink ref="AJ152" location="一覧表!M42" display="一覧表へ戻る" xr:uid="{A5166874-9EBC-474F-9B63-1B28E39118B7}"/>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505857" r:id="rId4" name="来所日選択">
              <controlPr defaultSize="0" print="0" autoLine="0" autoPict="0">
                <anchor moveWithCells="1">
                  <from>
                    <xdr:col>4</xdr:col>
                    <xdr:colOff>312420</xdr:colOff>
                    <xdr:row>0</xdr:row>
                    <xdr:rowOff>182880</xdr:rowOff>
                  </from>
                  <to>
                    <xdr:col>8</xdr:col>
                    <xdr:colOff>312420</xdr:colOff>
                    <xdr:row>1</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5EE24-B790-47B4-9EF4-17147DB2930E}">
  <sheetPr codeName="Sheet14"/>
  <dimension ref="A1:BQ248"/>
  <sheetViews>
    <sheetView zoomScale="80" zoomScaleNormal="80" zoomScaleSheetLayoutView="80" workbookViewId="0"/>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IF(OR(訓練月数=0,訓練月数=""),"訓練期間が入力されていません！！",IF(訓練月数=1,IF(訓練終了日&lt;=INDIRECT("開講スケジュール!D"&amp;[3]開講スケジュール!$D$2+1),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AI活用で学ぶWeb制作・デザイン＆アプリ開発科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46043</v>
      </c>
      <c r="D6" s="33">
        <f>IF(C6="","",C6+1)</f>
        <v>46044</v>
      </c>
      <c r="E6" s="33">
        <f t="shared" ref="E6:P6" si="1">IF(D6="","",D6+1)</f>
        <v>46045</v>
      </c>
      <c r="F6" s="33">
        <f t="shared" si="1"/>
        <v>46046</v>
      </c>
      <c r="G6" s="33">
        <f t="shared" si="1"/>
        <v>46047</v>
      </c>
      <c r="H6" s="33">
        <f t="shared" si="1"/>
        <v>46048</v>
      </c>
      <c r="I6" s="33">
        <f t="shared" si="1"/>
        <v>46049</v>
      </c>
      <c r="J6" s="33">
        <f t="shared" si="1"/>
        <v>46050</v>
      </c>
      <c r="K6" s="33">
        <f t="shared" si="1"/>
        <v>46051</v>
      </c>
      <c r="L6" s="33">
        <f t="shared" si="1"/>
        <v>46052</v>
      </c>
      <c r="M6" s="33">
        <f t="shared" si="1"/>
        <v>46053</v>
      </c>
      <c r="N6" s="33">
        <f t="shared" si="1"/>
        <v>46054</v>
      </c>
      <c r="O6" s="33">
        <f t="shared" si="1"/>
        <v>46055</v>
      </c>
      <c r="P6" s="33">
        <f t="shared" si="1"/>
        <v>46056</v>
      </c>
      <c r="Q6" s="33">
        <f t="shared" ref="Q6:AB6" si="2">IF(P6="","",IF(P6+1&gt;訓練終了日,"",P6+1))</f>
        <v>46057</v>
      </c>
      <c r="R6" s="33">
        <f t="shared" si="2"/>
        <v>46058</v>
      </c>
      <c r="S6" s="33">
        <f t="shared" si="2"/>
        <v>46059</v>
      </c>
      <c r="T6" s="33">
        <f t="shared" si="2"/>
        <v>46060</v>
      </c>
      <c r="U6" s="33">
        <f t="shared" si="2"/>
        <v>46061</v>
      </c>
      <c r="V6" s="33">
        <f t="shared" si="2"/>
        <v>46062</v>
      </c>
      <c r="W6" s="33">
        <f t="shared" si="2"/>
        <v>46063</v>
      </c>
      <c r="X6" s="33">
        <f t="shared" si="2"/>
        <v>46064</v>
      </c>
      <c r="Y6" s="33">
        <f t="shared" si="2"/>
        <v>46065</v>
      </c>
      <c r="Z6" s="33">
        <f t="shared" si="2"/>
        <v>46066</v>
      </c>
      <c r="AA6" s="33">
        <f t="shared" si="2"/>
        <v>46067</v>
      </c>
      <c r="AB6" s="33">
        <f t="shared" si="2"/>
        <v>46068</v>
      </c>
      <c r="AC6" s="33">
        <f>IF(AB6="","",IF(AB6+1&gt;訓練終了日,"",IF(AB6+1&gt;=EDATE(C6,1),"",AB6+1)))</f>
        <v>46069</v>
      </c>
      <c r="AD6" s="33">
        <f>IF(AC6="","",IF(AC6+1&gt;訓練終了日,"",IF(AC6+1&gt;=EDATE(C6,1),"",AC6+1)))</f>
        <v>46070</v>
      </c>
      <c r="AE6" s="33">
        <f>IF(AD6="","",IF(AD6+1&gt;訓練終了日,"",IF(AD6+1&gt;=EDATE(C6,1),"",AD6+1)))</f>
        <v>46071</v>
      </c>
      <c r="AF6" s="33">
        <f>IF(AE6="","",IF(AE6+1&gt;訓練終了日,"",IF(AE6+1&gt;=EDATE(C6,1),"",AE6+1)))</f>
        <v>46072</v>
      </c>
      <c r="AG6" s="33">
        <f>IF(AF6="","",IF(AF6+1&gt;訓練終了日,"",IF(AF6+1&gt;=EDATE(C6,1),"",AF6+1)))</f>
        <v>46073</v>
      </c>
      <c r="AH6" s="19"/>
      <c r="AI6" s="20"/>
      <c r="AJ6" s="20"/>
      <c r="AK6" s="20"/>
      <c r="AL6" s="20"/>
      <c r="AM6" s="20"/>
      <c r="AN6" s="20"/>
      <c r="AO6" s="34"/>
      <c r="AP6" s="20"/>
      <c r="AQ6" s="20"/>
      <c r="AR6" s="20"/>
      <c r="AS6" s="20"/>
      <c r="AT6" s="20"/>
      <c r="AU6" s="20"/>
      <c r="AV6" s="20"/>
    </row>
    <row r="7" spans="1:69" ht="18" customHeight="1">
      <c r="A7" s="35"/>
      <c r="B7" s="31" t="s">
        <v>52</v>
      </c>
      <c r="C7" s="36">
        <f t="shared" ref="C7:AG8" si="3">+C6</f>
        <v>46043</v>
      </c>
      <c r="D7" s="37">
        <f t="shared" si="3"/>
        <v>46044</v>
      </c>
      <c r="E7" s="37">
        <f t="shared" si="3"/>
        <v>46045</v>
      </c>
      <c r="F7" s="37">
        <f t="shared" si="3"/>
        <v>46046</v>
      </c>
      <c r="G7" s="37">
        <f t="shared" si="3"/>
        <v>46047</v>
      </c>
      <c r="H7" s="37">
        <f t="shared" si="3"/>
        <v>46048</v>
      </c>
      <c r="I7" s="37">
        <f t="shared" si="3"/>
        <v>46049</v>
      </c>
      <c r="J7" s="37">
        <f t="shared" si="3"/>
        <v>46050</v>
      </c>
      <c r="K7" s="37">
        <f t="shared" si="3"/>
        <v>46051</v>
      </c>
      <c r="L7" s="37">
        <f t="shared" si="3"/>
        <v>46052</v>
      </c>
      <c r="M7" s="37">
        <f t="shared" si="3"/>
        <v>46053</v>
      </c>
      <c r="N7" s="37">
        <f t="shared" si="3"/>
        <v>46054</v>
      </c>
      <c r="O7" s="37">
        <f t="shared" si="3"/>
        <v>46055</v>
      </c>
      <c r="P7" s="37">
        <f t="shared" si="3"/>
        <v>46056</v>
      </c>
      <c r="Q7" s="37">
        <f t="shared" si="3"/>
        <v>46057</v>
      </c>
      <c r="R7" s="37">
        <f t="shared" si="3"/>
        <v>46058</v>
      </c>
      <c r="S7" s="37">
        <f t="shared" si="3"/>
        <v>46059</v>
      </c>
      <c r="T7" s="37">
        <f t="shared" si="3"/>
        <v>46060</v>
      </c>
      <c r="U7" s="37">
        <f t="shared" si="3"/>
        <v>46061</v>
      </c>
      <c r="V7" s="37">
        <f t="shared" si="3"/>
        <v>46062</v>
      </c>
      <c r="W7" s="37">
        <f t="shared" si="3"/>
        <v>46063</v>
      </c>
      <c r="X7" s="37">
        <f t="shared" si="3"/>
        <v>46064</v>
      </c>
      <c r="Y7" s="37">
        <f t="shared" si="3"/>
        <v>46065</v>
      </c>
      <c r="Z7" s="37">
        <f t="shared" si="3"/>
        <v>46066</v>
      </c>
      <c r="AA7" s="37">
        <f t="shared" si="3"/>
        <v>46067</v>
      </c>
      <c r="AB7" s="37">
        <f t="shared" si="3"/>
        <v>46068</v>
      </c>
      <c r="AC7" s="37">
        <f t="shared" si="3"/>
        <v>46069</v>
      </c>
      <c r="AD7" s="37">
        <f t="shared" si="3"/>
        <v>46070</v>
      </c>
      <c r="AE7" s="37">
        <f t="shared" si="3"/>
        <v>46071</v>
      </c>
      <c r="AF7" s="37">
        <f t="shared" si="3"/>
        <v>46072</v>
      </c>
      <c r="AG7" s="38">
        <f t="shared" si="3"/>
        <v>46073</v>
      </c>
      <c r="AH7" s="19"/>
      <c r="AI7" s="20"/>
      <c r="AJ7" s="20"/>
      <c r="AK7" s="20"/>
      <c r="AL7" s="20"/>
      <c r="AM7" s="20"/>
      <c r="AN7" s="20"/>
      <c r="AO7" s="34"/>
      <c r="AP7" s="20"/>
      <c r="AQ7" s="20"/>
      <c r="AR7" s="20"/>
      <c r="AS7" s="20"/>
      <c r="AT7" s="20"/>
      <c r="AU7" s="20"/>
      <c r="AV7" s="20"/>
    </row>
    <row r="8" spans="1:69" ht="18" customHeight="1">
      <c r="A8" s="35"/>
      <c r="B8" s="31" t="s">
        <v>53</v>
      </c>
      <c r="C8" s="39">
        <f t="shared" si="3"/>
        <v>46043</v>
      </c>
      <c r="D8" s="39">
        <f t="shared" si="3"/>
        <v>46044</v>
      </c>
      <c r="E8" s="39">
        <f t="shared" si="3"/>
        <v>46045</v>
      </c>
      <c r="F8" s="39">
        <f t="shared" si="3"/>
        <v>46046</v>
      </c>
      <c r="G8" s="39">
        <f t="shared" si="3"/>
        <v>46047</v>
      </c>
      <c r="H8" s="39">
        <f t="shared" si="3"/>
        <v>46048</v>
      </c>
      <c r="I8" s="39">
        <f t="shared" si="3"/>
        <v>46049</v>
      </c>
      <c r="J8" s="39">
        <f t="shared" si="3"/>
        <v>46050</v>
      </c>
      <c r="K8" s="39">
        <f t="shared" si="3"/>
        <v>46051</v>
      </c>
      <c r="L8" s="39">
        <f t="shared" si="3"/>
        <v>46052</v>
      </c>
      <c r="M8" s="39">
        <f t="shared" si="3"/>
        <v>46053</v>
      </c>
      <c r="N8" s="39">
        <f t="shared" si="3"/>
        <v>46054</v>
      </c>
      <c r="O8" s="39">
        <f t="shared" si="3"/>
        <v>46055</v>
      </c>
      <c r="P8" s="39">
        <f t="shared" si="3"/>
        <v>46056</v>
      </c>
      <c r="Q8" s="39">
        <f t="shared" si="3"/>
        <v>46057</v>
      </c>
      <c r="R8" s="39">
        <f t="shared" si="3"/>
        <v>46058</v>
      </c>
      <c r="S8" s="39">
        <f t="shared" si="3"/>
        <v>46059</v>
      </c>
      <c r="T8" s="39">
        <f t="shared" si="3"/>
        <v>46060</v>
      </c>
      <c r="U8" s="39">
        <f t="shared" si="3"/>
        <v>46061</v>
      </c>
      <c r="V8" s="39">
        <f t="shared" si="3"/>
        <v>46062</v>
      </c>
      <c r="W8" s="39">
        <f t="shared" si="3"/>
        <v>46063</v>
      </c>
      <c r="X8" s="39">
        <f t="shared" si="3"/>
        <v>46064</v>
      </c>
      <c r="Y8" s="39">
        <f t="shared" si="3"/>
        <v>46065</v>
      </c>
      <c r="Z8" s="39">
        <f t="shared" si="3"/>
        <v>46066</v>
      </c>
      <c r="AA8" s="39">
        <f t="shared" si="3"/>
        <v>46067</v>
      </c>
      <c r="AB8" s="39">
        <f t="shared" si="3"/>
        <v>46068</v>
      </c>
      <c r="AC8" s="39">
        <f t="shared" si="3"/>
        <v>46069</v>
      </c>
      <c r="AD8" s="39">
        <f t="shared" si="3"/>
        <v>46070</v>
      </c>
      <c r="AE8" s="39">
        <f t="shared" si="3"/>
        <v>46071</v>
      </c>
      <c r="AF8" s="39">
        <f t="shared" si="3"/>
        <v>46072</v>
      </c>
      <c r="AG8" s="40">
        <f t="shared" si="3"/>
        <v>46073</v>
      </c>
      <c r="AH8" s="19"/>
      <c r="AI8" s="20"/>
      <c r="AJ8" s="20"/>
      <c r="AK8" s="20"/>
      <c r="AL8" s="20"/>
      <c r="AM8" s="20"/>
      <c r="AN8" s="20"/>
      <c r="AO8" s="20"/>
      <c r="AP8" s="20"/>
      <c r="AQ8" s="20"/>
      <c r="AR8" s="20"/>
      <c r="AS8" s="20"/>
      <c r="AT8" s="20"/>
      <c r="AU8" s="20"/>
      <c r="AV8" s="20"/>
    </row>
    <row r="9" spans="1:69" ht="18" customHeight="1">
      <c r="A9" s="411" t="s">
        <v>54</v>
      </c>
      <c r="B9" s="41"/>
      <c r="C9" s="423" t="s">
        <v>55</v>
      </c>
      <c r="D9" s="399" t="s">
        <v>222</v>
      </c>
      <c r="E9" s="399" t="s">
        <v>317</v>
      </c>
      <c r="F9" s="425"/>
      <c r="G9" s="399"/>
      <c r="H9" s="425" t="s">
        <v>344</v>
      </c>
      <c r="I9" s="399" t="s">
        <v>345</v>
      </c>
      <c r="J9" s="430" t="s">
        <v>346</v>
      </c>
      <c r="K9" s="399" t="s">
        <v>347</v>
      </c>
      <c r="L9" s="399"/>
      <c r="M9" s="399"/>
      <c r="N9" s="399"/>
      <c r="O9" s="399" t="s">
        <v>347</v>
      </c>
      <c r="P9" s="399"/>
      <c r="Q9" s="399" t="s">
        <v>347</v>
      </c>
      <c r="R9" s="399" t="s">
        <v>347</v>
      </c>
      <c r="S9" s="399" t="s">
        <v>347</v>
      </c>
      <c r="T9" s="399" t="s">
        <v>57</v>
      </c>
      <c r="U9" s="399"/>
      <c r="V9" s="399" t="s">
        <v>347</v>
      </c>
      <c r="W9" s="399"/>
      <c r="X9" s="399"/>
      <c r="Y9" s="399" t="s">
        <v>347</v>
      </c>
      <c r="Z9" s="399" t="s">
        <v>347</v>
      </c>
      <c r="AA9" s="399" t="s">
        <v>56</v>
      </c>
      <c r="AB9" s="399"/>
      <c r="AC9" s="399" t="s">
        <v>347</v>
      </c>
      <c r="AD9" s="399" t="s">
        <v>347</v>
      </c>
      <c r="AE9" s="399"/>
      <c r="AF9" s="399" t="s">
        <v>348</v>
      </c>
      <c r="AG9" s="426" t="s">
        <v>348</v>
      </c>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31"/>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31"/>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31"/>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31"/>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31"/>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85" hidden="1" customHeight="1">
      <c r="A15" s="411"/>
      <c r="B15" s="41"/>
      <c r="C15" s="424"/>
      <c r="D15" s="400"/>
      <c r="E15" s="400"/>
      <c r="F15" s="400"/>
      <c r="G15" s="400"/>
      <c r="H15" s="400"/>
      <c r="I15" s="400"/>
      <c r="J15" s="431"/>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31"/>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31"/>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31"/>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31"/>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32"/>
      <c r="K20" s="400"/>
      <c r="L20" s="400"/>
      <c r="M20" s="400"/>
      <c r="N20" s="400"/>
      <c r="O20" s="400"/>
      <c r="P20" s="401"/>
      <c r="Q20" s="400"/>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[3]機構処理!BI72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5</v>
      </c>
      <c r="E24" s="57">
        <v>6</v>
      </c>
      <c r="F24" s="57"/>
      <c r="G24" s="57"/>
      <c r="H24" s="57">
        <v>3</v>
      </c>
      <c r="I24" s="57">
        <v>6</v>
      </c>
      <c r="J24" s="57">
        <v>6</v>
      </c>
      <c r="K24" s="57">
        <v>6</v>
      </c>
      <c r="L24" s="57"/>
      <c r="M24" s="57"/>
      <c r="N24" s="57"/>
      <c r="O24" s="57">
        <v>6</v>
      </c>
      <c r="P24" s="57"/>
      <c r="Q24" s="57">
        <v>6</v>
      </c>
      <c r="R24" s="57">
        <v>6</v>
      </c>
      <c r="S24" s="57">
        <v>6</v>
      </c>
      <c r="T24" s="57">
        <v>0</v>
      </c>
      <c r="U24" s="57"/>
      <c r="V24" s="57">
        <v>6</v>
      </c>
      <c r="W24" s="57"/>
      <c r="X24" s="57"/>
      <c r="Y24" s="57">
        <v>6</v>
      </c>
      <c r="Z24" s="57">
        <v>6</v>
      </c>
      <c r="AA24" s="57">
        <v>0</v>
      </c>
      <c r="AB24" s="57"/>
      <c r="AC24" s="57">
        <v>6</v>
      </c>
      <c r="AD24" s="57">
        <v>6</v>
      </c>
      <c r="AE24" s="57"/>
      <c r="AF24" s="57">
        <v>6</v>
      </c>
      <c r="AG24" s="58">
        <v>6</v>
      </c>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1</v>
      </c>
      <c r="E27" s="254"/>
      <c r="F27" s="254"/>
      <c r="G27" s="254"/>
      <c r="H27" s="254">
        <v>3</v>
      </c>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IF(C6="","",[3]機構処理!BF29)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46074</v>
      </c>
      <c r="D29" s="33">
        <f t="shared" ref="D29:AD29" si="5">IF(OR(C29="",C28="修了日"),"",C29+1)</f>
        <v>46075</v>
      </c>
      <c r="E29" s="33">
        <f t="shared" si="5"/>
        <v>46076</v>
      </c>
      <c r="F29" s="33">
        <f t="shared" si="5"/>
        <v>46077</v>
      </c>
      <c r="G29" s="33">
        <f t="shared" si="5"/>
        <v>46078</v>
      </c>
      <c r="H29" s="33">
        <f t="shared" si="5"/>
        <v>46079</v>
      </c>
      <c r="I29" s="33">
        <f t="shared" si="5"/>
        <v>46080</v>
      </c>
      <c r="J29" s="33">
        <f t="shared" si="5"/>
        <v>46081</v>
      </c>
      <c r="K29" s="33">
        <f t="shared" si="5"/>
        <v>46082</v>
      </c>
      <c r="L29" s="33">
        <f t="shared" si="5"/>
        <v>46083</v>
      </c>
      <c r="M29" s="33">
        <f t="shared" si="5"/>
        <v>46084</v>
      </c>
      <c r="N29" s="33">
        <f t="shared" si="5"/>
        <v>46085</v>
      </c>
      <c r="O29" s="33">
        <f t="shared" si="5"/>
        <v>46086</v>
      </c>
      <c r="P29" s="33">
        <f t="shared" si="5"/>
        <v>46087</v>
      </c>
      <c r="Q29" s="33">
        <f t="shared" si="5"/>
        <v>46088</v>
      </c>
      <c r="R29" s="33">
        <f t="shared" si="5"/>
        <v>46089</v>
      </c>
      <c r="S29" s="33">
        <f t="shared" si="5"/>
        <v>46090</v>
      </c>
      <c r="T29" s="33">
        <f t="shared" si="5"/>
        <v>46091</v>
      </c>
      <c r="U29" s="33">
        <f t="shared" si="5"/>
        <v>46092</v>
      </c>
      <c r="V29" s="33">
        <f t="shared" si="5"/>
        <v>46093</v>
      </c>
      <c r="W29" s="33">
        <f t="shared" si="5"/>
        <v>46094</v>
      </c>
      <c r="X29" s="33">
        <f t="shared" si="5"/>
        <v>46095</v>
      </c>
      <c r="Y29" s="33">
        <f t="shared" si="5"/>
        <v>46096</v>
      </c>
      <c r="Z29" s="33">
        <f t="shared" si="5"/>
        <v>46097</v>
      </c>
      <c r="AA29" s="33">
        <f t="shared" si="5"/>
        <v>46098</v>
      </c>
      <c r="AB29" s="33">
        <f t="shared" si="5"/>
        <v>46099</v>
      </c>
      <c r="AC29" s="33">
        <f t="shared" si="5"/>
        <v>46100</v>
      </c>
      <c r="AD29" s="33">
        <f t="shared" si="5"/>
        <v>46101</v>
      </c>
      <c r="AE29" s="33" t="str">
        <f>IF(OR(AD29="",AD28="修了日"),"",IF(AND(DAY(DATE(YEAR(C29),2,29))=29,MONTH(C29)=2),AD29+1,IF(MONTH(C29)=2,"",AD29+1)))</f>
        <v/>
      </c>
      <c r="AF29" s="33" t="str">
        <f>IF(OR(AE29="",AE28="修了日"),"",IF(MONTH(C29)=2,"",AE29+1))</f>
        <v/>
      </c>
      <c r="AG29" s="65" t="str">
        <f>IF(OR(AF29="",AF28="修了日"),"",IF(OR(MONTH(C29)=2,MONTH(C29)=4,MONTH(C29)=6,MONTH(C29)=9,MONTH(C29)=11),"",AF29+1))</f>
        <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46074</v>
      </c>
      <c r="D30" s="67">
        <f t="shared" si="6"/>
        <v>46075</v>
      </c>
      <c r="E30" s="67">
        <f t="shared" si="6"/>
        <v>46076</v>
      </c>
      <c r="F30" s="67">
        <f t="shared" si="6"/>
        <v>46077</v>
      </c>
      <c r="G30" s="67">
        <f t="shared" si="6"/>
        <v>46078</v>
      </c>
      <c r="H30" s="67">
        <f t="shared" si="6"/>
        <v>46079</v>
      </c>
      <c r="I30" s="67">
        <f t="shared" si="6"/>
        <v>46080</v>
      </c>
      <c r="J30" s="67">
        <f t="shared" si="6"/>
        <v>46081</v>
      </c>
      <c r="K30" s="67">
        <f t="shared" si="6"/>
        <v>46082</v>
      </c>
      <c r="L30" s="67">
        <f t="shared" si="6"/>
        <v>46083</v>
      </c>
      <c r="M30" s="67">
        <f t="shared" si="6"/>
        <v>46084</v>
      </c>
      <c r="N30" s="67">
        <f t="shared" si="6"/>
        <v>46085</v>
      </c>
      <c r="O30" s="67">
        <f t="shared" si="6"/>
        <v>46086</v>
      </c>
      <c r="P30" s="67">
        <f t="shared" si="6"/>
        <v>46087</v>
      </c>
      <c r="Q30" s="67">
        <f t="shared" si="6"/>
        <v>46088</v>
      </c>
      <c r="R30" s="67">
        <f t="shared" si="6"/>
        <v>46089</v>
      </c>
      <c r="S30" s="67">
        <f t="shared" si="6"/>
        <v>46090</v>
      </c>
      <c r="T30" s="67">
        <f t="shared" si="6"/>
        <v>46091</v>
      </c>
      <c r="U30" s="67">
        <f t="shared" si="6"/>
        <v>46092</v>
      </c>
      <c r="V30" s="67">
        <f t="shared" si="6"/>
        <v>46093</v>
      </c>
      <c r="W30" s="67">
        <f t="shared" si="6"/>
        <v>46094</v>
      </c>
      <c r="X30" s="67">
        <f t="shared" si="6"/>
        <v>46095</v>
      </c>
      <c r="Y30" s="67">
        <f t="shared" si="6"/>
        <v>46096</v>
      </c>
      <c r="Z30" s="67">
        <f t="shared" si="6"/>
        <v>46097</v>
      </c>
      <c r="AA30" s="67">
        <f t="shared" si="6"/>
        <v>46098</v>
      </c>
      <c r="AB30" s="67">
        <f>IF(AB29="","",+AB29)</f>
        <v>46099</v>
      </c>
      <c r="AC30" s="67">
        <f t="shared" si="6"/>
        <v>46100</v>
      </c>
      <c r="AD30" s="37">
        <f t="shared" si="6"/>
        <v>46101</v>
      </c>
      <c r="AE30" s="67" t="str">
        <f t="shared" si="6"/>
        <v/>
      </c>
      <c r="AF30" s="67" t="str">
        <f t="shared" si="6"/>
        <v/>
      </c>
      <c r="AG30" s="68" t="str">
        <f t="shared" si="6"/>
        <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46074</v>
      </c>
      <c r="D31" s="39">
        <f t="shared" si="6"/>
        <v>46075</v>
      </c>
      <c r="E31" s="39">
        <f t="shared" si="6"/>
        <v>46076</v>
      </c>
      <c r="F31" s="39">
        <f t="shared" si="6"/>
        <v>46077</v>
      </c>
      <c r="G31" s="39">
        <f t="shared" si="6"/>
        <v>46078</v>
      </c>
      <c r="H31" s="39">
        <f t="shared" si="6"/>
        <v>46079</v>
      </c>
      <c r="I31" s="39">
        <f t="shared" si="6"/>
        <v>46080</v>
      </c>
      <c r="J31" s="39">
        <f t="shared" si="6"/>
        <v>46081</v>
      </c>
      <c r="K31" s="39">
        <f t="shared" si="6"/>
        <v>46082</v>
      </c>
      <c r="L31" s="39">
        <f t="shared" si="6"/>
        <v>46083</v>
      </c>
      <c r="M31" s="39">
        <f t="shared" si="6"/>
        <v>46084</v>
      </c>
      <c r="N31" s="39">
        <f t="shared" si="6"/>
        <v>46085</v>
      </c>
      <c r="O31" s="39">
        <f t="shared" si="6"/>
        <v>46086</v>
      </c>
      <c r="P31" s="39">
        <f t="shared" si="6"/>
        <v>46087</v>
      </c>
      <c r="Q31" s="39">
        <f t="shared" si="6"/>
        <v>46088</v>
      </c>
      <c r="R31" s="39">
        <f t="shared" si="6"/>
        <v>46089</v>
      </c>
      <c r="S31" s="39">
        <f t="shared" si="6"/>
        <v>46090</v>
      </c>
      <c r="T31" s="39">
        <f t="shared" si="6"/>
        <v>46091</v>
      </c>
      <c r="U31" s="39">
        <f t="shared" si="6"/>
        <v>46092</v>
      </c>
      <c r="V31" s="39">
        <f t="shared" si="6"/>
        <v>46093</v>
      </c>
      <c r="W31" s="39">
        <f t="shared" si="6"/>
        <v>46094</v>
      </c>
      <c r="X31" s="39">
        <f t="shared" si="6"/>
        <v>46095</v>
      </c>
      <c r="Y31" s="39">
        <f t="shared" si="6"/>
        <v>46096</v>
      </c>
      <c r="Z31" s="39">
        <f t="shared" si="6"/>
        <v>46097</v>
      </c>
      <c r="AA31" s="39">
        <f t="shared" si="6"/>
        <v>46098</v>
      </c>
      <c r="AB31" s="39">
        <f t="shared" si="6"/>
        <v>46099</v>
      </c>
      <c r="AC31" s="39">
        <f t="shared" si="6"/>
        <v>46100</v>
      </c>
      <c r="AD31" s="39">
        <f t="shared" si="6"/>
        <v>46101</v>
      </c>
      <c r="AE31" s="39" t="str">
        <f t="shared" si="6"/>
        <v/>
      </c>
      <c r="AF31" s="39" t="str">
        <f t="shared" si="6"/>
        <v/>
      </c>
      <c r="AG31" s="40" t="str">
        <f t="shared" si="6"/>
        <v/>
      </c>
      <c r="AH31" s="19"/>
      <c r="AI31" s="20"/>
      <c r="AJ31" s="20"/>
      <c r="AK31" s="20"/>
      <c r="AL31" s="20"/>
      <c r="AM31" s="20"/>
      <c r="AN31" s="20"/>
      <c r="AO31" s="20"/>
      <c r="AP31" s="20"/>
      <c r="AQ31" s="20"/>
      <c r="AR31" s="20"/>
      <c r="AS31" s="20"/>
      <c r="AT31" s="20"/>
      <c r="AU31" s="20"/>
      <c r="AV31" s="20"/>
    </row>
    <row r="32" spans="1:48" ht="18" customHeight="1">
      <c r="A32" s="411" t="s">
        <v>247</v>
      </c>
      <c r="B32" s="41"/>
      <c r="C32" s="412" t="str">
        <f t="shared" ref="C32:AG32" si="7">IF(C$31="","",IF(C$31=$K$150,"ハローワーク来所日①",""))</f>
        <v/>
      </c>
      <c r="D32" s="399" t="str">
        <f t="shared" si="7"/>
        <v/>
      </c>
      <c r="E32" s="399" t="str">
        <f t="shared" si="7"/>
        <v/>
      </c>
      <c r="F32" s="399" t="s">
        <v>348</v>
      </c>
      <c r="G32" s="399" t="str">
        <f t="shared" si="7"/>
        <v>ハローワーク来所日①</v>
      </c>
      <c r="H32" s="399" t="s">
        <v>348</v>
      </c>
      <c r="I32" s="399" t="s">
        <v>348</v>
      </c>
      <c r="J32" s="399"/>
      <c r="K32" s="399"/>
      <c r="L32" s="399" t="s">
        <v>348</v>
      </c>
      <c r="M32" s="399"/>
      <c r="N32" s="399" t="s">
        <v>348</v>
      </c>
      <c r="O32" s="399" t="s">
        <v>348</v>
      </c>
      <c r="P32" s="399" t="s">
        <v>348</v>
      </c>
      <c r="Q32" s="399"/>
      <c r="R32" s="399"/>
      <c r="S32" s="399" t="s">
        <v>348</v>
      </c>
      <c r="T32" s="433" t="s">
        <v>349</v>
      </c>
      <c r="U32" s="399"/>
      <c r="V32" s="433" t="s">
        <v>349</v>
      </c>
      <c r="W32" s="399" t="s">
        <v>350</v>
      </c>
      <c r="X32" s="399"/>
      <c r="Y32" s="399"/>
      <c r="Z32" s="399" t="s">
        <v>350</v>
      </c>
      <c r="AA32" s="399"/>
      <c r="AB32" s="399" t="s">
        <v>351</v>
      </c>
      <c r="AC32" s="399" t="s">
        <v>351</v>
      </c>
      <c r="AD32" s="399"/>
      <c r="AE32" s="399" t="str">
        <f t="shared" si="7"/>
        <v/>
      </c>
      <c r="AF32" s="399" t="str">
        <f t="shared" si="7"/>
        <v/>
      </c>
      <c r="AG32" s="402" t="str">
        <f t="shared" si="7"/>
        <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34"/>
      <c r="U33" s="400"/>
      <c r="V33" s="434"/>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34"/>
      <c r="U34" s="400"/>
      <c r="V34" s="434"/>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34"/>
      <c r="U35" s="400"/>
      <c r="V35" s="434"/>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34"/>
      <c r="U36" s="400"/>
      <c r="V36" s="434"/>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34"/>
      <c r="U37" s="400"/>
      <c r="V37" s="434"/>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34"/>
      <c r="U38" s="400"/>
      <c r="V38" s="434"/>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34"/>
      <c r="U39" s="400"/>
      <c r="V39" s="434"/>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34"/>
      <c r="U40" s="400"/>
      <c r="V40" s="434"/>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34"/>
      <c r="U41" s="400"/>
      <c r="V41" s="434"/>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34"/>
      <c r="U42" s="400"/>
      <c r="V42" s="434"/>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35"/>
      <c r="U43" s="401"/>
      <c r="V43" s="435"/>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c r="I45" s="49"/>
      <c r="J45" s="44"/>
      <c r="K45" s="44"/>
      <c r="L45" s="44"/>
      <c r="M45" s="44"/>
      <c r="N45" s="44"/>
      <c r="O45" s="49"/>
      <c r="P45" s="49"/>
      <c r="Q45" s="44"/>
      <c r="R45" s="44"/>
      <c r="S45" s="44" t="s">
        <v>64</v>
      </c>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[3]機構処理!BI77</f>
        <v/>
      </c>
      <c r="AJ46" s="418"/>
      <c r="AK46" s="70"/>
      <c r="AL46" s="70"/>
      <c r="AM46" s="70"/>
      <c r="AN46" s="70"/>
      <c r="AO46" s="70"/>
      <c r="AP46" s="20"/>
      <c r="AQ46" s="20"/>
      <c r="AR46" s="20"/>
      <c r="AS46" s="20"/>
      <c r="AT46" s="20"/>
      <c r="AU46" s="20"/>
      <c r="AV46" s="20"/>
    </row>
    <row r="47" spans="1:48" ht="18" customHeight="1">
      <c r="A47" s="35"/>
      <c r="B47" s="407" t="s">
        <v>66</v>
      </c>
      <c r="C47" s="56"/>
      <c r="D47" s="57"/>
      <c r="E47" s="57"/>
      <c r="F47" s="57">
        <v>6</v>
      </c>
      <c r="G47" s="57"/>
      <c r="H47" s="57">
        <v>6</v>
      </c>
      <c r="I47" s="57">
        <v>6</v>
      </c>
      <c r="J47" s="57"/>
      <c r="K47" s="57"/>
      <c r="L47" s="57">
        <v>6</v>
      </c>
      <c r="M47" s="57"/>
      <c r="N47" s="57">
        <v>6</v>
      </c>
      <c r="O47" s="57">
        <v>6</v>
      </c>
      <c r="P47" s="57">
        <v>6</v>
      </c>
      <c r="Q47" s="57"/>
      <c r="R47" s="57"/>
      <c r="S47" s="57">
        <v>6</v>
      </c>
      <c r="T47" s="57">
        <v>6</v>
      </c>
      <c r="U47" s="57"/>
      <c r="V47" s="57">
        <v>6</v>
      </c>
      <c r="W47" s="57">
        <v>6</v>
      </c>
      <c r="X47" s="57"/>
      <c r="Y47" s="57"/>
      <c r="Z47" s="57">
        <v>6</v>
      </c>
      <c r="AA47" s="57"/>
      <c r="AB47" s="57">
        <v>6</v>
      </c>
      <c r="AC47" s="57">
        <v>6</v>
      </c>
      <c r="AD47" s="57"/>
      <c r="AE47" s="57"/>
      <c r="AF47" s="57"/>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IF(C29="","",[3]機構処理!BF35)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46102</v>
      </c>
      <c r="D51" s="33">
        <f t="shared" ref="D51:AD51" si="9">IF(OR(C51="",C50="修了日"),"",C51+1)</f>
        <v>46103</v>
      </c>
      <c r="E51" s="33">
        <f t="shared" si="9"/>
        <v>46104</v>
      </c>
      <c r="F51" s="33">
        <f t="shared" si="9"/>
        <v>46105</v>
      </c>
      <c r="G51" s="33">
        <f t="shared" si="9"/>
        <v>46106</v>
      </c>
      <c r="H51" s="33">
        <f t="shared" si="9"/>
        <v>46107</v>
      </c>
      <c r="I51" s="33">
        <f t="shared" si="9"/>
        <v>46108</v>
      </c>
      <c r="J51" s="33">
        <f t="shared" si="9"/>
        <v>46109</v>
      </c>
      <c r="K51" s="33">
        <f t="shared" si="9"/>
        <v>46110</v>
      </c>
      <c r="L51" s="33">
        <f t="shared" si="9"/>
        <v>46111</v>
      </c>
      <c r="M51" s="33">
        <f t="shared" si="9"/>
        <v>46112</v>
      </c>
      <c r="N51" s="33">
        <f t="shared" si="9"/>
        <v>46113</v>
      </c>
      <c r="O51" s="33">
        <f t="shared" si="9"/>
        <v>46114</v>
      </c>
      <c r="P51" s="33">
        <f t="shared" si="9"/>
        <v>46115</v>
      </c>
      <c r="Q51" s="33">
        <f t="shared" si="9"/>
        <v>46116</v>
      </c>
      <c r="R51" s="33">
        <f t="shared" si="9"/>
        <v>46117</v>
      </c>
      <c r="S51" s="33">
        <f t="shared" si="9"/>
        <v>46118</v>
      </c>
      <c r="T51" s="33">
        <f t="shared" si="9"/>
        <v>46119</v>
      </c>
      <c r="U51" s="33">
        <f t="shared" si="9"/>
        <v>46120</v>
      </c>
      <c r="V51" s="33">
        <f t="shared" si="9"/>
        <v>46121</v>
      </c>
      <c r="W51" s="33">
        <f t="shared" si="9"/>
        <v>46122</v>
      </c>
      <c r="X51" s="33">
        <f t="shared" si="9"/>
        <v>46123</v>
      </c>
      <c r="Y51" s="33">
        <f t="shared" si="9"/>
        <v>46124</v>
      </c>
      <c r="Z51" s="33">
        <f t="shared" si="9"/>
        <v>46125</v>
      </c>
      <c r="AA51" s="33">
        <f t="shared" si="9"/>
        <v>46126</v>
      </c>
      <c r="AB51" s="33">
        <f t="shared" si="9"/>
        <v>46127</v>
      </c>
      <c r="AC51" s="33">
        <f t="shared" si="9"/>
        <v>46128</v>
      </c>
      <c r="AD51" s="33">
        <f t="shared" si="9"/>
        <v>46129</v>
      </c>
      <c r="AE51" s="33">
        <f>IF(OR(AD51="",AD50="修了日"),"",IF(AND(DAY(DATE(YEAR(C51),2,29))=29,MONTH(C51)=2),AD51+1,IF(MONTH(C51)=2,"",AD51+1)))</f>
        <v>46130</v>
      </c>
      <c r="AF51" s="33">
        <f>IF(OR(AE51="",AE50="修了日"),"",IF(MONTH(C51)=2,"",AE51+1))</f>
        <v>46131</v>
      </c>
      <c r="AG51" s="65">
        <f>IF(OR(AF51="",AF50="修了日"),"",IF(OR(MONTH(C51)=2,MONTH(C51)=4,MONTH(C51)=6,MONTH(C51)=9,MONTH(C51)=11),"",AF51+1))</f>
        <v>46132</v>
      </c>
      <c r="AH51" s="19"/>
      <c r="AI51" s="20"/>
      <c r="AJ51" s="20"/>
      <c r="AK51" s="20"/>
      <c r="AL51" s="20"/>
      <c r="AM51" s="20"/>
      <c r="AN51" s="20"/>
      <c r="AO51" s="20"/>
      <c r="AP51" s="20"/>
      <c r="AQ51" s="20"/>
      <c r="AR51" s="20"/>
      <c r="AS51" s="20"/>
      <c r="AT51" s="20"/>
      <c r="AU51" s="20"/>
      <c r="AV51" s="20"/>
    </row>
    <row r="52" spans="1:48" ht="18" customHeight="1">
      <c r="A52" s="35"/>
      <c r="B52" s="31" t="s">
        <v>52</v>
      </c>
      <c r="C52" s="67">
        <f>+C51</f>
        <v>46102</v>
      </c>
      <c r="D52" s="67">
        <f t="shared" ref="D52:AG53" si="10">IF(D51="","",+D51)</f>
        <v>46103</v>
      </c>
      <c r="E52" s="67">
        <f t="shared" si="10"/>
        <v>46104</v>
      </c>
      <c r="F52" s="67">
        <f t="shared" si="10"/>
        <v>46105</v>
      </c>
      <c r="G52" s="67">
        <f t="shared" si="10"/>
        <v>46106</v>
      </c>
      <c r="H52" s="67">
        <f t="shared" si="10"/>
        <v>46107</v>
      </c>
      <c r="I52" s="67">
        <f t="shared" si="10"/>
        <v>46108</v>
      </c>
      <c r="J52" s="67">
        <f t="shared" si="10"/>
        <v>46109</v>
      </c>
      <c r="K52" s="67">
        <f t="shared" si="10"/>
        <v>46110</v>
      </c>
      <c r="L52" s="67">
        <f t="shared" si="10"/>
        <v>46111</v>
      </c>
      <c r="M52" s="67">
        <f t="shared" si="10"/>
        <v>46112</v>
      </c>
      <c r="N52" s="67">
        <f t="shared" si="10"/>
        <v>46113</v>
      </c>
      <c r="O52" s="67">
        <f t="shared" si="10"/>
        <v>46114</v>
      </c>
      <c r="P52" s="67">
        <f t="shared" si="10"/>
        <v>46115</v>
      </c>
      <c r="Q52" s="67">
        <f t="shared" si="10"/>
        <v>46116</v>
      </c>
      <c r="R52" s="67">
        <f t="shared" si="10"/>
        <v>46117</v>
      </c>
      <c r="S52" s="67">
        <f t="shared" si="10"/>
        <v>46118</v>
      </c>
      <c r="T52" s="67">
        <f t="shared" si="10"/>
        <v>46119</v>
      </c>
      <c r="U52" s="67">
        <f t="shared" si="10"/>
        <v>46120</v>
      </c>
      <c r="V52" s="67">
        <f t="shared" si="10"/>
        <v>46121</v>
      </c>
      <c r="W52" s="67">
        <f t="shared" si="10"/>
        <v>46122</v>
      </c>
      <c r="X52" s="67">
        <f t="shared" si="10"/>
        <v>46123</v>
      </c>
      <c r="Y52" s="67">
        <f t="shared" si="10"/>
        <v>46124</v>
      </c>
      <c r="Z52" s="67">
        <f t="shared" si="10"/>
        <v>46125</v>
      </c>
      <c r="AA52" s="67">
        <f t="shared" si="10"/>
        <v>46126</v>
      </c>
      <c r="AB52" s="67">
        <f t="shared" si="10"/>
        <v>46127</v>
      </c>
      <c r="AC52" s="67">
        <f t="shared" si="10"/>
        <v>46128</v>
      </c>
      <c r="AD52" s="67">
        <f t="shared" si="10"/>
        <v>46129</v>
      </c>
      <c r="AE52" s="67">
        <f t="shared" si="10"/>
        <v>46130</v>
      </c>
      <c r="AF52" s="67">
        <f t="shared" si="10"/>
        <v>46131</v>
      </c>
      <c r="AG52" s="38">
        <f t="shared" si="10"/>
        <v>46132</v>
      </c>
      <c r="AH52" s="19"/>
      <c r="AI52" s="20"/>
      <c r="AJ52" s="20"/>
      <c r="AK52" s="20"/>
      <c r="AL52" s="20"/>
      <c r="AM52" s="20"/>
      <c r="AN52" s="20"/>
      <c r="AO52" s="20"/>
      <c r="AP52" s="20"/>
      <c r="AQ52" s="20"/>
      <c r="AR52" s="20"/>
      <c r="AS52" s="20"/>
      <c r="AT52" s="20"/>
      <c r="AU52" s="20"/>
      <c r="AV52" s="20"/>
    </row>
    <row r="53" spans="1:48" ht="18" customHeight="1">
      <c r="A53" s="35"/>
      <c r="B53" s="31" t="s">
        <v>53</v>
      </c>
      <c r="C53" s="39">
        <f>+C52</f>
        <v>46102</v>
      </c>
      <c r="D53" s="39">
        <f t="shared" si="10"/>
        <v>46103</v>
      </c>
      <c r="E53" s="39">
        <f t="shared" si="10"/>
        <v>46104</v>
      </c>
      <c r="F53" s="39">
        <f t="shared" si="10"/>
        <v>46105</v>
      </c>
      <c r="G53" s="39">
        <f t="shared" si="10"/>
        <v>46106</v>
      </c>
      <c r="H53" s="39">
        <f t="shared" si="10"/>
        <v>46107</v>
      </c>
      <c r="I53" s="39">
        <f t="shared" si="10"/>
        <v>46108</v>
      </c>
      <c r="J53" s="39">
        <f t="shared" si="10"/>
        <v>46109</v>
      </c>
      <c r="K53" s="39">
        <f t="shared" si="10"/>
        <v>46110</v>
      </c>
      <c r="L53" s="39">
        <f t="shared" si="10"/>
        <v>46111</v>
      </c>
      <c r="M53" s="39">
        <f t="shared" si="10"/>
        <v>46112</v>
      </c>
      <c r="N53" s="39">
        <f t="shared" si="10"/>
        <v>46113</v>
      </c>
      <c r="O53" s="39">
        <f t="shared" si="10"/>
        <v>46114</v>
      </c>
      <c r="P53" s="39">
        <f t="shared" si="10"/>
        <v>46115</v>
      </c>
      <c r="Q53" s="39">
        <f t="shared" si="10"/>
        <v>46116</v>
      </c>
      <c r="R53" s="39">
        <f t="shared" si="10"/>
        <v>46117</v>
      </c>
      <c r="S53" s="39">
        <f t="shared" si="10"/>
        <v>46118</v>
      </c>
      <c r="T53" s="39">
        <f t="shared" si="10"/>
        <v>46119</v>
      </c>
      <c r="U53" s="39">
        <f t="shared" si="10"/>
        <v>46120</v>
      </c>
      <c r="V53" s="39">
        <f t="shared" si="10"/>
        <v>46121</v>
      </c>
      <c r="W53" s="39">
        <f t="shared" si="10"/>
        <v>46122</v>
      </c>
      <c r="X53" s="39">
        <f t="shared" si="10"/>
        <v>46123</v>
      </c>
      <c r="Y53" s="39">
        <f t="shared" si="10"/>
        <v>46124</v>
      </c>
      <c r="Z53" s="39">
        <f t="shared" si="10"/>
        <v>46125</v>
      </c>
      <c r="AA53" s="39">
        <f t="shared" si="10"/>
        <v>46126</v>
      </c>
      <c r="AB53" s="39">
        <f t="shared" si="10"/>
        <v>46127</v>
      </c>
      <c r="AC53" s="39">
        <f t="shared" si="10"/>
        <v>46128</v>
      </c>
      <c r="AD53" s="39">
        <f t="shared" si="10"/>
        <v>46129</v>
      </c>
      <c r="AE53" s="39">
        <f t="shared" si="10"/>
        <v>46130</v>
      </c>
      <c r="AF53" s="39">
        <f t="shared" si="10"/>
        <v>46131</v>
      </c>
      <c r="AG53" s="40">
        <f t="shared" si="10"/>
        <v>46132</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F54" si="11">IF(C$53="","",IF(C$53=$K$151,"ハローワーク来所日②",""))</f>
        <v/>
      </c>
      <c r="D54" s="399" t="str">
        <f t="shared" si="11"/>
        <v/>
      </c>
      <c r="E54" s="399" t="s">
        <v>351</v>
      </c>
      <c r="F54" s="399" t="str">
        <f t="shared" si="11"/>
        <v>ハローワーク来所日②</v>
      </c>
      <c r="G54" s="399" t="s">
        <v>351</v>
      </c>
      <c r="H54" s="399" t="s">
        <v>317</v>
      </c>
      <c r="I54" s="399" t="s">
        <v>351</v>
      </c>
      <c r="J54" s="399" t="str">
        <f t="shared" si="11"/>
        <v/>
      </c>
      <c r="K54" s="399" t="str">
        <f t="shared" si="11"/>
        <v/>
      </c>
      <c r="L54" s="399" t="s">
        <v>351</v>
      </c>
      <c r="M54" s="399"/>
      <c r="N54" s="399" t="s">
        <v>351</v>
      </c>
      <c r="O54" s="399" t="s">
        <v>351</v>
      </c>
      <c r="P54" s="399" t="s">
        <v>351</v>
      </c>
      <c r="Q54" s="399" t="s">
        <v>107</v>
      </c>
      <c r="R54" s="399" t="str">
        <f t="shared" si="11"/>
        <v/>
      </c>
      <c r="S54" s="399" t="str">
        <f t="shared" si="11"/>
        <v/>
      </c>
      <c r="T54" s="399" t="s">
        <v>351</v>
      </c>
      <c r="U54" s="399" t="s">
        <v>351</v>
      </c>
      <c r="V54" s="399" t="s">
        <v>351</v>
      </c>
      <c r="W54" s="399" t="s">
        <v>351</v>
      </c>
      <c r="X54" s="399" t="s">
        <v>107</v>
      </c>
      <c r="Y54" s="399" t="str">
        <f t="shared" si="11"/>
        <v/>
      </c>
      <c r="Z54" s="399" t="s">
        <v>351</v>
      </c>
      <c r="AA54" s="399" t="str">
        <f t="shared" si="11"/>
        <v/>
      </c>
      <c r="AB54" s="399" t="s">
        <v>351</v>
      </c>
      <c r="AC54" s="399" t="s">
        <v>351</v>
      </c>
      <c r="AD54" s="402" t="s">
        <v>352</v>
      </c>
      <c r="AE54" s="399" t="str">
        <f t="shared" si="11"/>
        <v/>
      </c>
      <c r="AF54" s="399" t="str">
        <f t="shared" si="11"/>
        <v/>
      </c>
      <c r="AG54" s="402" t="s">
        <v>352</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3"/>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3"/>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3"/>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3"/>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3"/>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3"/>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3"/>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3"/>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3"/>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3"/>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0"/>
      <c r="I65" s="401"/>
      <c r="J65" s="401"/>
      <c r="K65" s="401"/>
      <c r="L65" s="401"/>
      <c r="M65" s="401"/>
      <c r="N65" s="401"/>
      <c r="O65" s="401"/>
      <c r="P65" s="401"/>
      <c r="Q65" s="401"/>
      <c r="R65" s="401"/>
      <c r="S65" s="401"/>
      <c r="T65" s="401"/>
      <c r="U65" s="401"/>
      <c r="V65" s="401"/>
      <c r="W65" s="401"/>
      <c r="X65" s="401"/>
      <c r="Y65" s="401"/>
      <c r="Z65" s="401"/>
      <c r="AA65" s="401"/>
      <c r="AB65" s="401"/>
      <c r="AC65" s="401"/>
      <c r="AD65" s="404"/>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c r="H67" s="49"/>
      <c r="I67" s="49"/>
      <c r="J67" s="44"/>
      <c r="K67" s="44"/>
      <c r="L67" s="44"/>
      <c r="M67" s="44"/>
      <c r="N67" s="44"/>
      <c r="O67" s="49"/>
      <c r="P67" s="49"/>
      <c r="Q67" s="44"/>
      <c r="R67" s="44"/>
      <c r="S67" s="44"/>
      <c r="T67" s="49"/>
      <c r="U67" s="49"/>
      <c r="V67" s="49"/>
      <c r="W67" s="49"/>
      <c r="X67" s="44"/>
      <c r="Y67" s="44"/>
      <c r="Z67" s="44"/>
      <c r="AA67" s="44"/>
      <c r="AB67" s="49"/>
      <c r="AC67" s="49" t="s">
        <v>64</v>
      </c>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[3]機構処理!BI81</f>
        <v/>
      </c>
      <c r="AJ68" s="416"/>
      <c r="AK68" s="72"/>
      <c r="AL68" s="70"/>
      <c r="AM68" s="72"/>
      <c r="AN68" s="72"/>
      <c r="AO68" s="72"/>
      <c r="AP68" s="20"/>
      <c r="AQ68" s="20"/>
      <c r="AR68" s="20"/>
      <c r="AS68" s="20"/>
      <c r="AT68" s="20"/>
      <c r="AU68" s="20"/>
      <c r="AV68" s="20"/>
    </row>
    <row r="69" spans="1:48" ht="18" customHeight="1">
      <c r="A69" s="35"/>
      <c r="B69" s="407" t="s">
        <v>66</v>
      </c>
      <c r="C69" s="56"/>
      <c r="D69" s="57"/>
      <c r="E69" s="57">
        <v>6</v>
      </c>
      <c r="F69" s="57"/>
      <c r="G69" s="57">
        <v>6</v>
      </c>
      <c r="H69" s="57">
        <v>6</v>
      </c>
      <c r="I69" s="57">
        <v>6</v>
      </c>
      <c r="J69" s="57"/>
      <c r="K69" s="57"/>
      <c r="L69" s="57">
        <v>6</v>
      </c>
      <c r="M69" s="57"/>
      <c r="N69" s="57">
        <v>6</v>
      </c>
      <c r="O69" s="57">
        <v>6</v>
      </c>
      <c r="P69" s="57">
        <v>6</v>
      </c>
      <c r="Q69" s="57">
        <v>0</v>
      </c>
      <c r="R69" s="57"/>
      <c r="S69" s="57"/>
      <c r="T69" s="57">
        <v>6</v>
      </c>
      <c r="U69" s="57">
        <v>6</v>
      </c>
      <c r="V69" s="57">
        <v>6</v>
      </c>
      <c r="W69" s="57">
        <v>6</v>
      </c>
      <c r="X69" s="57">
        <v>0</v>
      </c>
      <c r="Y69" s="57"/>
      <c r="Z69" s="57">
        <v>6</v>
      </c>
      <c r="AA69" s="57"/>
      <c r="AB69" s="57">
        <v>6</v>
      </c>
      <c r="AC69" s="57">
        <v>6</v>
      </c>
      <c r="AD69" s="57">
        <v>6</v>
      </c>
      <c r="AE69" s="57"/>
      <c r="AF69" s="57"/>
      <c r="AG69" s="73">
        <v>6</v>
      </c>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IF(C51="","",[3]機構処理!BF41)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46133</v>
      </c>
      <c r="D73" s="33">
        <f t="shared" ref="D73:AD73" si="13">IF(OR(C73="",C72="修了日"),"",C73+1)</f>
        <v>46134</v>
      </c>
      <c r="E73" s="33">
        <f t="shared" si="13"/>
        <v>46135</v>
      </c>
      <c r="F73" s="33">
        <f t="shared" si="13"/>
        <v>46136</v>
      </c>
      <c r="G73" s="33">
        <f t="shared" si="13"/>
        <v>46137</v>
      </c>
      <c r="H73" s="33">
        <f t="shared" si="13"/>
        <v>46138</v>
      </c>
      <c r="I73" s="33">
        <f t="shared" si="13"/>
        <v>46139</v>
      </c>
      <c r="J73" s="33">
        <f t="shared" si="13"/>
        <v>46140</v>
      </c>
      <c r="K73" s="33">
        <f t="shared" si="13"/>
        <v>46141</v>
      </c>
      <c r="L73" s="33">
        <f t="shared" si="13"/>
        <v>46142</v>
      </c>
      <c r="M73" s="33">
        <f t="shared" si="13"/>
        <v>46143</v>
      </c>
      <c r="N73" s="33">
        <f t="shared" si="13"/>
        <v>46144</v>
      </c>
      <c r="O73" s="33">
        <f t="shared" si="13"/>
        <v>46145</v>
      </c>
      <c r="P73" s="33">
        <f t="shared" si="13"/>
        <v>46146</v>
      </c>
      <c r="Q73" s="33">
        <f t="shared" si="13"/>
        <v>46147</v>
      </c>
      <c r="R73" s="33">
        <f t="shared" si="13"/>
        <v>46148</v>
      </c>
      <c r="S73" s="33">
        <f t="shared" si="13"/>
        <v>46149</v>
      </c>
      <c r="T73" s="33">
        <f t="shared" si="13"/>
        <v>46150</v>
      </c>
      <c r="U73" s="33">
        <f t="shared" si="13"/>
        <v>46151</v>
      </c>
      <c r="V73" s="33">
        <f t="shared" si="13"/>
        <v>46152</v>
      </c>
      <c r="W73" s="33">
        <f t="shared" si="13"/>
        <v>46153</v>
      </c>
      <c r="X73" s="33">
        <f t="shared" si="13"/>
        <v>46154</v>
      </c>
      <c r="Y73" s="33">
        <f t="shared" si="13"/>
        <v>46155</v>
      </c>
      <c r="Z73" s="33">
        <f t="shared" si="13"/>
        <v>46156</v>
      </c>
      <c r="AA73" s="33">
        <f t="shared" si="13"/>
        <v>46157</v>
      </c>
      <c r="AB73" s="33">
        <f t="shared" si="13"/>
        <v>46158</v>
      </c>
      <c r="AC73" s="33">
        <f t="shared" si="13"/>
        <v>46159</v>
      </c>
      <c r="AD73" s="33">
        <f t="shared" si="13"/>
        <v>46160</v>
      </c>
      <c r="AE73" s="33">
        <f>IF(OR(AD73="",AD72="修了日"),"",IF(AND(DAY(DATE(YEAR(C73),2,29))=29,MONTH(C73)=2),AD73+1,IF(MONTH(C73)=2,"",AD73+1)))</f>
        <v>46161</v>
      </c>
      <c r="AF73" s="33">
        <f>IF(OR(AE73="",AE72="修了日"),"",IF(MONTH(C73)=2,"",AE73+1))</f>
        <v>46162</v>
      </c>
      <c r="AG73" s="65" t="str">
        <f>IF(OR(AF73="",AF72="修了日"),"",IF(OR(MONTH(C73)=2,MONTH(C73)=4,MONTH(C73)=6,MONTH(C73)=9,MONTH(C73)=11),"",AF73+1))</f>
        <v/>
      </c>
      <c r="AH73" s="19"/>
      <c r="AI73" s="20"/>
      <c r="AJ73" s="20"/>
      <c r="AK73" s="20"/>
      <c r="AL73" s="20"/>
      <c r="AM73" s="20"/>
      <c r="AN73" s="20"/>
      <c r="AO73" s="20"/>
      <c r="AP73" s="20"/>
      <c r="AQ73" s="20"/>
      <c r="AR73" s="20"/>
      <c r="AS73" s="20"/>
      <c r="AT73" s="20"/>
      <c r="AU73" s="20"/>
      <c r="AV73" s="20"/>
    </row>
    <row r="74" spans="1:48" ht="18.75" customHeight="1">
      <c r="A74" s="35"/>
      <c r="B74" s="31" t="s">
        <v>52</v>
      </c>
      <c r="C74" s="67">
        <f>+C73</f>
        <v>46133</v>
      </c>
      <c r="D74" s="67">
        <f t="shared" ref="D74:AG75" si="14">IF(D73="","",+D73)</f>
        <v>46134</v>
      </c>
      <c r="E74" s="67">
        <f t="shared" si="14"/>
        <v>46135</v>
      </c>
      <c r="F74" s="67">
        <f t="shared" si="14"/>
        <v>46136</v>
      </c>
      <c r="G74" s="67">
        <f t="shared" si="14"/>
        <v>46137</v>
      </c>
      <c r="H74" s="67">
        <f t="shared" si="14"/>
        <v>46138</v>
      </c>
      <c r="I74" s="67">
        <f t="shared" si="14"/>
        <v>46139</v>
      </c>
      <c r="J74" s="67">
        <f t="shared" si="14"/>
        <v>46140</v>
      </c>
      <c r="K74" s="67">
        <f t="shared" si="14"/>
        <v>46141</v>
      </c>
      <c r="L74" s="67">
        <f t="shared" si="14"/>
        <v>46142</v>
      </c>
      <c r="M74" s="67">
        <f t="shared" si="14"/>
        <v>46143</v>
      </c>
      <c r="N74" s="67">
        <f t="shared" si="14"/>
        <v>46144</v>
      </c>
      <c r="O74" s="67">
        <f t="shared" si="14"/>
        <v>46145</v>
      </c>
      <c r="P74" s="67">
        <f t="shared" si="14"/>
        <v>46146</v>
      </c>
      <c r="Q74" s="67">
        <f t="shared" si="14"/>
        <v>46147</v>
      </c>
      <c r="R74" s="67">
        <f t="shared" si="14"/>
        <v>46148</v>
      </c>
      <c r="S74" s="67">
        <f t="shared" si="14"/>
        <v>46149</v>
      </c>
      <c r="T74" s="67">
        <f t="shared" si="14"/>
        <v>46150</v>
      </c>
      <c r="U74" s="67">
        <f t="shared" si="14"/>
        <v>46151</v>
      </c>
      <c r="V74" s="67">
        <f t="shared" si="14"/>
        <v>46152</v>
      </c>
      <c r="W74" s="67">
        <f t="shared" si="14"/>
        <v>46153</v>
      </c>
      <c r="X74" s="67">
        <f t="shared" si="14"/>
        <v>46154</v>
      </c>
      <c r="Y74" s="67">
        <f t="shared" si="14"/>
        <v>46155</v>
      </c>
      <c r="Z74" s="67">
        <f t="shared" si="14"/>
        <v>46156</v>
      </c>
      <c r="AA74" s="67">
        <f t="shared" si="14"/>
        <v>46157</v>
      </c>
      <c r="AB74" s="67">
        <f t="shared" si="14"/>
        <v>46158</v>
      </c>
      <c r="AC74" s="67">
        <f t="shared" si="14"/>
        <v>46159</v>
      </c>
      <c r="AD74" s="67">
        <f t="shared" si="14"/>
        <v>46160</v>
      </c>
      <c r="AE74" s="67">
        <f t="shared" si="14"/>
        <v>46161</v>
      </c>
      <c r="AF74" s="67">
        <f t="shared" si="14"/>
        <v>46162</v>
      </c>
      <c r="AG74" s="38" t="str">
        <f t="shared" si="14"/>
        <v/>
      </c>
      <c r="AH74" s="19"/>
      <c r="AI74" s="20"/>
      <c r="AJ74" s="20"/>
      <c r="AK74" s="20"/>
      <c r="AL74" s="20"/>
      <c r="AM74" s="20"/>
      <c r="AN74" s="20"/>
      <c r="AO74" s="20"/>
      <c r="AP74" s="20"/>
      <c r="AQ74" s="20"/>
      <c r="AR74" s="20"/>
      <c r="AS74" s="20"/>
      <c r="AT74" s="20"/>
      <c r="AU74" s="20"/>
      <c r="AV74" s="20"/>
    </row>
    <row r="75" spans="1:48" ht="18.75" customHeight="1">
      <c r="A75" s="35"/>
      <c r="B75" s="31" t="s">
        <v>53</v>
      </c>
      <c r="C75" s="39">
        <f>+C74</f>
        <v>46133</v>
      </c>
      <c r="D75" s="39">
        <f t="shared" si="14"/>
        <v>46134</v>
      </c>
      <c r="E75" s="39">
        <f t="shared" si="14"/>
        <v>46135</v>
      </c>
      <c r="F75" s="39">
        <f t="shared" si="14"/>
        <v>46136</v>
      </c>
      <c r="G75" s="39">
        <f t="shared" si="14"/>
        <v>46137</v>
      </c>
      <c r="H75" s="39">
        <f t="shared" si="14"/>
        <v>46138</v>
      </c>
      <c r="I75" s="39">
        <f t="shared" si="14"/>
        <v>46139</v>
      </c>
      <c r="J75" s="39">
        <f t="shared" si="14"/>
        <v>46140</v>
      </c>
      <c r="K75" s="39">
        <f t="shared" si="14"/>
        <v>46141</v>
      </c>
      <c r="L75" s="39">
        <f t="shared" si="14"/>
        <v>46142</v>
      </c>
      <c r="M75" s="39">
        <f t="shared" si="14"/>
        <v>46143</v>
      </c>
      <c r="N75" s="39">
        <f t="shared" si="14"/>
        <v>46144</v>
      </c>
      <c r="O75" s="39">
        <f t="shared" si="14"/>
        <v>46145</v>
      </c>
      <c r="P75" s="39">
        <f t="shared" si="14"/>
        <v>46146</v>
      </c>
      <c r="Q75" s="39">
        <f t="shared" si="14"/>
        <v>46147</v>
      </c>
      <c r="R75" s="39">
        <f t="shared" si="14"/>
        <v>46148</v>
      </c>
      <c r="S75" s="39">
        <f t="shared" si="14"/>
        <v>46149</v>
      </c>
      <c r="T75" s="39">
        <f t="shared" si="14"/>
        <v>46150</v>
      </c>
      <c r="U75" s="39">
        <f t="shared" si="14"/>
        <v>46151</v>
      </c>
      <c r="V75" s="39">
        <f t="shared" si="14"/>
        <v>46152</v>
      </c>
      <c r="W75" s="39">
        <f t="shared" si="14"/>
        <v>46153</v>
      </c>
      <c r="X75" s="39">
        <f t="shared" si="14"/>
        <v>46154</v>
      </c>
      <c r="Y75" s="39">
        <f t="shared" si="14"/>
        <v>46155</v>
      </c>
      <c r="Z75" s="39">
        <f t="shared" si="14"/>
        <v>46156</v>
      </c>
      <c r="AA75" s="39">
        <f t="shared" si="14"/>
        <v>46157</v>
      </c>
      <c r="AB75" s="39">
        <f t="shared" si="14"/>
        <v>46158</v>
      </c>
      <c r="AC75" s="39">
        <f t="shared" si="14"/>
        <v>46159</v>
      </c>
      <c r="AD75" s="39">
        <f t="shared" si="14"/>
        <v>46160</v>
      </c>
      <c r="AE75" s="39">
        <f t="shared" si="14"/>
        <v>46161</v>
      </c>
      <c r="AF75" s="39">
        <f t="shared" si="14"/>
        <v>46162</v>
      </c>
      <c r="AG75" s="40" t="str">
        <f t="shared" si="14"/>
        <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
        <v>352</v>
      </c>
      <c r="D76" s="399" t="s">
        <v>352</v>
      </c>
      <c r="E76" s="399" t="str">
        <f t="shared" ref="E76:AG76" si="15">IF(E$75="","",IF(E$75=$K$152,"ハローワーク来所日③",""))</f>
        <v>ハローワーク来所日③</v>
      </c>
      <c r="F76" s="399" t="s">
        <v>352</v>
      </c>
      <c r="G76" s="399" t="str">
        <f t="shared" si="15"/>
        <v/>
      </c>
      <c r="H76" s="399" t="str">
        <f t="shared" si="15"/>
        <v/>
      </c>
      <c r="I76" s="399" t="s">
        <v>352</v>
      </c>
      <c r="J76" s="399"/>
      <c r="K76" s="399" t="str">
        <f t="shared" si="15"/>
        <v/>
      </c>
      <c r="L76" s="399" t="s">
        <v>352</v>
      </c>
      <c r="M76" s="399" t="s">
        <v>352</v>
      </c>
      <c r="N76" s="399"/>
      <c r="O76" s="399"/>
      <c r="P76" s="399"/>
      <c r="Q76" s="399"/>
      <c r="R76" s="399"/>
      <c r="S76" s="399" t="s">
        <v>352</v>
      </c>
      <c r="T76" s="399" t="s">
        <v>352</v>
      </c>
      <c r="U76" s="399"/>
      <c r="V76" s="399"/>
      <c r="W76" s="399"/>
      <c r="X76" s="399" t="s">
        <v>352</v>
      </c>
      <c r="Y76" s="399" t="s">
        <v>352</v>
      </c>
      <c r="Z76" s="399" t="s">
        <v>352</v>
      </c>
      <c r="AA76" s="399" t="s">
        <v>352</v>
      </c>
      <c r="AB76" s="399"/>
      <c r="AC76" s="399"/>
      <c r="AD76" s="399" t="s">
        <v>352</v>
      </c>
      <c r="AE76" s="399"/>
      <c r="AF76" s="430" t="s">
        <v>352</v>
      </c>
      <c r="AG76" s="402" t="str">
        <f t="shared" si="15"/>
        <v/>
      </c>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31"/>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31"/>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31"/>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31"/>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31"/>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31"/>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31"/>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31"/>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31"/>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31"/>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32"/>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4"/>
      <c r="T89" s="49"/>
      <c r="U89" s="49"/>
      <c r="V89" s="49"/>
      <c r="W89" s="49"/>
      <c r="X89" s="44"/>
      <c r="Y89" s="44"/>
      <c r="Z89" s="44"/>
      <c r="AA89" s="44"/>
      <c r="AB89" s="49"/>
      <c r="AC89" s="49"/>
      <c r="AD89" s="44"/>
      <c r="AE89" s="44"/>
      <c r="AF89" s="44" t="s">
        <v>64</v>
      </c>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3"/>
      <c r="AA90" s="53"/>
      <c r="AB90" s="54"/>
      <c r="AC90" s="54"/>
      <c r="AD90" s="53"/>
      <c r="AE90" s="53"/>
      <c r="AF90" s="53"/>
      <c r="AG90" s="71"/>
      <c r="AH90" s="132" t="str">
        <f>IF(AI90="","","←")</f>
        <v/>
      </c>
      <c r="AI90" s="417" t="str">
        <f>[3]機構処理!BI85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v>6</v>
      </c>
      <c r="E91" s="57"/>
      <c r="F91" s="57">
        <v>6</v>
      </c>
      <c r="G91" s="57"/>
      <c r="H91" s="57"/>
      <c r="I91" s="57">
        <v>6</v>
      </c>
      <c r="J91" s="57"/>
      <c r="K91" s="57"/>
      <c r="L91" s="57">
        <v>6</v>
      </c>
      <c r="M91" s="57">
        <v>6</v>
      </c>
      <c r="N91" s="57"/>
      <c r="O91" s="57"/>
      <c r="P91" s="57"/>
      <c r="Q91" s="57"/>
      <c r="R91" s="57"/>
      <c r="S91" s="57">
        <v>6</v>
      </c>
      <c r="T91" s="57">
        <v>6</v>
      </c>
      <c r="U91" s="57"/>
      <c r="V91" s="57"/>
      <c r="W91" s="57"/>
      <c r="X91" s="57">
        <v>6</v>
      </c>
      <c r="Y91" s="57">
        <v>6</v>
      </c>
      <c r="Z91" s="57">
        <v>6</v>
      </c>
      <c r="AA91" s="57">
        <v>6</v>
      </c>
      <c r="AB91" s="57"/>
      <c r="AC91" s="57"/>
      <c r="AD91" s="57">
        <v>6</v>
      </c>
      <c r="AE91" s="57"/>
      <c r="AF91" s="57">
        <v>6</v>
      </c>
      <c r="AG91" s="73"/>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IF(C73="","",[3]機構処理!BF47)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46163</v>
      </c>
      <c r="D95" s="33">
        <f t="shared" ref="D95:AD95" si="17">IF(OR(C95="",C94="修了日"),"",C95+1)</f>
        <v>46164</v>
      </c>
      <c r="E95" s="33">
        <f t="shared" si="17"/>
        <v>46165</v>
      </c>
      <c r="F95" s="33">
        <f t="shared" si="17"/>
        <v>46166</v>
      </c>
      <c r="G95" s="33">
        <f t="shared" si="17"/>
        <v>46167</v>
      </c>
      <c r="H95" s="33">
        <f t="shared" si="17"/>
        <v>46168</v>
      </c>
      <c r="I95" s="33">
        <f t="shared" si="17"/>
        <v>46169</v>
      </c>
      <c r="J95" s="33">
        <f t="shared" si="17"/>
        <v>46170</v>
      </c>
      <c r="K95" s="33">
        <f t="shared" si="17"/>
        <v>46171</v>
      </c>
      <c r="L95" s="33">
        <f t="shared" si="17"/>
        <v>46172</v>
      </c>
      <c r="M95" s="33">
        <f t="shared" si="17"/>
        <v>46173</v>
      </c>
      <c r="N95" s="33">
        <f t="shared" si="17"/>
        <v>46174</v>
      </c>
      <c r="O95" s="33">
        <f t="shared" si="17"/>
        <v>46175</v>
      </c>
      <c r="P95" s="33">
        <f t="shared" si="17"/>
        <v>46176</v>
      </c>
      <c r="Q95" s="33">
        <f t="shared" si="17"/>
        <v>46177</v>
      </c>
      <c r="R95" s="33">
        <f t="shared" si="17"/>
        <v>46178</v>
      </c>
      <c r="S95" s="33">
        <f t="shared" si="17"/>
        <v>46179</v>
      </c>
      <c r="T95" s="33">
        <f t="shared" si="17"/>
        <v>46180</v>
      </c>
      <c r="U95" s="33">
        <f t="shared" si="17"/>
        <v>46181</v>
      </c>
      <c r="V95" s="33">
        <f t="shared" si="17"/>
        <v>46182</v>
      </c>
      <c r="W95" s="33">
        <f t="shared" si="17"/>
        <v>46183</v>
      </c>
      <c r="X95" s="33">
        <f t="shared" si="17"/>
        <v>46184</v>
      </c>
      <c r="Y95" s="33">
        <f t="shared" si="17"/>
        <v>46185</v>
      </c>
      <c r="Z95" s="33">
        <f t="shared" si="17"/>
        <v>46186</v>
      </c>
      <c r="AA95" s="33">
        <f t="shared" si="17"/>
        <v>46187</v>
      </c>
      <c r="AB95" s="33">
        <f t="shared" si="17"/>
        <v>46188</v>
      </c>
      <c r="AC95" s="33">
        <f t="shared" si="17"/>
        <v>46189</v>
      </c>
      <c r="AD95" s="33">
        <f t="shared" si="17"/>
        <v>46190</v>
      </c>
      <c r="AE95" s="33">
        <f>IF(OR(AD95="",AD94="修了日"),"",IF(AND(DAY(DATE(YEAR(C95),2,29))=29,MONTH(C95)=2),AD95+1,IF(MONTH(C95)=2,"",AD95+1)))</f>
        <v>46191</v>
      </c>
      <c r="AF95" s="33">
        <f>IF(OR(AE95="",AE94="修了日"),"",IF(MONTH(C95)=2,"",AE95+1))</f>
        <v>46192</v>
      </c>
      <c r="AG95" s="65">
        <f>IF(OR(AF95="",AF94="修了日"),"",IF(OR(MONTH(C95)=2,MONTH(C95)=4,MONTH(C95)=6,MONTH(C95)=9,MONTH(C95)=11),"",AF95+1))</f>
        <v>46193</v>
      </c>
      <c r="AH95" s="19"/>
      <c r="AI95" s="20"/>
      <c r="AJ95" s="20"/>
      <c r="AK95" s="20"/>
      <c r="AL95" s="20"/>
      <c r="AM95" s="20"/>
      <c r="AN95" s="20"/>
      <c r="AO95" s="20"/>
      <c r="AP95" s="20"/>
      <c r="AQ95" s="20"/>
      <c r="AR95" s="20"/>
      <c r="AS95" s="20"/>
      <c r="AT95" s="20"/>
      <c r="AU95" s="20"/>
      <c r="AV95" s="20"/>
    </row>
    <row r="96" spans="1:48" ht="18" customHeight="1">
      <c r="A96" s="35"/>
      <c r="B96" s="79" t="s">
        <v>52</v>
      </c>
      <c r="C96" s="36">
        <f>+C95</f>
        <v>46163</v>
      </c>
      <c r="D96" s="67">
        <f t="shared" ref="D96:AG97" si="18">IF(D95="","",+D95)</f>
        <v>46164</v>
      </c>
      <c r="E96" s="67">
        <f t="shared" si="18"/>
        <v>46165</v>
      </c>
      <c r="F96" s="67">
        <f t="shared" si="18"/>
        <v>46166</v>
      </c>
      <c r="G96" s="67">
        <f t="shared" si="18"/>
        <v>46167</v>
      </c>
      <c r="H96" s="67">
        <f t="shared" si="18"/>
        <v>46168</v>
      </c>
      <c r="I96" s="67">
        <f t="shared" si="18"/>
        <v>46169</v>
      </c>
      <c r="J96" s="67">
        <f t="shared" si="18"/>
        <v>46170</v>
      </c>
      <c r="K96" s="67">
        <f t="shared" si="18"/>
        <v>46171</v>
      </c>
      <c r="L96" s="67">
        <f t="shared" si="18"/>
        <v>46172</v>
      </c>
      <c r="M96" s="67">
        <f t="shared" si="18"/>
        <v>46173</v>
      </c>
      <c r="N96" s="67">
        <f t="shared" si="18"/>
        <v>46174</v>
      </c>
      <c r="O96" s="67">
        <f t="shared" si="18"/>
        <v>46175</v>
      </c>
      <c r="P96" s="67">
        <f t="shared" si="18"/>
        <v>46176</v>
      </c>
      <c r="Q96" s="67">
        <f t="shared" si="18"/>
        <v>46177</v>
      </c>
      <c r="R96" s="67">
        <f t="shared" si="18"/>
        <v>46178</v>
      </c>
      <c r="S96" s="67">
        <f t="shared" si="18"/>
        <v>46179</v>
      </c>
      <c r="T96" s="67">
        <f t="shared" si="18"/>
        <v>46180</v>
      </c>
      <c r="U96" s="67">
        <f t="shared" si="18"/>
        <v>46181</v>
      </c>
      <c r="V96" s="67">
        <f t="shared" si="18"/>
        <v>46182</v>
      </c>
      <c r="W96" s="67">
        <f t="shared" si="18"/>
        <v>46183</v>
      </c>
      <c r="X96" s="67">
        <f t="shared" si="18"/>
        <v>46184</v>
      </c>
      <c r="Y96" s="67">
        <f t="shared" si="18"/>
        <v>46185</v>
      </c>
      <c r="Z96" s="67">
        <f t="shared" si="18"/>
        <v>46186</v>
      </c>
      <c r="AA96" s="67">
        <f t="shared" si="18"/>
        <v>46187</v>
      </c>
      <c r="AB96" s="67">
        <f t="shared" si="18"/>
        <v>46188</v>
      </c>
      <c r="AC96" s="67">
        <f t="shared" si="18"/>
        <v>46189</v>
      </c>
      <c r="AD96" s="67">
        <f t="shared" si="18"/>
        <v>46190</v>
      </c>
      <c r="AE96" s="67">
        <f t="shared" si="18"/>
        <v>46191</v>
      </c>
      <c r="AF96" s="67">
        <f t="shared" si="18"/>
        <v>46192</v>
      </c>
      <c r="AG96" s="38">
        <f t="shared" si="18"/>
        <v>46193</v>
      </c>
      <c r="AH96" s="19"/>
      <c r="AI96" s="20"/>
      <c r="AJ96" s="20"/>
      <c r="AK96" s="20"/>
      <c r="AL96" s="20"/>
      <c r="AM96" s="20"/>
      <c r="AN96" s="20"/>
      <c r="AO96" s="20"/>
      <c r="AP96" s="20"/>
      <c r="AQ96" s="20"/>
      <c r="AR96" s="20"/>
      <c r="AS96" s="20"/>
      <c r="AT96" s="20"/>
      <c r="AU96" s="20"/>
      <c r="AV96" s="20"/>
    </row>
    <row r="97" spans="1:48" ht="18" customHeight="1">
      <c r="A97" s="35"/>
      <c r="B97" s="80" t="s">
        <v>53</v>
      </c>
      <c r="C97" s="81">
        <f>+C96</f>
        <v>46163</v>
      </c>
      <c r="D97" s="39">
        <f t="shared" si="18"/>
        <v>46164</v>
      </c>
      <c r="E97" s="39">
        <f t="shared" si="18"/>
        <v>46165</v>
      </c>
      <c r="F97" s="39">
        <f t="shared" si="18"/>
        <v>46166</v>
      </c>
      <c r="G97" s="39">
        <f t="shared" si="18"/>
        <v>46167</v>
      </c>
      <c r="H97" s="39">
        <f t="shared" si="18"/>
        <v>46168</v>
      </c>
      <c r="I97" s="39">
        <f t="shared" si="18"/>
        <v>46169</v>
      </c>
      <c r="J97" s="39">
        <f t="shared" si="18"/>
        <v>46170</v>
      </c>
      <c r="K97" s="39">
        <f t="shared" si="18"/>
        <v>46171</v>
      </c>
      <c r="L97" s="39">
        <f t="shared" si="18"/>
        <v>46172</v>
      </c>
      <c r="M97" s="39">
        <f t="shared" si="18"/>
        <v>46173</v>
      </c>
      <c r="N97" s="39">
        <f t="shared" si="18"/>
        <v>46174</v>
      </c>
      <c r="O97" s="39">
        <f t="shared" si="18"/>
        <v>46175</v>
      </c>
      <c r="P97" s="39">
        <f t="shared" si="18"/>
        <v>46176</v>
      </c>
      <c r="Q97" s="39">
        <f t="shared" si="18"/>
        <v>46177</v>
      </c>
      <c r="R97" s="39">
        <f t="shared" si="18"/>
        <v>46178</v>
      </c>
      <c r="S97" s="39">
        <f t="shared" si="18"/>
        <v>46179</v>
      </c>
      <c r="T97" s="39">
        <f t="shared" si="18"/>
        <v>46180</v>
      </c>
      <c r="U97" s="39">
        <f t="shared" si="18"/>
        <v>46181</v>
      </c>
      <c r="V97" s="39">
        <f t="shared" si="18"/>
        <v>46182</v>
      </c>
      <c r="W97" s="39">
        <f t="shared" si="18"/>
        <v>46183</v>
      </c>
      <c r="X97" s="39">
        <f t="shared" si="18"/>
        <v>46184</v>
      </c>
      <c r="Y97" s="39">
        <f t="shared" si="18"/>
        <v>46185</v>
      </c>
      <c r="Z97" s="39">
        <f t="shared" si="18"/>
        <v>46186</v>
      </c>
      <c r="AA97" s="39">
        <f t="shared" si="18"/>
        <v>46187</v>
      </c>
      <c r="AB97" s="39">
        <f t="shared" si="18"/>
        <v>46188</v>
      </c>
      <c r="AC97" s="39">
        <f t="shared" si="18"/>
        <v>46189</v>
      </c>
      <c r="AD97" s="39">
        <f t="shared" si="18"/>
        <v>46190</v>
      </c>
      <c r="AE97" s="39">
        <f t="shared" si="18"/>
        <v>46191</v>
      </c>
      <c r="AF97" s="39">
        <f t="shared" si="18"/>
        <v>46192</v>
      </c>
      <c r="AG97" s="40">
        <f t="shared" si="18"/>
        <v>46193</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23" t="s">
        <v>224</v>
      </c>
      <c r="D98" s="430" t="s">
        <v>353</v>
      </c>
      <c r="E98" s="399" t="str">
        <f t="shared" ref="E98:AG98" si="19">IF(E$97="","",IF(E$97=$K$153,"ハローワーク来所日④",""))</f>
        <v/>
      </c>
      <c r="F98" s="399" t="str">
        <f t="shared" si="19"/>
        <v/>
      </c>
      <c r="G98" s="399" t="str">
        <f t="shared" si="19"/>
        <v>ハローワーク来所日④</v>
      </c>
      <c r="H98" s="399" t="s">
        <v>354</v>
      </c>
      <c r="I98" s="399"/>
      <c r="J98" s="399" t="s">
        <v>317</v>
      </c>
      <c r="K98" s="399" t="s">
        <v>354</v>
      </c>
      <c r="L98" s="399" t="str">
        <f t="shared" si="19"/>
        <v/>
      </c>
      <c r="M98" s="399" t="str">
        <f t="shared" si="19"/>
        <v/>
      </c>
      <c r="N98" s="399" t="s">
        <v>354</v>
      </c>
      <c r="O98" s="399" t="str">
        <f t="shared" si="19"/>
        <v/>
      </c>
      <c r="P98" s="399"/>
      <c r="Q98" s="399" t="s">
        <v>354</v>
      </c>
      <c r="R98" s="399" t="s">
        <v>354</v>
      </c>
      <c r="S98" s="399" t="str">
        <f t="shared" si="19"/>
        <v/>
      </c>
      <c r="T98" s="399" t="str">
        <f t="shared" si="19"/>
        <v/>
      </c>
      <c r="U98" s="399" t="s">
        <v>354</v>
      </c>
      <c r="V98" s="399"/>
      <c r="W98" s="399" t="str">
        <f t="shared" si="19"/>
        <v/>
      </c>
      <c r="X98" s="399" t="s">
        <v>354</v>
      </c>
      <c r="Y98" s="399" t="s">
        <v>354</v>
      </c>
      <c r="Z98" s="399" t="str">
        <f t="shared" si="19"/>
        <v/>
      </c>
      <c r="AA98" s="399" t="str">
        <f t="shared" si="19"/>
        <v/>
      </c>
      <c r="AB98" s="399" t="s">
        <v>354</v>
      </c>
      <c r="AC98" s="399" t="str">
        <f t="shared" si="19"/>
        <v/>
      </c>
      <c r="AD98" s="399" t="str">
        <f t="shared" si="19"/>
        <v/>
      </c>
      <c r="AE98" s="399" t="s">
        <v>354</v>
      </c>
      <c r="AF98" s="399" t="s">
        <v>354</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24"/>
      <c r="D99" s="431"/>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24"/>
      <c r="D100" s="431"/>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24"/>
      <c r="D101" s="431"/>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24"/>
      <c r="D102" s="431"/>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24"/>
      <c r="D103" s="431"/>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24"/>
      <c r="D104" s="431"/>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24"/>
      <c r="D105" s="431"/>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24"/>
      <c r="D106" s="431"/>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24"/>
      <c r="D107" s="431"/>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24"/>
      <c r="D108" s="431"/>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29"/>
      <c r="D109" s="432"/>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9"/>
      <c r="J110" s="44"/>
      <c r="K110" s="44"/>
      <c r="L110" s="44"/>
      <c r="M110" s="44"/>
      <c r="N110" s="44"/>
      <c r="O110" s="49"/>
      <c r="P110" s="49"/>
      <c r="Q110" s="44"/>
      <c r="R110" s="44"/>
      <c r="S110" s="44"/>
      <c r="T110" s="49"/>
      <c r="U110" s="49"/>
      <c r="V110" s="49"/>
      <c r="W110" s="49"/>
      <c r="X110" s="44"/>
      <c r="Y110" s="44"/>
      <c r="Z110" s="44"/>
      <c r="AA110" s="44"/>
      <c r="AB110" s="49"/>
      <c r="AC110" s="49"/>
      <c r="AD110" s="44"/>
      <c r="AE110" s="44" t="s">
        <v>64</v>
      </c>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3"/>
      <c r="T111" s="54"/>
      <c r="U111" s="54"/>
      <c r="V111" s="54"/>
      <c r="W111" s="54"/>
      <c r="X111" s="53"/>
      <c r="Y111" s="53"/>
      <c r="Z111" s="53"/>
      <c r="AA111" s="53"/>
      <c r="AB111" s="54"/>
      <c r="AC111" s="54"/>
      <c r="AD111" s="53"/>
      <c r="AE111" s="53"/>
      <c r="AF111" s="53"/>
      <c r="AG111" s="71"/>
      <c r="AH111" s="132" t="str">
        <f>IF(AI111="","","←")</f>
        <v/>
      </c>
      <c r="AI111" s="416" t="str">
        <f>[3]機構処理!BI89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v>6</v>
      </c>
      <c r="D112" s="57">
        <v>6</v>
      </c>
      <c r="E112" s="57"/>
      <c r="F112" s="57"/>
      <c r="G112" s="57"/>
      <c r="H112" s="57">
        <v>6</v>
      </c>
      <c r="I112" s="57"/>
      <c r="J112" s="57">
        <v>6</v>
      </c>
      <c r="K112" s="57">
        <v>6</v>
      </c>
      <c r="L112" s="57"/>
      <c r="M112" s="57"/>
      <c r="N112" s="57">
        <v>6</v>
      </c>
      <c r="O112" s="57"/>
      <c r="P112" s="57"/>
      <c r="Q112" s="57">
        <v>6</v>
      </c>
      <c r="R112" s="57">
        <v>6</v>
      </c>
      <c r="S112" s="57"/>
      <c r="T112" s="57"/>
      <c r="U112" s="57">
        <v>6</v>
      </c>
      <c r="V112" s="57"/>
      <c r="W112" s="57"/>
      <c r="X112" s="57">
        <v>6</v>
      </c>
      <c r="Y112" s="57">
        <v>6</v>
      </c>
      <c r="Z112" s="57"/>
      <c r="AA112" s="57"/>
      <c r="AB112" s="57">
        <v>6</v>
      </c>
      <c r="AC112" s="57"/>
      <c r="AD112" s="57"/>
      <c r="AE112" s="57">
        <v>6</v>
      </c>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IF(C95="","",[3]機構処理!BF53)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修了日</v>
      </c>
      <c r="AE115" s="28" t="str">
        <f t="shared" si="20"/>
        <v/>
      </c>
      <c r="AF115" s="28" t="str">
        <f t="shared" si="20"/>
        <v/>
      </c>
      <c r="AG115" s="28" t="str">
        <f t="shared" si="20"/>
        <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46194</v>
      </c>
      <c r="D116" s="33">
        <f t="shared" ref="D116:AD116" si="21">IF(OR(C116="",C115="修了日"),"",C116+1)</f>
        <v>46195</v>
      </c>
      <c r="E116" s="33">
        <f t="shared" si="21"/>
        <v>46196</v>
      </c>
      <c r="F116" s="33">
        <f t="shared" si="21"/>
        <v>46197</v>
      </c>
      <c r="G116" s="33">
        <f t="shared" si="21"/>
        <v>46198</v>
      </c>
      <c r="H116" s="33">
        <f t="shared" si="21"/>
        <v>46199</v>
      </c>
      <c r="I116" s="33">
        <f t="shared" si="21"/>
        <v>46200</v>
      </c>
      <c r="J116" s="33">
        <f t="shared" si="21"/>
        <v>46201</v>
      </c>
      <c r="K116" s="33">
        <f t="shared" si="21"/>
        <v>46202</v>
      </c>
      <c r="L116" s="33">
        <f t="shared" si="21"/>
        <v>46203</v>
      </c>
      <c r="M116" s="33">
        <f t="shared" si="21"/>
        <v>46204</v>
      </c>
      <c r="N116" s="33">
        <f t="shared" si="21"/>
        <v>46205</v>
      </c>
      <c r="O116" s="33">
        <f t="shared" si="21"/>
        <v>46206</v>
      </c>
      <c r="P116" s="33">
        <f t="shared" si="21"/>
        <v>46207</v>
      </c>
      <c r="Q116" s="33">
        <f t="shared" si="21"/>
        <v>46208</v>
      </c>
      <c r="R116" s="33">
        <f t="shared" si="21"/>
        <v>46209</v>
      </c>
      <c r="S116" s="33">
        <f t="shared" si="21"/>
        <v>46210</v>
      </c>
      <c r="T116" s="33">
        <f t="shared" si="21"/>
        <v>46211</v>
      </c>
      <c r="U116" s="33">
        <f t="shared" si="21"/>
        <v>46212</v>
      </c>
      <c r="V116" s="33">
        <f t="shared" si="21"/>
        <v>46213</v>
      </c>
      <c r="W116" s="33">
        <f t="shared" si="21"/>
        <v>46214</v>
      </c>
      <c r="X116" s="33">
        <f t="shared" si="21"/>
        <v>46215</v>
      </c>
      <c r="Y116" s="33">
        <f t="shared" si="21"/>
        <v>46216</v>
      </c>
      <c r="Z116" s="33">
        <f t="shared" si="21"/>
        <v>46217</v>
      </c>
      <c r="AA116" s="33">
        <f t="shared" si="21"/>
        <v>46218</v>
      </c>
      <c r="AB116" s="33">
        <f t="shared" si="21"/>
        <v>46219</v>
      </c>
      <c r="AC116" s="33">
        <f t="shared" si="21"/>
        <v>46220</v>
      </c>
      <c r="AD116" s="33">
        <f t="shared" si="21"/>
        <v>46221</v>
      </c>
      <c r="AE116" s="33" t="str">
        <f>IF(OR(AD116="",AD115="修了日"),"",IF(AND(DAY(DATE(YEAR(C116),2,29))=29,MONTH(C116)=2),AD116+1,IF(MONTH(C116)=2,"",AD116+1)))</f>
        <v/>
      </c>
      <c r="AF116" s="33" t="str">
        <f>IF(OR(AE116="",AE115="修了日"),"",IF(MONTH(C116)=2,"",AE116+1))</f>
        <v/>
      </c>
      <c r="AG116" s="65" t="str">
        <f>IF(OR(AF116="",AF115="修了日"),"",IF(OR(MONTH(C116)=2,MONTH(C116)=4,MONTH(C116)=6,MONTH(C116)=9,MONTH(C116)=11),"",AF116+1))</f>
        <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46194</v>
      </c>
      <c r="D117" s="67">
        <f t="shared" ref="D117:AG118" si="22">IF(D116="","",+D116)</f>
        <v>46195</v>
      </c>
      <c r="E117" s="67">
        <f t="shared" si="22"/>
        <v>46196</v>
      </c>
      <c r="F117" s="67">
        <f t="shared" si="22"/>
        <v>46197</v>
      </c>
      <c r="G117" s="67">
        <f t="shared" si="22"/>
        <v>46198</v>
      </c>
      <c r="H117" s="67">
        <f t="shared" si="22"/>
        <v>46199</v>
      </c>
      <c r="I117" s="67">
        <f t="shared" si="22"/>
        <v>46200</v>
      </c>
      <c r="J117" s="67">
        <f t="shared" si="22"/>
        <v>46201</v>
      </c>
      <c r="K117" s="67">
        <f t="shared" si="22"/>
        <v>46202</v>
      </c>
      <c r="L117" s="67">
        <f t="shared" si="22"/>
        <v>46203</v>
      </c>
      <c r="M117" s="67">
        <f t="shared" si="22"/>
        <v>46204</v>
      </c>
      <c r="N117" s="67">
        <f t="shared" si="22"/>
        <v>46205</v>
      </c>
      <c r="O117" s="67">
        <f t="shared" si="22"/>
        <v>46206</v>
      </c>
      <c r="P117" s="67">
        <f t="shared" si="22"/>
        <v>46207</v>
      </c>
      <c r="Q117" s="67">
        <f t="shared" si="22"/>
        <v>46208</v>
      </c>
      <c r="R117" s="67">
        <f t="shared" si="22"/>
        <v>46209</v>
      </c>
      <c r="S117" s="67">
        <f t="shared" si="22"/>
        <v>46210</v>
      </c>
      <c r="T117" s="67">
        <f t="shared" si="22"/>
        <v>46211</v>
      </c>
      <c r="U117" s="67">
        <f t="shared" si="22"/>
        <v>46212</v>
      </c>
      <c r="V117" s="67">
        <f t="shared" si="22"/>
        <v>46213</v>
      </c>
      <c r="W117" s="67">
        <f t="shared" si="22"/>
        <v>46214</v>
      </c>
      <c r="X117" s="67">
        <f t="shared" si="22"/>
        <v>46215</v>
      </c>
      <c r="Y117" s="67">
        <f t="shared" si="22"/>
        <v>46216</v>
      </c>
      <c r="Z117" s="67">
        <f t="shared" si="22"/>
        <v>46217</v>
      </c>
      <c r="AA117" s="67">
        <f t="shared" si="22"/>
        <v>46218</v>
      </c>
      <c r="AB117" s="67">
        <f t="shared" si="22"/>
        <v>46219</v>
      </c>
      <c r="AC117" s="67">
        <f t="shared" si="22"/>
        <v>46220</v>
      </c>
      <c r="AD117" s="67">
        <f t="shared" si="22"/>
        <v>46221</v>
      </c>
      <c r="AE117" s="67" t="str">
        <f t="shared" si="22"/>
        <v/>
      </c>
      <c r="AF117" s="67" t="str">
        <f t="shared" si="22"/>
        <v/>
      </c>
      <c r="AG117" s="38" t="str">
        <f t="shared" si="22"/>
        <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46194</v>
      </c>
      <c r="D118" s="39">
        <f t="shared" si="22"/>
        <v>46195</v>
      </c>
      <c r="E118" s="39">
        <f t="shared" si="22"/>
        <v>46196</v>
      </c>
      <c r="F118" s="39">
        <f t="shared" si="22"/>
        <v>46197</v>
      </c>
      <c r="G118" s="39">
        <f t="shared" si="22"/>
        <v>46198</v>
      </c>
      <c r="H118" s="39">
        <f t="shared" si="22"/>
        <v>46199</v>
      </c>
      <c r="I118" s="39">
        <f t="shared" si="22"/>
        <v>46200</v>
      </c>
      <c r="J118" s="39">
        <f t="shared" si="22"/>
        <v>46201</v>
      </c>
      <c r="K118" s="39">
        <f t="shared" si="22"/>
        <v>46202</v>
      </c>
      <c r="L118" s="39">
        <f t="shared" si="22"/>
        <v>46203</v>
      </c>
      <c r="M118" s="39">
        <f t="shared" si="22"/>
        <v>46204</v>
      </c>
      <c r="N118" s="39">
        <f t="shared" si="22"/>
        <v>46205</v>
      </c>
      <c r="O118" s="39">
        <f t="shared" si="22"/>
        <v>46206</v>
      </c>
      <c r="P118" s="39">
        <f t="shared" si="22"/>
        <v>46207</v>
      </c>
      <c r="Q118" s="39">
        <f t="shared" si="22"/>
        <v>46208</v>
      </c>
      <c r="R118" s="39">
        <f t="shared" si="22"/>
        <v>46209</v>
      </c>
      <c r="S118" s="39">
        <f t="shared" si="22"/>
        <v>46210</v>
      </c>
      <c r="T118" s="39">
        <f t="shared" si="22"/>
        <v>46211</v>
      </c>
      <c r="U118" s="39">
        <f t="shared" si="22"/>
        <v>46212</v>
      </c>
      <c r="V118" s="39">
        <f t="shared" si="22"/>
        <v>46213</v>
      </c>
      <c r="W118" s="39">
        <f t="shared" si="22"/>
        <v>46214</v>
      </c>
      <c r="X118" s="39">
        <f t="shared" si="22"/>
        <v>46215</v>
      </c>
      <c r="Y118" s="39">
        <f t="shared" si="22"/>
        <v>46216</v>
      </c>
      <c r="Z118" s="39">
        <f t="shared" si="22"/>
        <v>46217</v>
      </c>
      <c r="AA118" s="39">
        <f t="shared" si="22"/>
        <v>46218</v>
      </c>
      <c r="AB118" s="39">
        <f t="shared" si="22"/>
        <v>46219</v>
      </c>
      <c r="AC118" s="39">
        <f t="shared" si="22"/>
        <v>46220</v>
      </c>
      <c r="AD118" s="39">
        <f t="shared" si="22"/>
        <v>46221</v>
      </c>
      <c r="AE118" s="39" t="str">
        <f t="shared" si="22"/>
        <v/>
      </c>
      <c r="AF118" s="39" t="str">
        <f t="shared" si="22"/>
        <v/>
      </c>
      <c r="AG118" s="40" t="str">
        <f t="shared" si="22"/>
        <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G119" si="23">IF(C$118="","",IF(C$118=$K$154,"ハローワーク来所日⑤",""))</f>
        <v/>
      </c>
      <c r="D119" s="399" t="s">
        <v>354</v>
      </c>
      <c r="E119" s="399" t="str">
        <f t="shared" si="23"/>
        <v>ハローワーク来所日⑤</v>
      </c>
      <c r="F119" s="399" t="str">
        <f t="shared" si="23"/>
        <v/>
      </c>
      <c r="G119" s="399" t="s">
        <v>354</v>
      </c>
      <c r="H119" s="399" t="s">
        <v>354</v>
      </c>
      <c r="I119" s="399"/>
      <c r="J119" s="399"/>
      <c r="K119" s="399" t="s">
        <v>354</v>
      </c>
      <c r="L119" s="399" t="s">
        <v>354</v>
      </c>
      <c r="M119" s="399"/>
      <c r="N119" s="399" t="s">
        <v>355</v>
      </c>
      <c r="O119" s="399" t="s">
        <v>355</v>
      </c>
      <c r="P119" s="399" t="s">
        <v>108</v>
      </c>
      <c r="Q119" s="399"/>
      <c r="R119" s="399" t="s">
        <v>355</v>
      </c>
      <c r="S119" s="399" t="s">
        <v>355</v>
      </c>
      <c r="T119" s="399"/>
      <c r="U119" s="399" t="s">
        <v>355</v>
      </c>
      <c r="V119" s="399" t="s">
        <v>355</v>
      </c>
      <c r="W119" s="399" t="s">
        <v>68</v>
      </c>
      <c r="X119" s="399"/>
      <c r="Y119" s="399"/>
      <c r="Z119" s="399" t="s">
        <v>248</v>
      </c>
      <c r="AA119" s="399"/>
      <c r="AB119" s="399" t="s">
        <v>248</v>
      </c>
      <c r="AC119" s="399" t="s">
        <v>248</v>
      </c>
      <c r="AD119" s="399" t="s">
        <v>343</v>
      </c>
      <c r="AE119" s="399" t="str">
        <f t="shared" si="23"/>
        <v/>
      </c>
      <c r="AF119" s="399" t="str">
        <f t="shared" si="23"/>
        <v/>
      </c>
      <c r="AG119" s="402" t="str">
        <f t="shared" si="23"/>
        <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t="s">
        <v>69</v>
      </c>
      <c r="W131" s="49"/>
      <c r="X131" s="44"/>
      <c r="Y131" s="44"/>
      <c r="Z131" s="44"/>
      <c r="AA131" s="44"/>
      <c r="AB131" s="49"/>
      <c r="AC131" s="49"/>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[3]機構処理!BI93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v>6</v>
      </c>
      <c r="E133" s="57"/>
      <c r="F133" s="57"/>
      <c r="G133" s="57">
        <v>6</v>
      </c>
      <c r="H133" s="57">
        <v>6</v>
      </c>
      <c r="I133" s="57"/>
      <c r="J133" s="57"/>
      <c r="K133" s="57">
        <v>6</v>
      </c>
      <c r="L133" s="57">
        <v>6</v>
      </c>
      <c r="M133" s="57"/>
      <c r="N133" s="57">
        <v>6</v>
      </c>
      <c r="O133" s="57">
        <v>6</v>
      </c>
      <c r="P133" s="57">
        <v>0</v>
      </c>
      <c r="Q133" s="57"/>
      <c r="R133" s="57">
        <v>6</v>
      </c>
      <c r="S133" s="57">
        <v>6</v>
      </c>
      <c r="T133" s="57"/>
      <c r="U133" s="57">
        <v>6</v>
      </c>
      <c r="V133" s="57">
        <v>6</v>
      </c>
      <c r="W133" s="57">
        <v>0</v>
      </c>
      <c r="X133" s="57"/>
      <c r="Y133" s="57"/>
      <c r="Z133" s="57">
        <v>6</v>
      </c>
      <c r="AA133" s="57"/>
      <c r="AB133" s="57">
        <v>6</v>
      </c>
      <c r="AC133" s="57">
        <v>6</v>
      </c>
      <c r="AD133" s="57">
        <v>0</v>
      </c>
      <c r="AE133" s="57"/>
      <c r="AF133" s="57"/>
      <c r="AG133" s="73"/>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IF(C116="","",[3]機構処理!BF59)</f>
        <v>3</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319</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320</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IF([3]様式1!$E$20="","",AI21+AI44+AI66+AI88)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46044</v>
      </c>
      <c r="L140" s="385"/>
      <c r="M140" s="385"/>
      <c r="N140" s="385"/>
      <c r="O140" s="386"/>
      <c r="P140" s="96" t="s">
        <v>72</v>
      </c>
      <c r="Q140" s="387">
        <v>46073</v>
      </c>
      <c r="R140" s="385"/>
      <c r="S140" s="385"/>
      <c r="T140" s="385"/>
      <c r="U140" s="385"/>
      <c r="V140" s="390" t="s">
        <v>281</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46104</v>
      </c>
      <c r="L141" s="385"/>
      <c r="M141" s="385"/>
      <c r="N141" s="385"/>
      <c r="O141" s="386"/>
      <c r="P141" s="96" t="s">
        <v>72</v>
      </c>
      <c r="Q141" s="387">
        <v>46132</v>
      </c>
      <c r="R141" s="385"/>
      <c r="S141" s="385"/>
      <c r="T141" s="385"/>
      <c r="U141" s="385"/>
      <c r="V141" s="390" t="s">
        <v>281</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46195</v>
      </c>
      <c r="L142" s="385"/>
      <c r="M142" s="385"/>
      <c r="N142" s="385"/>
      <c r="O142" s="386"/>
      <c r="P142" s="96" t="s">
        <v>72</v>
      </c>
      <c r="Q142" s="387">
        <v>46219</v>
      </c>
      <c r="R142" s="385"/>
      <c r="S142" s="385"/>
      <c r="T142" s="385"/>
      <c r="U142" s="385"/>
      <c r="V142" s="388" t="s">
        <v>281</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0.4236111111111111</v>
      </c>
      <c r="D148" s="384"/>
      <c r="E148" s="94" t="s">
        <v>72</v>
      </c>
      <c r="F148" s="366">
        <v>0.45833333333333331</v>
      </c>
      <c r="G148" s="367"/>
      <c r="H148" s="15"/>
      <c r="I148" s="100" t="s">
        <v>86</v>
      </c>
      <c r="J148" s="15"/>
      <c r="K148" s="15"/>
      <c r="L148" s="15"/>
      <c r="M148" s="15"/>
      <c r="N148" s="15"/>
      <c r="O148" s="100" t="s">
        <v>321</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0.46527777777777779</v>
      </c>
      <c r="D149" s="366"/>
      <c r="E149" s="94" t="s">
        <v>72</v>
      </c>
      <c r="F149" s="366">
        <v>0.5</v>
      </c>
      <c r="G149" s="367"/>
      <c r="H149" s="15"/>
      <c r="I149" s="363"/>
      <c r="J149" s="364"/>
      <c r="K149" s="349" t="s">
        <v>322</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0.50694444444444442</v>
      </c>
      <c r="D150" s="366"/>
      <c r="E150" s="94" t="s">
        <v>72</v>
      </c>
      <c r="F150" s="366">
        <v>0.54166666666666663</v>
      </c>
      <c r="G150" s="367"/>
      <c r="H150" s="15"/>
      <c r="I150" s="380" t="str">
        <f>IF(AND(ハローワーク来所日パターン&lt;&gt;"",$C$29&lt;&gt;"",訓練終了日&gt;ハローワーク来所日1),"１回目","")</f>
        <v>１回目</v>
      </c>
      <c r="J150" s="381"/>
      <c r="K150" s="339">
        <f>IF($I150="","",ハローワーク来所日1)</f>
        <v>46078</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0.58333333333333337</v>
      </c>
      <c r="D151" s="366"/>
      <c r="E151" s="94" t="s">
        <v>72</v>
      </c>
      <c r="F151" s="366">
        <v>0.61805555555555558</v>
      </c>
      <c r="G151" s="367"/>
      <c r="H151" s="15"/>
      <c r="I151" s="380" t="str">
        <f>IF(AND(ハローワーク来所日パターン&lt;&gt;"",$C$51&lt;&gt;"",訓練終了日&gt;ハローワーク来所日2),"２回目","")</f>
        <v>２回目</v>
      </c>
      <c r="J151" s="381"/>
      <c r="K151" s="339">
        <f>IF($I151="","",ハローワーク来所日2)</f>
        <v>46105</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0.625</v>
      </c>
      <c r="D152" s="366"/>
      <c r="E152" s="94" t="s">
        <v>72</v>
      </c>
      <c r="F152" s="366">
        <v>0.65972222222222221</v>
      </c>
      <c r="G152" s="367"/>
      <c r="H152" s="15"/>
      <c r="I152" s="380" t="str">
        <f>IF(AND(ハローワーク来所日パターン&lt;&gt;"",$C$73&lt;&gt;"",訓練終了日&gt;ハローワーク来所日3),"３回目","")</f>
        <v>３回目</v>
      </c>
      <c r="J152" s="381"/>
      <c r="K152" s="339">
        <f>IF($I152="","",ハローワーク来所日3)</f>
        <v>46135</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0.66666666666666663</v>
      </c>
      <c r="D153" s="366"/>
      <c r="E153" s="94" t="s">
        <v>72</v>
      </c>
      <c r="F153" s="366">
        <v>0.70138888888888884</v>
      </c>
      <c r="G153" s="367"/>
      <c r="H153" s="15"/>
      <c r="I153" s="380" t="str">
        <f>IF(AND(ハローワーク来所日パターン&lt;&gt;"",$C$95&lt;&gt;"",訓練終了日&gt;ハローワーク来所日4),"４回目","")</f>
        <v>４回目</v>
      </c>
      <c r="J153" s="381"/>
      <c r="K153" s="339">
        <f>IF($I153="","",ハローワーク来所日4)</f>
        <v>46167</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0.70138888888888884</v>
      </c>
      <c r="D154" s="366"/>
      <c r="E154" s="94" t="s">
        <v>72</v>
      </c>
      <c r="F154" s="366">
        <v>0.74305555555555558</v>
      </c>
      <c r="G154" s="367"/>
      <c r="H154" s="15"/>
      <c r="I154" s="380" t="str">
        <f>IF(AND(ハローワーク来所日パターン&lt;&gt;"",$C$116&lt;&gt;"",訓練終了日&gt;ハローワーク来所日5),"５回目","")</f>
        <v>５回目</v>
      </c>
      <c r="J154" s="381"/>
      <c r="K154" s="339">
        <f>IF($I154="","",ハローワーク来所日5)</f>
        <v>46196</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46043</v>
      </c>
      <c r="F172" s="340"/>
      <c r="G172" s="340"/>
      <c r="H172" s="340"/>
      <c r="I172" s="340"/>
      <c r="J172" s="94" t="s">
        <v>104</v>
      </c>
      <c r="K172" s="340">
        <f>IF(訓練開始日="","",IF(訓練終了日&lt;EDATE(訓練開始日,1)-1,訓練終了日,EDATE(E172,1)-1))</f>
        <v>46073</v>
      </c>
      <c r="L172" s="340"/>
      <c r="M172" s="340"/>
      <c r="N172" s="340"/>
      <c r="O172" s="341"/>
      <c r="P172" s="108"/>
      <c r="Q172" s="215">
        <f>IF(E172="","",(K172-E172+1))</f>
        <v>31</v>
      </c>
      <c r="R172" s="112" t="s">
        <v>52</v>
      </c>
      <c r="S172" s="101"/>
      <c r="T172" s="113"/>
      <c r="U172" s="215">
        <f>IF(E172="","",[3]機構処理!$BG$24)</f>
        <v>20</v>
      </c>
      <c r="V172" s="112" t="s">
        <v>52</v>
      </c>
      <c r="W172" s="101"/>
      <c r="X172" s="353">
        <f>IF(E172="","",[3]機構処理!BG72)</f>
        <v>0</v>
      </c>
      <c r="Y172" s="354"/>
      <c r="Z172" s="354"/>
      <c r="AA172" s="114" t="s">
        <v>66</v>
      </c>
      <c r="AB172" s="107"/>
      <c r="AC172" s="344">
        <f>IF(E172="","",[3]機構処理!$BH$25)</f>
        <v>102</v>
      </c>
      <c r="AD172" s="345"/>
      <c r="AE172" s="345"/>
      <c r="AF172" s="324" t="s">
        <v>66</v>
      </c>
      <c r="AG172" s="325"/>
      <c r="AH172" s="346" t="str">
        <f>[3]機構処理!BR26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46074</v>
      </c>
      <c r="F173" s="340"/>
      <c r="G173" s="340"/>
      <c r="H173" s="340"/>
      <c r="I173" s="340"/>
      <c r="J173" s="94" t="s">
        <v>104</v>
      </c>
      <c r="K173" s="340">
        <f>IF(E173="","",IF(EDATE(E173,1)-1&lt;訓練終了日,EDATE(E173,1)-1,訓練終了日))</f>
        <v>46101</v>
      </c>
      <c r="L173" s="340"/>
      <c r="M173" s="340"/>
      <c r="N173" s="340"/>
      <c r="O173" s="341"/>
      <c r="P173" s="108"/>
      <c r="Q173" s="215">
        <f>IF(E173="","",(K173-E173+1))</f>
        <v>28</v>
      </c>
      <c r="R173" s="109" t="s">
        <v>52</v>
      </c>
      <c r="S173" s="101"/>
      <c r="T173" s="108"/>
      <c r="U173" s="215">
        <f>IF(E173="","",[3]機構処理!$BG$30)</f>
        <v>14</v>
      </c>
      <c r="V173" s="109" t="s">
        <v>52</v>
      </c>
      <c r="W173" s="101"/>
      <c r="X173" s="342">
        <f>IF(E173="","",[3]機構処理!BG77)</f>
        <v>0</v>
      </c>
      <c r="Y173" s="343"/>
      <c r="Z173" s="343"/>
      <c r="AA173" s="114" t="s">
        <v>66</v>
      </c>
      <c r="AB173" s="107"/>
      <c r="AC173" s="344">
        <f>IF(E173="","",[3]機構処理!$BH$31)</f>
        <v>84</v>
      </c>
      <c r="AD173" s="345"/>
      <c r="AE173" s="345"/>
      <c r="AF173" s="324" t="s">
        <v>66</v>
      </c>
      <c r="AG173" s="325"/>
      <c r="AH173" s="346" t="str">
        <f>[3]機構処理!BR27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46102</v>
      </c>
      <c r="F174" s="340"/>
      <c r="G174" s="340"/>
      <c r="H174" s="340"/>
      <c r="I174" s="340"/>
      <c r="J174" s="94" t="s">
        <v>104</v>
      </c>
      <c r="K174" s="340">
        <f>IF(E174="","",IF(EDATE(E174,1)-1&lt;訓練終了日,EDATE(E174,1)-1,訓練終了日))</f>
        <v>46132</v>
      </c>
      <c r="L174" s="340"/>
      <c r="M174" s="340"/>
      <c r="N174" s="340"/>
      <c r="O174" s="341"/>
      <c r="P174" s="108"/>
      <c r="Q174" s="215">
        <f>IF(E174="","",(K174-E174+1))</f>
        <v>31</v>
      </c>
      <c r="R174" s="109" t="s">
        <v>52</v>
      </c>
      <c r="S174" s="101"/>
      <c r="T174" s="108"/>
      <c r="U174" s="215">
        <f>IF(E174="","",[3]機構処理!$BG$36)</f>
        <v>19</v>
      </c>
      <c r="V174" s="109" t="s">
        <v>52</v>
      </c>
      <c r="W174" s="101"/>
      <c r="X174" s="342">
        <f>IF(E174="","",[3]機構処理!BG81)</f>
        <v>0</v>
      </c>
      <c r="Y174" s="343"/>
      <c r="Z174" s="343"/>
      <c r="AA174" s="114" t="s">
        <v>66</v>
      </c>
      <c r="AB174" s="107"/>
      <c r="AC174" s="344">
        <f>IF(E174="","",[3]機構処理!$BH$37)</f>
        <v>102</v>
      </c>
      <c r="AD174" s="345"/>
      <c r="AE174" s="345"/>
      <c r="AF174" s="324" t="s">
        <v>66</v>
      </c>
      <c r="AG174" s="325"/>
      <c r="AH174" s="346" t="str">
        <f>[3]機構処理!BR28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46133</v>
      </c>
      <c r="F175" s="340"/>
      <c r="G175" s="340"/>
      <c r="H175" s="340"/>
      <c r="I175" s="340"/>
      <c r="J175" s="94" t="s">
        <v>104</v>
      </c>
      <c r="K175" s="340">
        <f>IF(E175="","",IF(EDATE(E175,1)-1&lt;訓練終了日,EDATE(E175,1)-1,訓練終了日))</f>
        <v>46162</v>
      </c>
      <c r="L175" s="340"/>
      <c r="M175" s="340"/>
      <c r="N175" s="340"/>
      <c r="O175" s="341"/>
      <c r="P175" s="108"/>
      <c r="Q175" s="215">
        <f>IF(E175="","",(K175-E175+1))</f>
        <v>30</v>
      </c>
      <c r="R175" s="109" t="s">
        <v>52</v>
      </c>
      <c r="S175" s="101"/>
      <c r="T175" s="108"/>
      <c r="U175" s="215">
        <f>IF(E175="","",[3]機構処理!$BG$42)</f>
        <v>14</v>
      </c>
      <c r="V175" s="109" t="s">
        <v>52</v>
      </c>
      <c r="W175" s="101"/>
      <c r="X175" s="342">
        <f>IF(E175="","",[3]機構処理!BG85)</f>
        <v>0</v>
      </c>
      <c r="Y175" s="343"/>
      <c r="Z175" s="343"/>
      <c r="AA175" s="114" t="s">
        <v>66</v>
      </c>
      <c r="AB175" s="107"/>
      <c r="AC175" s="344">
        <f>IF(E175="","",[3]機構処理!$BH$43)</f>
        <v>84</v>
      </c>
      <c r="AD175" s="345"/>
      <c r="AE175" s="345"/>
      <c r="AF175" s="324" t="s">
        <v>66</v>
      </c>
      <c r="AG175" s="325"/>
      <c r="AH175" s="346" t="str">
        <f>[3]機構処理!BR29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46163</v>
      </c>
      <c r="F176" s="340"/>
      <c r="G176" s="340"/>
      <c r="H176" s="340"/>
      <c r="I176" s="340"/>
      <c r="J176" s="94" t="s">
        <v>104</v>
      </c>
      <c r="K176" s="340">
        <f>IF(E176="","",IF(EDATE(E176,1)-1&lt;訓練終了日,EDATE(E176,1)-1,訓練終了日))</f>
        <v>46193</v>
      </c>
      <c r="L176" s="340"/>
      <c r="M176" s="340"/>
      <c r="N176" s="340"/>
      <c r="O176" s="341"/>
      <c r="P176" s="108"/>
      <c r="Q176" s="215">
        <f>IF(E176="","",K176-E176+1)</f>
        <v>31</v>
      </c>
      <c r="R176" s="109" t="s">
        <v>52</v>
      </c>
      <c r="S176" s="101"/>
      <c r="T176" s="108"/>
      <c r="U176" s="215">
        <f>IF(E176="","",[3]機構処理!$BG$48)</f>
        <v>14</v>
      </c>
      <c r="V176" s="109" t="s">
        <v>52</v>
      </c>
      <c r="W176" s="101"/>
      <c r="X176" s="342">
        <f>IF(E176="","",[3]機構処理!BG89)</f>
        <v>0</v>
      </c>
      <c r="Y176" s="343"/>
      <c r="Z176" s="343"/>
      <c r="AA176" s="114" t="s">
        <v>66</v>
      </c>
      <c r="AB176" s="107"/>
      <c r="AC176" s="344">
        <f>IF(E176="","",[3]機構処理!$BH$49)</f>
        <v>84</v>
      </c>
      <c r="AD176" s="345"/>
      <c r="AE176" s="345"/>
      <c r="AF176" s="324" t="s">
        <v>66</v>
      </c>
      <c r="AG176" s="325"/>
      <c r="AH176" s="346" t="str">
        <f>[3]機構処理!BQ30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46194</v>
      </c>
      <c r="F177" s="340"/>
      <c r="G177" s="340"/>
      <c r="H177" s="340"/>
      <c r="I177" s="340"/>
      <c r="J177" s="94" t="s">
        <v>104</v>
      </c>
      <c r="K177" s="340">
        <f>IF(E177="","",IF(EDATE(E177,1)-1&lt;訓練終了日,EDATE(E177,1)-1,訓練終了日))</f>
        <v>46221</v>
      </c>
      <c r="L177" s="340"/>
      <c r="M177" s="340"/>
      <c r="N177" s="340"/>
      <c r="O177" s="341"/>
      <c r="P177" s="108"/>
      <c r="Q177" s="215">
        <f>IF(E177="","",K177-E177+1)</f>
        <v>28</v>
      </c>
      <c r="R177" s="109" t="s">
        <v>52</v>
      </c>
      <c r="S177" s="101"/>
      <c r="T177" s="108"/>
      <c r="U177" s="215">
        <f>IF(E177="","",[3]機構処理!$BG$54)</f>
        <v>17</v>
      </c>
      <c r="V177" s="109" t="s">
        <v>52</v>
      </c>
      <c r="W177" s="101"/>
      <c r="X177" s="342">
        <f>IF(E177="","",[3]機構処理!BG93)</f>
        <v>0</v>
      </c>
      <c r="Y177" s="343"/>
      <c r="Z177" s="343"/>
      <c r="AA177" s="114" t="s">
        <v>66</v>
      </c>
      <c r="AB177" s="107"/>
      <c r="AC177" s="344">
        <f>IF(E177="","",[3]機構処理!$BH$55)</f>
        <v>84</v>
      </c>
      <c r="AD177" s="345"/>
      <c r="AE177" s="345"/>
      <c r="AF177" s="324" t="s">
        <v>66</v>
      </c>
      <c r="AG177" s="325"/>
      <c r="AH177" s="346" t="str">
        <f>[3]機構処理!BQ31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179</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453" priority="12">
      <formula>LEN(TRIM(C160))=0</formula>
    </cfRule>
  </conditionalFormatting>
  <conditionalFormatting sqref="C9:I20">
    <cfRule type="expression" dxfId="452" priority="1">
      <formula>WORKDAY(C$6+1,-1,祝祭日)&lt;&gt;C$6</formula>
    </cfRule>
  </conditionalFormatting>
  <conditionalFormatting sqref="C6:AG8 C21:AG27">
    <cfRule type="expression" dxfId="451" priority="44">
      <formula>WORKDAY(C$6+1,-1,祝祭日)&lt;&gt;C$6</formula>
    </cfRule>
  </conditionalFormatting>
  <conditionalFormatting sqref="C22:AG22">
    <cfRule type="expression" dxfId="450" priority="52">
      <formula>$AH$22&lt;&gt;""</formula>
    </cfRule>
  </conditionalFormatting>
  <conditionalFormatting sqref="C29:AG49">
    <cfRule type="expression" dxfId="449" priority="35">
      <formula>WORKDAY(C$29+1,-1,祝祭日)&lt;&gt;C$29</formula>
    </cfRule>
  </conditionalFormatting>
  <conditionalFormatting sqref="C45:AG45">
    <cfRule type="expression" dxfId="448" priority="51">
      <formula>+$AH$45&lt;&gt;""</formula>
    </cfRule>
  </conditionalFormatting>
  <conditionalFormatting sqref="C51:AG53 C54:G65 I54:AG65">
    <cfRule type="expression" dxfId="447" priority="47">
      <formula>WORKDAY(C$51+1,-1,祝祭日)&lt;&gt;C$51</formula>
    </cfRule>
  </conditionalFormatting>
  <conditionalFormatting sqref="C66:AG71">
    <cfRule type="expression" dxfId="446" priority="34">
      <formula>WORKDAY(C$51+1,-1,祝祭日)&lt;&gt;C$51</formula>
    </cfRule>
  </conditionalFormatting>
  <conditionalFormatting sqref="C67:AG67">
    <cfRule type="expression" dxfId="445" priority="53">
      <formula>+$AH$67&lt;&gt;""</formula>
    </cfRule>
  </conditionalFormatting>
  <conditionalFormatting sqref="C73:AG75 C76:AE87 AG76:AG87">
    <cfRule type="expression" dxfId="444" priority="46">
      <formula>WORKDAY(C$73+1,-1,祝祭日)&lt;&gt;C$73</formula>
    </cfRule>
  </conditionalFormatting>
  <conditionalFormatting sqref="C88:AG93">
    <cfRule type="expression" dxfId="443" priority="33">
      <formula>WORKDAY(C$73+1,-1,祝祭日)&lt;&gt;C$73</formula>
    </cfRule>
  </conditionalFormatting>
  <conditionalFormatting sqref="C89:AG89">
    <cfRule type="expression" dxfId="442" priority="54">
      <formula>+$AH$89&lt;&gt;""</formula>
    </cfRule>
  </conditionalFormatting>
  <conditionalFormatting sqref="C95:AG114">
    <cfRule type="expression" dxfId="441" priority="4">
      <formula>WORKDAY(C$95+1,-1,祝祭日)&lt;&gt;C$95</formula>
    </cfRule>
  </conditionalFormatting>
  <conditionalFormatting sqref="C110:AG110">
    <cfRule type="expression" dxfId="440" priority="55">
      <formula>+$AH$110&lt;&gt;""</formula>
    </cfRule>
  </conditionalFormatting>
  <conditionalFormatting sqref="C116:AG135">
    <cfRule type="expression" dxfId="439" priority="45">
      <formula>WORKDAY(C$116+1,-1,祝祭日)&lt;&gt;C$116</formula>
    </cfRule>
  </conditionalFormatting>
  <conditionalFormatting sqref="C131:AG131">
    <cfRule type="expression" dxfId="438" priority="56">
      <formula>+$AH$131&lt;&gt;""</formula>
    </cfRule>
  </conditionalFormatting>
  <conditionalFormatting sqref="D158:E158">
    <cfRule type="containsBlanks" dxfId="437" priority="39">
      <formula>LEN(TRIM(D158))=0</formula>
    </cfRule>
  </conditionalFormatting>
  <conditionalFormatting sqref="D139:F140">
    <cfRule type="cellIs" dxfId="436" priority="38" operator="equal">
      <formula>""</formula>
    </cfRule>
  </conditionalFormatting>
  <conditionalFormatting sqref="F148:F154 C149:C154">
    <cfRule type="cellIs" dxfId="435" priority="50" stopIfTrue="1" operator="equal">
      <formula>""</formula>
    </cfRule>
  </conditionalFormatting>
  <conditionalFormatting sqref="F154">
    <cfRule type="cellIs" dxfId="434" priority="49" operator="greaterThan">
      <formula>0.917</formula>
    </cfRule>
  </conditionalFormatting>
  <conditionalFormatting sqref="F155:F156 C155:C156">
    <cfRule type="containsBlanks" dxfId="433" priority="15">
      <formula>LEN(TRIM(C155))=0</formula>
    </cfRule>
  </conditionalFormatting>
  <conditionalFormatting sqref="F153:G153">
    <cfRule type="cellIs" dxfId="432" priority="7" operator="greaterThan">
      <formula>0.917</formula>
    </cfRule>
  </conditionalFormatting>
  <conditionalFormatting sqref="F156:G156">
    <cfRule type="cellIs" dxfId="431" priority="10" operator="greaterThan">
      <formula>0.917</formula>
    </cfRule>
  </conditionalFormatting>
  <conditionalFormatting sqref="F160:G168 C161:D168">
    <cfRule type="containsBlanks" dxfId="430" priority="43">
      <formula>LEN(TRIM(C160))=0</formula>
    </cfRule>
  </conditionalFormatting>
  <conditionalFormatting sqref="F166:G166">
    <cfRule type="cellIs" dxfId="429" priority="9" operator="greaterThan">
      <formula>0.917</formula>
    </cfRule>
  </conditionalFormatting>
  <conditionalFormatting sqref="F168:G168">
    <cfRule type="cellIs" dxfId="428" priority="42" operator="greaterThan">
      <formula>0.917</formula>
    </cfRule>
  </conditionalFormatting>
  <conditionalFormatting sqref="H54:H65">
    <cfRule type="expression" dxfId="427" priority="6">
      <formula>WORKDAY(H$6+1,-1,祝祭日)&lt;&gt;H$6</formula>
    </cfRule>
  </conditionalFormatting>
  <conditionalFormatting sqref="J9:J20">
    <cfRule type="expression" dxfId="426" priority="2">
      <formula>WORKDAY(J$95+1,-1,祝祭日)&lt;&gt;J$95</formula>
    </cfRule>
  </conditionalFormatting>
  <conditionalFormatting sqref="K1">
    <cfRule type="expression" dxfId="425" priority="36">
      <formula>$K$1&lt;&gt;""</formula>
    </cfRule>
  </conditionalFormatting>
  <conditionalFormatting sqref="K140:O145 Q140:AG145">
    <cfRule type="containsBlanks" dxfId="424" priority="14">
      <formula>LEN(TRIM(K140))=0</formula>
    </cfRule>
  </conditionalFormatting>
  <conditionalFormatting sqref="K9:AG20">
    <cfRule type="expression" dxfId="423" priority="3">
      <formula>WORKDAY(K$6+1,-1,祝祭日)&lt;&gt;K$6</formula>
    </cfRule>
  </conditionalFormatting>
  <conditionalFormatting sqref="N160">
    <cfRule type="containsBlanks" dxfId="422" priority="11">
      <formula>LEN(TRIM(N160))=0</formula>
    </cfRule>
  </conditionalFormatting>
  <conditionalFormatting sqref="O158:P158">
    <cfRule type="containsBlanks" dxfId="421" priority="13">
      <formula>LEN(TRIM(O158))=0</formula>
    </cfRule>
  </conditionalFormatting>
  <conditionalFormatting sqref="P170:W170">
    <cfRule type="expression" dxfId="420" priority="57">
      <formula>AND(訓練種別コード="001",AI21+AI44+AI66+AI88+#REF!+#REF!&gt;0)</formula>
    </cfRule>
  </conditionalFormatting>
  <conditionalFormatting sqref="Q172:Q177">
    <cfRule type="cellIs" dxfId="419" priority="48" stopIfTrue="1" operator="lessThan">
      <formula>28</formula>
    </cfRule>
  </conditionalFormatting>
  <conditionalFormatting sqref="Q160:R168 N161:O168">
    <cfRule type="containsBlanks" dxfId="418" priority="41">
      <formula>LEN(TRIM(N160))=0</formula>
    </cfRule>
  </conditionalFormatting>
  <conditionalFormatting sqref="Q166:R166">
    <cfRule type="cellIs" dxfId="417" priority="40" operator="greaterThan">
      <formula>0.917</formula>
    </cfRule>
  </conditionalFormatting>
  <conditionalFormatting sqref="Q168:R168">
    <cfRule type="cellIs" dxfId="416" priority="8" operator="greaterThan">
      <formula>0.917</formula>
    </cfRule>
  </conditionalFormatting>
  <conditionalFormatting sqref="X171:AB171 X172 AA172:AB172 X173:AB178">
    <cfRule type="expression" dxfId="415" priority="37">
      <formula>$X$171=""</formula>
    </cfRule>
  </conditionalFormatting>
  <conditionalFormatting sqref="AC178:AE178">
    <cfRule type="expression" dxfId="414" priority="16">
      <formula>AND(NOT(VALUE(訓練総時間)=訓練時間合計),NOT(VALUE(訓練総時間)=IF(様6_訓練時間合計="",0,様6_訓練時間合計)))</formula>
    </cfRule>
  </conditionalFormatting>
  <conditionalFormatting sqref="AF76:AF87">
    <cfRule type="expression" dxfId="413" priority="5">
      <formula>WORKDAY(AF$95+1,-1,祝祭日)&lt;&gt;AF$95</formula>
    </cfRule>
  </conditionalFormatting>
  <conditionalFormatting sqref="AH89:AI89">
    <cfRule type="expression" dxfId="412" priority="28">
      <formula>$AI89=""</formula>
    </cfRule>
  </conditionalFormatting>
  <conditionalFormatting sqref="AH111:AI111">
    <cfRule type="expression" dxfId="411" priority="27">
      <formula>$AI111=""</formula>
    </cfRule>
  </conditionalFormatting>
  <conditionalFormatting sqref="AH22:AJ23">
    <cfRule type="expression" dxfId="410" priority="32">
      <formula>$AI22=""</formula>
    </cfRule>
  </conditionalFormatting>
  <conditionalFormatting sqref="AH45:AJ46">
    <cfRule type="expression" dxfId="409" priority="31">
      <formula>$AI45=""</formula>
    </cfRule>
  </conditionalFormatting>
  <conditionalFormatting sqref="AH67:AJ68">
    <cfRule type="expression" dxfId="408" priority="30">
      <formula>$AI67=""</formula>
    </cfRule>
  </conditionalFormatting>
  <conditionalFormatting sqref="AH90:AJ90">
    <cfRule type="expression" dxfId="407" priority="29">
      <formula>$AI90=""</formula>
    </cfRule>
  </conditionalFormatting>
  <conditionalFormatting sqref="AH110:AJ110">
    <cfRule type="expression" dxfId="406" priority="26">
      <formula>$AI110=""</formula>
    </cfRule>
  </conditionalFormatting>
  <conditionalFormatting sqref="AH131:AJ132">
    <cfRule type="expression" dxfId="405" priority="25">
      <formula>$AI131=""</formula>
    </cfRule>
  </conditionalFormatting>
  <conditionalFormatting sqref="AH178:AL178">
    <cfRule type="expression" dxfId="404" priority="18">
      <formula>$AH$178=""</formula>
    </cfRule>
  </conditionalFormatting>
  <conditionalFormatting sqref="AI27:AL27">
    <cfRule type="expression" dxfId="403" priority="24">
      <formula>$C6=""</formula>
    </cfRule>
  </conditionalFormatting>
  <conditionalFormatting sqref="AI49:AL49">
    <cfRule type="expression" dxfId="402" priority="23">
      <formula>$C29=""</formula>
    </cfRule>
  </conditionalFormatting>
  <conditionalFormatting sqref="AI71:AL71">
    <cfRule type="expression" dxfId="401" priority="22">
      <formula>$C51=""</formula>
    </cfRule>
  </conditionalFormatting>
  <conditionalFormatting sqref="AI93:AL93">
    <cfRule type="expression" dxfId="400" priority="21">
      <formula>$C73=""</formula>
    </cfRule>
  </conditionalFormatting>
  <conditionalFormatting sqref="AI114:AL114">
    <cfRule type="expression" dxfId="399" priority="20">
      <formula>$C$95=""</formula>
    </cfRule>
  </conditionalFormatting>
  <conditionalFormatting sqref="AI135:AL135">
    <cfRule type="expression" dxfId="398" priority="19">
      <formula>$C$116=""</formula>
    </cfRule>
  </conditionalFormatting>
  <conditionalFormatting sqref="AK189:AL189">
    <cfRule type="expression" dxfId="397" priority="17">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EA29C7AA-637B-4F3E-954D-591E2654C8FD}">
      <formula1>"○"</formula1>
    </dataValidation>
    <dataValidation type="whole" imeMode="off" allowBlank="1" showInputMessage="1" showErrorMessage="1" sqref="C133:AG135 C47:AG49 C112:AG114 C69:AG71 C91:AG93 C24:AG27" xr:uid="{08141D9C-5535-4CCA-B2C4-D71A99122A92}">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D29E2F65-B229-40AB-91A3-E0CE8F8A7A60}"/>
    <dataValidation type="list" allowBlank="1" showInputMessage="1" showErrorMessage="1" sqref="C89:AG89 C45:AG45 C110:AG110 C22:AG22 C67:AG67 C131:AG131" xr:uid="{112B3820-7220-4EC3-9C8B-C76F60758ACF}">
      <formula1>"○,◎"</formula1>
    </dataValidation>
    <dataValidation imeMode="hiragana" allowBlank="1" showInputMessage="1" showErrorMessage="1" sqref="C118:AG130 C97:AG109 C31:AG43 C75:AG87 V140:AG145 C53:AG65 C8:AG20" xr:uid="{51CB85A7-FAF8-4A66-BB0C-001397A91B0F}"/>
  </dataValidations>
  <hyperlinks>
    <hyperlink ref="AJ150" location="様式7の１!B8" display="様式7の１作成へ" xr:uid="{080082DA-8C0F-44F9-837B-B197BAF1E23C}"/>
    <hyperlink ref="AJ152" location="一覧表!M42" display="一覧表へ戻る" xr:uid="{3591CF5E-0546-41A2-9640-E78E510AF541}"/>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来所日選択">
              <controlPr defaultSize="0" print="0" autoLine="0" autoPict="0">
                <anchor moveWithCells="1">
                  <from>
                    <xdr:col>4</xdr:col>
                    <xdr:colOff>335280</xdr:colOff>
                    <xdr:row>0</xdr:row>
                    <xdr:rowOff>182880</xdr:rowOff>
                  </from>
                  <to>
                    <xdr:col>9</xdr:col>
                    <xdr:colOff>0</xdr:colOff>
                    <xdr:row>1</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03153-5DE4-46CE-B392-5B53C887964C}">
  <sheetPr codeName="Sheet10"/>
  <dimension ref="A1:BQ248"/>
  <sheetViews>
    <sheetView zoomScale="80" zoomScaleNormal="80" zoomScaleSheetLayoutView="80" workbookViewId="0">
      <selection activeCell="Q24" sqref="Q24"/>
    </sheetView>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IF(OR(訓練月数=0,訓練月数=""),"訓練期間が入力されていません！！",IF(訓練月数=1,IF(訓練終了日&lt;=INDIRECT("開講スケジュール!D"&amp;[4]開講スケジュール!$D$2+1),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初歩から学ぶグラフィック・Webデザイナー養成科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45951</v>
      </c>
      <c r="D6" s="33">
        <f>IF(C6="","",C6+1)</f>
        <v>45952</v>
      </c>
      <c r="E6" s="33">
        <f t="shared" ref="E6:P6" si="1">IF(D6="","",D6+1)</f>
        <v>45953</v>
      </c>
      <c r="F6" s="33">
        <f t="shared" si="1"/>
        <v>45954</v>
      </c>
      <c r="G6" s="33">
        <f t="shared" si="1"/>
        <v>45955</v>
      </c>
      <c r="H6" s="33">
        <f t="shared" si="1"/>
        <v>45956</v>
      </c>
      <c r="I6" s="33">
        <f t="shared" si="1"/>
        <v>45957</v>
      </c>
      <c r="J6" s="33">
        <f t="shared" si="1"/>
        <v>45958</v>
      </c>
      <c r="K6" s="33">
        <f t="shared" si="1"/>
        <v>45959</v>
      </c>
      <c r="L6" s="33">
        <f t="shared" si="1"/>
        <v>45960</v>
      </c>
      <c r="M6" s="33">
        <f t="shared" si="1"/>
        <v>45961</v>
      </c>
      <c r="N6" s="33">
        <f t="shared" si="1"/>
        <v>45962</v>
      </c>
      <c r="O6" s="33">
        <f t="shared" si="1"/>
        <v>45963</v>
      </c>
      <c r="P6" s="33">
        <f t="shared" si="1"/>
        <v>45964</v>
      </c>
      <c r="Q6" s="33">
        <f t="shared" ref="Q6:AB6" si="2">IF(P6="","",IF(P6+1&gt;訓練終了日,"",P6+1))</f>
        <v>45965</v>
      </c>
      <c r="R6" s="33">
        <f t="shared" si="2"/>
        <v>45966</v>
      </c>
      <c r="S6" s="33">
        <f t="shared" si="2"/>
        <v>45967</v>
      </c>
      <c r="T6" s="33">
        <f t="shared" si="2"/>
        <v>45968</v>
      </c>
      <c r="U6" s="33">
        <f t="shared" si="2"/>
        <v>45969</v>
      </c>
      <c r="V6" s="33">
        <f t="shared" si="2"/>
        <v>45970</v>
      </c>
      <c r="W6" s="33">
        <f t="shared" si="2"/>
        <v>45971</v>
      </c>
      <c r="X6" s="33">
        <f t="shared" si="2"/>
        <v>45972</v>
      </c>
      <c r="Y6" s="33">
        <f t="shared" si="2"/>
        <v>45973</v>
      </c>
      <c r="Z6" s="33">
        <f t="shared" si="2"/>
        <v>45974</v>
      </c>
      <c r="AA6" s="33">
        <f t="shared" si="2"/>
        <v>45975</v>
      </c>
      <c r="AB6" s="33">
        <f t="shared" si="2"/>
        <v>45976</v>
      </c>
      <c r="AC6" s="33">
        <f>IF(AB6="","",IF(AB6+1&gt;訓練終了日,"",IF(AB6+1&gt;=EDATE(C6,1),"",AB6+1)))</f>
        <v>45977</v>
      </c>
      <c r="AD6" s="33">
        <f>IF(AC6="","",IF(AC6+1&gt;訓練終了日,"",IF(AC6+1&gt;=EDATE(C6,1),"",AC6+1)))</f>
        <v>45978</v>
      </c>
      <c r="AE6" s="33">
        <f>IF(AD6="","",IF(AD6+1&gt;訓練終了日,"",IF(AD6+1&gt;=EDATE(C6,1),"",AD6+1)))</f>
        <v>45979</v>
      </c>
      <c r="AF6" s="33">
        <f>IF(AE6="","",IF(AE6+1&gt;訓練終了日,"",IF(AE6+1&gt;=EDATE(C6,1),"",AE6+1)))</f>
        <v>45980</v>
      </c>
      <c r="AG6" s="33">
        <f>IF(AF6="","",IF(AF6+1&gt;訓練終了日,"",IF(AF6+1&gt;=EDATE(C6,1),"",AF6+1)))</f>
        <v>45981</v>
      </c>
      <c r="AH6" s="19"/>
      <c r="AI6" s="20"/>
      <c r="AJ6" s="20"/>
      <c r="AK6" s="20"/>
      <c r="AL6" s="20"/>
      <c r="AM6" s="20"/>
      <c r="AN6" s="20"/>
      <c r="AO6" s="34"/>
      <c r="AP6" s="20"/>
      <c r="AQ6" s="20"/>
      <c r="AR6" s="20"/>
      <c r="AS6" s="20"/>
      <c r="AT6" s="20"/>
      <c r="AU6" s="20"/>
      <c r="AV6" s="20"/>
    </row>
    <row r="7" spans="1:69" ht="18" customHeight="1">
      <c r="A7" s="35"/>
      <c r="B7" s="31" t="s">
        <v>52</v>
      </c>
      <c r="C7" s="36">
        <f t="shared" ref="C7:AG8" si="3">+C6</f>
        <v>45951</v>
      </c>
      <c r="D7" s="37">
        <f t="shared" si="3"/>
        <v>45952</v>
      </c>
      <c r="E7" s="37">
        <f t="shared" si="3"/>
        <v>45953</v>
      </c>
      <c r="F7" s="37">
        <f t="shared" si="3"/>
        <v>45954</v>
      </c>
      <c r="G7" s="37">
        <f t="shared" si="3"/>
        <v>45955</v>
      </c>
      <c r="H7" s="37">
        <f t="shared" si="3"/>
        <v>45956</v>
      </c>
      <c r="I7" s="37">
        <f t="shared" si="3"/>
        <v>45957</v>
      </c>
      <c r="J7" s="37">
        <f t="shared" si="3"/>
        <v>45958</v>
      </c>
      <c r="K7" s="37">
        <f t="shared" si="3"/>
        <v>45959</v>
      </c>
      <c r="L7" s="37">
        <f t="shared" si="3"/>
        <v>45960</v>
      </c>
      <c r="M7" s="37">
        <f t="shared" si="3"/>
        <v>45961</v>
      </c>
      <c r="N7" s="37">
        <f t="shared" si="3"/>
        <v>45962</v>
      </c>
      <c r="O7" s="37">
        <f t="shared" si="3"/>
        <v>45963</v>
      </c>
      <c r="P7" s="37">
        <f t="shared" si="3"/>
        <v>45964</v>
      </c>
      <c r="Q7" s="37">
        <f t="shared" si="3"/>
        <v>45965</v>
      </c>
      <c r="R7" s="37">
        <f t="shared" si="3"/>
        <v>45966</v>
      </c>
      <c r="S7" s="37">
        <f t="shared" si="3"/>
        <v>45967</v>
      </c>
      <c r="T7" s="37">
        <f t="shared" si="3"/>
        <v>45968</v>
      </c>
      <c r="U7" s="37">
        <f t="shared" si="3"/>
        <v>45969</v>
      </c>
      <c r="V7" s="37">
        <f t="shared" si="3"/>
        <v>45970</v>
      </c>
      <c r="W7" s="37">
        <f t="shared" si="3"/>
        <v>45971</v>
      </c>
      <c r="X7" s="37">
        <f t="shared" si="3"/>
        <v>45972</v>
      </c>
      <c r="Y7" s="37">
        <f t="shared" si="3"/>
        <v>45973</v>
      </c>
      <c r="Z7" s="37">
        <f t="shared" si="3"/>
        <v>45974</v>
      </c>
      <c r="AA7" s="37">
        <f t="shared" si="3"/>
        <v>45975</v>
      </c>
      <c r="AB7" s="37">
        <f t="shared" si="3"/>
        <v>45976</v>
      </c>
      <c r="AC7" s="37">
        <f t="shared" si="3"/>
        <v>45977</v>
      </c>
      <c r="AD7" s="37">
        <f t="shared" si="3"/>
        <v>45978</v>
      </c>
      <c r="AE7" s="37">
        <f t="shared" si="3"/>
        <v>45979</v>
      </c>
      <c r="AF7" s="37">
        <f t="shared" si="3"/>
        <v>45980</v>
      </c>
      <c r="AG7" s="38">
        <f t="shared" si="3"/>
        <v>45981</v>
      </c>
      <c r="AH7" s="19"/>
      <c r="AI7" s="20"/>
      <c r="AJ7" s="20"/>
      <c r="AK7" s="20"/>
      <c r="AL7" s="20"/>
      <c r="AM7" s="20"/>
      <c r="AN7" s="20"/>
      <c r="AO7" s="34"/>
      <c r="AP7" s="20"/>
      <c r="AQ7" s="20"/>
      <c r="AR7" s="20"/>
      <c r="AS7" s="20"/>
      <c r="AT7" s="20"/>
      <c r="AU7" s="20"/>
      <c r="AV7" s="20"/>
    </row>
    <row r="8" spans="1:69" ht="18" customHeight="1">
      <c r="A8" s="35"/>
      <c r="B8" s="31" t="s">
        <v>53</v>
      </c>
      <c r="C8" s="39">
        <f t="shared" si="3"/>
        <v>45951</v>
      </c>
      <c r="D8" s="39">
        <f t="shared" si="3"/>
        <v>45952</v>
      </c>
      <c r="E8" s="39">
        <f t="shared" si="3"/>
        <v>45953</v>
      </c>
      <c r="F8" s="39">
        <f t="shared" si="3"/>
        <v>45954</v>
      </c>
      <c r="G8" s="39">
        <f t="shared" si="3"/>
        <v>45955</v>
      </c>
      <c r="H8" s="39">
        <f t="shared" si="3"/>
        <v>45956</v>
      </c>
      <c r="I8" s="39">
        <f t="shared" si="3"/>
        <v>45957</v>
      </c>
      <c r="J8" s="39">
        <f t="shared" si="3"/>
        <v>45958</v>
      </c>
      <c r="K8" s="39">
        <f t="shared" si="3"/>
        <v>45959</v>
      </c>
      <c r="L8" s="39">
        <f t="shared" si="3"/>
        <v>45960</v>
      </c>
      <c r="M8" s="39">
        <f t="shared" si="3"/>
        <v>45961</v>
      </c>
      <c r="N8" s="39">
        <f t="shared" si="3"/>
        <v>45962</v>
      </c>
      <c r="O8" s="39">
        <f t="shared" si="3"/>
        <v>45963</v>
      </c>
      <c r="P8" s="39">
        <f t="shared" si="3"/>
        <v>45964</v>
      </c>
      <c r="Q8" s="39">
        <f t="shared" si="3"/>
        <v>45965</v>
      </c>
      <c r="R8" s="39">
        <f t="shared" si="3"/>
        <v>45966</v>
      </c>
      <c r="S8" s="39">
        <f t="shared" si="3"/>
        <v>45967</v>
      </c>
      <c r="T8" s="39">
        <f t="shared" si="3"/>
        <v>45968</v>
      </c>
      <c r="U8" s="39">
        <f t="shared" si="3"/>
        <v>45969</v>
      </c>
      <c r="V8" s="39">
        <f t="shared" si="3"/>
        <v>45970</v>
      </c>
      <c r="W8" s="39">
        <f t="shared" si="3"/>
        <v>45971</v>
      </c>
      <c r="X8" s="39">
        <f t="shared" si="3"/>
        <v>45972</v>
      </c>
      <c r="Y8" s="39">
        <f t="shared" si="3"/>
        <v>45973</v>
      </c>
      <c r="Z8" s="39">
        <f t="shared" si="3"/>
        <v>45974</v>
      </c>
      <c r="AA8" s="39">
        <f t="shared" si="3"/>
        <v>45975</v>
      </c>
      <c r="AB8" s="39">
        <f t="shared" si="3"/>
        <v>45976</v>
      </c>
      <c r="AC8" s="39">
        <f t="shared" si="3"/>
        <v>45977</v>
      </c>
      <c r="AD8" s="39">
        <f t="shared" si="3"/>
        <v>45978</v>
      </c>
      <c r="AE8" s="39">
        <f t="shared" si="3"/>
        <v>45979</v>
      </c>
      <c r="AF8" s="39">
        <f t="shared" si="3"/>
        <v>45980</v>
      </c>
      <c r="AG8" s="40">
        <f t="shared" si="3"/>
        <v>45981</v>
      </c>
      <c r="AH8" s="19"/>
      <c r="AI8" s="20"/>
      <c r="AJ8" s="20"/>
      <c r="AK8" s="20"/>
      <c r="AL8" s="20"/>
      <c r="AM8" s="20"/>
      <c r="AN8" s="20"/>
      <c r="AO8" s="20"/>
      <c r="AP8" s="20"/>
      <c r="AQ8" s="20"/>
      <c r="AR8" s="20"/>
      <c r="AS8" s="20"/>
      <c r="AT8" s="20"/>
      <c r="AU8" s="20"/>
      <c r="AV8" s="20"/>
    </row>
    <row r="9" spans="1:69" ht="18" customHeight="1">
      <c r="A9" s="411" t="s">
        <v>54</v>
      </c>
      <c r="B9" s="41"/>
      <c r="C9" s="423" t="s">
        <v>291</v>
      </c>
      <c r="D9" s="399" t="s">
        <v>259</v>
      </c>
      <c r="E9" s="399" t="s">
        <v>292</v>
      </c>
      <c r="F9" s="425" t="s">
        <v>215</v>
      </c>
      <c r="G9" s="399"/>
      <c r="H9" s="399"/>
      <c r="I9" s="399" t="s">
        <v>293</v>
      </c>
      <c r="J9" s="399" t="s">
        <v>260</v>
      </c>
      <c r="K9" s="399"/>
      <c r="L9" s="399" t="s">
        <v>260</v>
      </c>
      <c r="M9" s="399" t="s">
        <v>294</v>
      </c>
      <c r="N9" s="399"/>
      <c r="O9" s="399"/>
      <c r="P9" s="399"/>
      <c r="Q9" s="399" t="s">
        <v>295</v>
      </c>
      <c r="R9" s="399"/>
      <c r="S9" s="399" t="s">
        <v>296</v>
      </c>
      <c r="T9" s="399" t="s">
        <v>296</v>
      </c>
      <c r="U9" s="399" t="s">
        <v>57</v>
      </c>
      <c r="V9" s="399"/>
      <c r="W9" s="399"/>
      <c r="X9" s="399" t="s">
        <v>296</v>
      </c>
      <c r="Y9" s="399" t="s">
        <v>296</v>
      </c>
      <c r="Z9" s="399" t="s">
        <v>296</v>
      </c>
      <c r="AA9" s="399" t="s">
        <v>296</v>
      </c>
      <c r="AB9" s="399" t="s">
        <v>57</v>
      </c>
      <c r="AC9" s="399"/>
      <c r="AD9" s="399"/>
      <c r="AE9" s="399" t="s">
        <v>296</v>
      </c>
      <c r="AF9" s="399" t="s">
        <v>296</v>
      </c>
      <c r="AG9" s="426" t="s">
        <v>296</v>
      </c>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36"/>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36"/>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36"/>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36"/>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36"/>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36"/>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36"/>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36"/>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36"/>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36"/>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9"/>
      <c r="D20" s="401"/>
      <c r="E20" s="401"/>
      <c r="F20" s="437"/>
      <c r="G20" s="401"/>
      <c r="H20" s="401"/>
      <c r="I20" s="401"/>
      <c r="J20" s="401"/>
      <c r="K20" s="401"/>
      <c r="L20" s="401"/>
      <c r="M20" s="401"/>
      <c r="N20" s="401"/>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[4]機構処理!BI72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5</v>
      </c>
      <c r="E24" s="57">
        <v>6</v>
      </c>
      <c r="F24" s="57">
        <v>6</v>
      </c>
      <c r="G24" s="57"/>
      <c r="H24" s="57"/>
      <c r="I24" s="57">
        <v>6</v>
      </c>
      <c r="J24" s="57">
        <v>6</v>
      </c>
      <c r="K24" s="57"/>
      <c r="L24" s="57">
        <v>6</v>
      </c>
      <c r="M24" s="57">
        <v>6</v>
      </c>
      <c r="N24" s="57"/>
      <c r="O24" s="57"/>
      <c r="P24" s="57"/>
      <c r="Q24" s="57">
        <v>6</v>
      </c>
      <c r="R24" s="57"/>
      <c r="S24" s="57">
        <v>6</v>
      </c>
      <c r="T24" s="57">
        <v>6</v>
      </c>
      <c r="U24" s="57">
        <v>0</v>
      </c>
      <c r="V24" s="57"/>
      <c r="W24" s="57"/>
      <c r="X24" s="57">
        <v>6</v>
      </c>
      <c r="Y24" s="57">
        <v>6</v>
      </c>
      <c r="Z24" s="57">
        <v>6</v>
      </c>
      <c r="AA24" s="57">
        <v>6</v>
      </c>
      <c r="AB24" s="57">
        <v>0</v>
      </c>
      <c r="AC24" s="57"/>
      <c r="AD24" s="57"/>
      <c r="AE24" s="57">
        <v>6</v>
      </c>
      <c r="AF24" s="57">
        <v>6</v>
      </c>
      <c r="AG24" s="58">
        <v>6</v>
      </c>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1</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IF(C6="","",[4]機構処理!BF29)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45982</v>
      </c>
      <c r="D29" s="33">
        <f t="shared" ref="D29:AD29" si="5">IF(OR(C29="",C28="修了日"),"",C29+1)</f>
        <v>45983</v>
      </c>
      <c r="E29" s="33">
        <f t="shared" si="5"/>
        <v>45984</v>
      </c>
      <c r="F29" s="33">
        <f t="shared" si="5"/>
        <v>45985</v>
      </c>
      <c r="G29" s="33">
        <f t="shared" si="5"/>
        <v>45986</v>
      </c>
      <c r="H29" s="33">
        <f t="shared" si="5"/>
        <v>45987</v>
      </c>
      <c r="I29" s="33">
        <f t="shared" si="5"/>
        <v>45988</v>
      </c>
      <c r="J29" s="33">
        <f t="shared" si="5"/>
        <v>45989</v>
      </c>
      <c r="K29" s="33">
        <f t="shared" si="5"/>
        <v>45990</v>
      </c>
      <c r="L29" s="33">
        <f t="shared" si="5"/>
        <v>45991</v>
      </c>
      <c r="M29" s="33">
        <f t="shared" si="5"/>
        <v>45992</v>
      </c>
      <c r="N29" s="33">
        <f t="shared" si="5"/>
        <v>45993</v>
      </c>
      <c r="O29" s="33">
        <f t="shared" si="5"/>
        <v>45994</v>
      </c>
      <c r="P29" s="33">
        <f t="shared" si="5"/>
        <v>45995</v>
      </c>
      <c r="Q29" s="33">
        <f t="shared" si="5"/>
        <v>45996</v>
      </c>
      <c r="R29" s="33">
        <f t="shared" si="5"/>
        <v>45997</v>
      </c>
      <c r="S29" s="33">
        <f t="shared" si="5"/>
        <v>45998</v>
      </c>
      <c r="T29" s="33">
        <f t="shared" si="5"/>
        <v>45999</v>
      </c>
      <c r="U29" s="33">
        <f t="shared" si="5"/>
        <v>46000</v>
      </c>
      <c r="V29" s="33">
        <f t="shared" si="5"/>
        <v>46001</v>
      </c>
      <c r="W29" s="33">
        <f t="shared" si="5"/>
        <v>46002</v>
      </c>
      <c r="X29" s="33">
        <f t="shared" si="5"/>
        <v>46003</v>
      </c>
      <c r="Y29" s="33">
        <f t="shared" si="5"/>
        <v>46004</v>
      </c>
      <c r="Z29" s="33">
        <f t="shared" si="5"/>
        <v>46005</v>
      </c>
      <c r="AA29" s="33">
        <f t="shared" si="5"/>
        <v>46006</v>
      </c>
      <c r="AB29" s="33">
        <f t="shared" si="5"/>
        <v>46007</v>
      </c>
      <c r="AC29" s="33">
        <f t="shared" si="5"/>
        <v>46008</v>
      </c>
      <c r="AD29" s="33">
        <f t="shared" si="5"/>
        <v>46009</v>
      </c>
      <c r="AE29" s="33">
        <f>IF(OR(AD29="",AD28="修了日"),"",IF(AND(DAY(DATE(YEAR(C29),2,29))=29,MONTH(C29)=2),AD29+1,IF(MONTH(C29)=2,"",AD29+1)))</f>
        <v>46010</v>
      </c>
      <c r="AF29" s="33">
        <f>IF(OR(AE29="",AE28="修了日"),"",IF(MONTH(C29)=2,"",AE29+1))</f>
        <v>46011</v>
      </c>
      <c r="AG29" s="65" t="str">
        <f>IF(OR(AF29="",AF28="修了日"),"",IF(OR(MONTH(C29)=2,MONTH(C29)=4,MONTH(C29)=6,MONTH(C29)=9,MONTH(C29)=11),"",AF29+1))</f>
        <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45982</v>
      </c>
      <c r="D30" s="67">
        <f t="shared" si="6"/>
        <v>45983</v>
      </c>
      <c r="E30" s="67">
        <f t="shared" si="6"/>
        <v>45984</v>
      </c>
      <c r="F30" s="67">
        <f t="shared" si="6"/>
        <v>45985</v>
      </c>
      <c r="G30" s="67">
        <f t="shared" si="6"/>
        <v>45986</v>
      </c>
      <c r="H30" s="67">
        <f t="shared" si="6"/>
        <v>45987</v>
      </c>
      <c r="I30" s="67">
        <f t="shared" si="6"/>
        <v>45988</v>
      </c>
      <c r="J30" s="67">
        <f t="shared" si="6"/>
        <v>45989</v>
      </c>
      <c r="K30" s="67">
        <f t="shared" si="6"/>
        <v>45990</v>
      </c>
      <c r="L30" s="67">
        <f t="shared" si="6"/>
        <v>45991</v>
      </c>
      <c r="M30" s="67">
        <f t="shared" si="6"/>
        <v>45992</v>
      </c>
      <c r="N30" s="67">
        <f t="shared" si="6"/>
        <v>45993</v>
      </c>
      <c r="O30" s="67">
        <f t="shared" si="6"/>
        <v>45994</v>
      </c>
      <c r="P30" s="67">
        <f t="shared" si="6"/>
        <v>45995</v>
      </c>
      <c r="Q30" s="67">
        <f t="shared" si="6"/>
        <v>45996</v>
      </c>
      <c r="R30" s="67">
        <f t="shared" si="6"/>
        <v>45997</v>
      </c>
      <c r="S30" s="67">
        <f t="shared" si="6"/>
        <v>45998</v>
      </c>
      <c r="T30" s="67">
        <f t="shared" si="6"/>
        <v>45999</v>
      </c>
      <c r="U30" s="67">
        <f t="shared" si="6"/>
        <v>46000</v>
      </c>
      <c r="V30" s="67">
        <f t="shared" si="6"/>
        <v>46001</v>
      </c>
      <c r="W30" s="67">
        <f t="shared" si="6"/>
        <v>46002</v>
      </c>
      <c r="X30" s="67">
        <f t="shared" si="6"/>
        <v>46003</v>
      </c>
      <c r="Y30" s="67">
        <f t="shared" si="6"/>
        <v>46004</v>
      </c>
      <c r="Z30" s="67">
        <f t="shared" si="6"/>
        <v>46005</v>
      </c>
      <c r="AA30" s="67">
        <f t="shared" si="6"/>
        <v>46006</v>
      </c>
      <c r="AB30" s="67">
        <f>IF(AB29="","",+AB29)</f>
        <v>46007</v>
      </c>
      <c r="AC30" s="67">
        <f t="shared" si="6"/>
        <v>46008</v>
      </c>
      <c r="AD30" s="37">
        <f t="shared" si="6"/>
        <v>46009</v>
      </c>
      <c r="AE30" s="67">
        <f t="shared" si="6"/>
        <v>46010</v>
      </c>
      <c r="AF30" s="67">
        <f t="shared" si="6"/>
        <v>46011</v>
      </c>
      <c r="AG30" s="68" t="str">
        <f t="shared" si="6"/>
        <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45982</v>
      </c>
      <c r="D31" s="39">
        <f t="shared" si="6"/>
        <v>45983</v>
      </c>
      <c r="E31" s="39">
        <f t="shared" si="6"/>
        <v>45984</v>
      </c>
      <c r="F31" s="39">
        <f t="shared" si="6"/>
        <v>45985</v>
      </c>
      <c r="G31" s="39">
        <f t="shared" si="6"/>
        <v>45986</v>
      </c>
      <c r="H31" s="39">
        <f t="shared" si="6"/>
        <v>45987</v>
      </c>
      <c r="I31" s="39">
        <f t="shared" si="6"/>
        <v>45988</v>
      </c>
      <c r="J31" s="39">
        <f t="shared" si="6"/>
        <v>45989</v>
      </c>
      <c r="K31" s="39">
        <f t="shared" si="6"/>
        <v>45990</v>
      </c>
      <c r="L31" s="39">
        <f t="shared" si="6"/>
        <v>45991</v>
      </c>
      <c r="M31" s="39">
        <f t="shared" si="6"/>
        <v>45992</v>
      </c>
      <c r="N31" s="39">
        <f t="shared" si="6"/>
        <v>45993</v>
      </c>
      <c r="O31" s="39">
        <f t="shared" si="6"/>
        <v>45994</v>
      </c>
      <c r="P31" s="39">
        <f t="shared" si="6"/>
        <v>45995</v>
      </c>
      <c r="Q31" s="39">
        <f t="shared" si="6"/>
        <v>45996</v>
      </c>
      <c r="R31" s="39">
        <f t="shared" si="6"/>
        <v>45997</v>
      </c>
      <c r="S31" s="39">
        <f t="shared" si="6"/>
        <v>45998</v>
      </c>
      <c r="T31" s="39">
        <f t="shared" si="6"/>
        <v>45999</v>
      </c>
      <c r="U31" s="39">
        <f t="shared" si="6"/>
        <v>46000</v>
      </c>
      <c r="V31" s="39">
        <f t="shared" si="6"/>
        <v>46001</v>
      </c>
      <c r="W31" s="39">
        <f t="shared" si="6"/>
        <v>46002</v>
      </c>
      <c r="X31" s="39">
        <f t="shared" si="6"/>
        <v>46003</v>
      </c>
      <c r="Y31" s="39">
        <f t="shared" si="6"/>
        <v>46004</v>
      </c>
      <c r="Z31" s="39">
        <f t="shared" si="6"/>
        <v>46005</v>
      </c>
      <c r="AA31" s="39">
        <f t="shared" si="6"/>
        <v>46006</v>
      </c>
      <c r="AB31" s="39">
        <f t="shared" si="6"/>
        <v>46007</v>
      </c>
      <c r="AC31" s="39">
        <f t="shared" si="6"/>
        <v>46008</v>
      </c>
      <c r="AD31" s="39">
        <f t="shared" si="6"/>
        <v>46009</v>
      </c>
      <c r="AE31" s="39">
        <f t="shared" si="6"/>
        <v>46010</v>
      </c>
      <c r="AF31" s="39">
        <f t="shared" si="6"/>
        <v>46011</v>
      </c>
      <c r="AG31" s="40" t="str">
        <f t="shared" si="6"/>
        <v/>
      </c>
      <c r="AH31" s="19"/>
      <c r="AI31" s="20"/>
      <c r="AJ31" s="20"/>
      <c r="AK31" s="20"/>
      <c r="AL31" s="20"/>
      <c r="AM31" s="20"/>
      <c r="AN31" s="20"/>
      <c r="AO31" s="20"/>
      <c r="AP31" s="20"/>
      <c r="AQ31" s="20"/>
      <c r="AR31" s="20"/>
      <c r="AS31" s="20"/>
      <c r="AT31" s="20"/>
      <c r="AU31" s="20"/>
      <c r="AV31" s="20"/>
    </row>
    <row r="32" spans="1:48" ht="18" customHeight="1">
      <c r="A32" s="411" t="s">
        <v>247</v>
      </c>
      <c r="B32" s="41"/>
      <c r="C32" s="412" t="s">
        <v>296</v>
      </c>
      <c r="D32" s="399" t="s">
        <v>297</v>
      </c>
      <c r="E32" s="399"/>
      <c r="F32" s="399"/>
      <c r="G32" s="399" t="s">
        <v>244</v>
      </c>
      <c r="H32" s="399" t="s">
        <v>245</v>
      </c>
      <c r="I32" s="399" t="s">
        <v>298</v>
      </c>
      <c r="J32" s="399"/>
      <c r="K32" s="399" t="s">
        <v>297</v>
      </c>
      <c r="L32" s="399" t="s">
        <v>297</v>
      </c>
      <c r="M32" s="399" t="s">
        <v>298</v>
      </c>
      <c r="N32" s="399" t="s">
        <v>298</v>
      </c>
      <c r="O32" s="399" t="s">
        <v>298</v>
      </c>
      <c r="P32" s="399" t="s">
        <v>298</v>
      </c>
      <c r="Q32" s="399" t="str">
        <f t="shared" ref="Q32:AG32" si="7">IF(Q$31="","",IF(Q$31=$K$150,"ハローワーク来所日①",""))</f>
        <v>ハローワーク来所日①</v>
      </c>
      <c r="R32" s="399"/>
      <c r="S32" s="399" t="s">
        <v>297</v>
      </c>
      <c r="T32" s="399" t="s">
        <v>298</v>
      </c>
      <c r="U32" s="399" t="s">
        <v>298</v>
      </c>
      <c r="V32" s="399" t="s">
        <v>298</v>
      </c>
      <c r="W32" s="399" t="s">
        <v>298</v>
      </c>
      <c r="X32" s="399" t="s">
        <v>298</v>
      </c>
      <c r="Y32" s="399"/>
      <c r="Z32" s="399" t="s">
        <v>297</v>
      </c>
      <c r="AA32" s="399"/>
      <c r="AB32" s="399" t="s">
        <v>299</v>
      </c>
      <c r="AC32" s="399" t="s">
        <v>299</v>
      </c>
      <c r="AD32" s="399" t="s">
        <v>299</v>
      </c>
      <c r="AE32" s="399" t="s">
        <v>299</v>
      </c>
      <c r="AF32" s="399" t="str">
        <f t="shared" si="7"/>
        <v/>
      </c>
      <c r="AG32" s="402" t="str">
        <f t="shared" si="7"/>
        <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t="s">
        <v>64</v>
      </c>
      <c r="H45" s="49"/>
      <c r="I45" s="49"/>
      <c r="J45" s="44"/>
      <c r="K45" s="44"/>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[4]機構処理!BI77</f>
        <v/>
      </c>
      <c r="AJ46" s="418"/>
      <c r="AK46" s="70"/>
      <c r="AL46" s="70"/>
      <c r="AM46" s="70"/>
      <c r="AN46" s="70"/>
      <c r="AO46" s="70"/>
      <c r="AP46" s="20"/>
      <c r="AQ46" s="20"/>
      <c r="AR46" s="20"/>
      <c r="AS46" s="20"/>
      <c r="AT46" s="20"/>
      <c r="AU46" s="20"/>
      <c r="AV46" s="20"/>
    </row>
    <row r="47" spans="1:48" ht="18" customHeight="1">
      <c r="A47" s="35"/>
      <c r="B47" s="407" t="s">
        <v>66</v>
      </c>
      <c r="C47" s="57">
        <v>6</v>
      </c>
      <c r="D47" s="57"/>
      <c r="E47" s="57"/>
      <c r="F47" s="57"/>
      <c r="G47" s="57">
        <v>6</v>
      </c>
      <c r="H47" s="57">
        <v>6</v>
      </c>
      <c r="I47" s="57">
        <v>6</v>
      </c>
      <c r="J47" s="57"/>
      <c r="K47" s="57"/>
      <c r="L47" s="57"/>
      <c r="M47" s="57">
        <v>6</v>
      </c>
      <c r="N47" s="57">
        <v>6</v>
      </c>
      <c r="O47" s="57">
        <v>6</v>
      </c>
      <c r="P47" s="57">
        <v>6</v>
      </c>
      <c r="Q47" s="57"/>
      <c r="R47" s="57"/>
      <c r="S47" s="57"/>
      <c r="T47" s="57">
        <v>6</v>
      </c>
      <c r="U47" s="57">
        <v>6</v>
      </c>
      <c r="V47" s="57">
        <v>6</v>
      </c>
      <c r="W47" s="57">
        <v>6</v>
      </c>
      <c r="X47" s="57">
        <v>6</v>
      </c>
      <c r="Y47" s="57"/>
      <c r="Z47" s="57"/>
      <c r="AA47" s="57"/>
      <c r="AB47" s="57">
        <v>6</v>
      </c>
      <c r="AC47" s="57">
        <v>6</v>
      </c>
      <c r="AD47" s="57">
        <v>6</v>
      </c>
      <c r="AE47" s="57">
        <v>6</v>
      </c>
      <c r="AF47" s="57"/>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IF(C29="","",[4]機構処理!BF35)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46012</v>
      </c>
      <c r="D51" s="33">
        <f t="shared" ref="D51:AD51" si="9">IF(OR(C51="",C50="修了日"),"",C51+1)</f>
        <v>46013</v>
      </c>
      <c r="E51" s="33">
        <f t="shared" si="9"/>
        <v>46014</v>
      </c>
      <c r="F51" s="33">
        <f t="shared" si="9"/>
        <v>46015</v>
      </c>
      <c r="G51" s="33">
        <f t="shared" si="9"/>
        <v>46016</v>
      </c>
      <c r="H51" s="33">
        <f t="shared" si="9"/>
        <v>46017</v>
      </c>
      <c r="I51" s="33">
        <f t="shared" si="9"/>
        <v>46018</v>
      </c>
      <c r="J51" s="33">
        <f t="shared" si="9"/>
        <v>46019</v>
      </c>
      <c r="K51" s="33">
        <f t="shared" si="9"/>
        <v>46020</v>
      </c>
      <c r="L51" s="33">
        <f t="shared" si="9"/>
        <v>46021</v>
      </c>
      <c r="M51" s="33">
        <f t="shared" si="9"/>
        <v>46022</v>
      </c>
      <c r="N51" s="33">
        <f t="shared" si="9"/>
        <v>46023</v>
      </c>
      <c r="O51" s="33">
        <f t="shared" si="9"/>
        <v>46024</v>
      </c>
      <c r="P51" s="33">
        <f t="shared" si="9"/>
        <v>46025</v>
      </c>
      <c r="Q51" s="33">
        <f t="shared" si="9"/>
        <v>46026</v>
      </c>
      <c r="R51" s="33">
        <f t="shared" si="9"/>
        <v>46027</v>
      </c>
      <c r="S51" s="33">
        <f t="shared" si="9"/>
        <v>46028</v>
      </c>
      <c r="T51" s="33">
        <f t="shared" si="9"/>
        <v>46029</v>
      </c>
      <c r="U51" s="33">
        <f t="shared" si="9"/>
        <v>46030</v>
      </c>
      <c r="V51" s="33">
        <f t="shared" si="9"/>
        <v>46031</v>
      </c>
      <c r="W51" s="33">
        <f t="shared" si="9"/>
        <v>46032</v>
      </c>
      <c r="X51" s="33">
        <f t="shared" si="9"/>
        <v>46033</v>
      </c>
      <c r="Y51" s="33">
        <f t="shared" si="9"/>
        <v>46034</v>
      </c>
      <c r="Z51" s="33">
        <f t="shared" si="9"/>
        <v>46035</v>
      </c>
      <c r="AA51" s="33">
        <f t="shared" si="9"/>
        <v>46036</v>
      </c>
      <c r="AB51" s="33">
        <f t="shared" si="9"/>
        <v>46037</v>
      </c>
      <c r="AC51" s="33">
        <f t="shared" si="9"/>
        <v>46038</v>
      </c>
      <c r="AD51" s="33">
        <f t="shared" si="9"/>
        <v>46039</v>
      </c>
      <c r="AE51" s="33">
        <f>IF(OR(AD51="",AD50="修了日"),"",IF(AND(DAY(DATE(YEAR(C51),2,29))=29,MONTH(C51)=2),AD51+1,IF(MONTH(C51)=2,"",AD51+1)))</f>
        <v>46040</v>
      </c>
      <c r="AF51" s="33">
        <f>IF(OR(AE51="",AE50="修了日"),"",IF(MONTH(C51)=2,"",AE51+1))</f>
        <v>46041</v>
      </c>
      <c r="AG51" s="65">
        <f>IF(OR(AF51="",AF50="修了日"),"",IF(OR(MONTH(C51)=2,MONTH(C51)=4,MONTH(C51)=6,MONTH(C51)=9,MONTH(C51)=11),"",AF51+1))</f>
        <v>46042</v>
      </c>
      <c r="AH51" s="19"/>
      <c r="AI51" s="20"/>
      <c r="AJ51" s="20"/>
      <c r="AK51" s="20"/>
      <c r="AL51" s="20"/>
      <c r="AM51" s="20"/>
      <c r="AN51" s="20"/>
      <c r="AO51" s="20"/>
      <c r="AP51" s="20"/>
      <c r="AQ51" s="20"/>
      <c r="AR51" s="20"/>
      <c r="AS51" s="20"/>
      <c r="AT51" s="20"/>
      <c r="AU51" s="20"/>
      <c r="AV51" s="20"/>
    </row>
    <row r="52" spans="1:48" ht="18" customHeight="1">
      <c r="A52" s="35"/>
      <c r="B52" s="31" t="s">
        <v>52</v>
      </c>
      <c r="C52" s="67">
        <f>+C51</f>
        <v>46012</v>
      </c>
      <c r="D52" s="67">
        <f t="shared" ref="D52:AG53" si="10">IF(D51="","",+D51)</f>
        <v>46013</v>
      </c>
      <c r="E52" s="67">
        <f t="shared" si="10"/>
        <v>46014</v>
      </c>
      <c r="F52" s="67">
        <f t="shared" si="10"/>
        <v>46015</v>
      </c>
      <c r="G52" s="67">
        <f t="shared" si="10"/>
        <v>46016</v>
      </c>
      <c r="H52" s="67">
        <f t="shared" si="10"/>
        <v>46017</v>
      </c>
      <c r="I52" s="67">
        <f t="shared" si="10"/>
        <v>46018</v>
      </c>
      <c r="J52" s="67">
        <f t="shared" si="10"/>
        <v>46019</v>
      </c>
      <c r="K52" s="67">
        <f t="shared" si="10"/>
        <v>46020</v>
      </c>
      <c r="L52" s="67">
        <f t="shared" si="10"/>
        <v>46021</v>
      </c>
      <c r="M52" s="67">
        <f t="shared" si="10"/>
        <v>46022</v>
      </c>
      <c r="N52" s="67">
        <f t="shared" si="10"/>
        <v>46023</v>
      </c>
      <c r="O52" s="67">
        <f t="shared" si="10"/>
        <v>46024</v>
      </c>
      <c r="P52" s="67">
        <f t="shared" si="10"/>
        <v>46025</v>
      </c>
      <c r="Q52" s="67">
        <f t="shared" si="10"/>
        <v>46026</v>
      </c>
      <c r="R52" s="67">
        <f t="shared" si="10"/>
        <v>46027</v>
      </c>
      <c r="S52" s="67">
        <f t="shared" si="10"/>
        <v>46028</v>
      </c>
      <c r="T52" s="67">
        <f t="shared" si="10"/>
        <v>46029</v>
      </c>
      <c r="U52" s="67">
        <f t="shared" si="10"/>
        <v>46030</v>
      </c>
      <c r="V52" s="67">
        <f t="shared" si="10"/>
        <v>46031</v>
      </c>
      <c r="W52" s="67">
        <f t="shared" si="10"/>
        <v>46032</v>
      </c>
      <c r="X52" s="67">
        <f t="shared" si="10"/>
        <v>46033</v>
      </c>
      <c r="Y52" s="67">
        <f t="shared" si="10"/>
        <v>46034</v>
      </c>
      <c r="Z52" s="67">
        <f t="shared" si="10"/>
        <v>46035</v>
      </c>
      <c r="AA52" s="67">
        <f t="shared" si="10"/>
        <v>46036</v>
      </c>
      <c r="AB52" s="67">
        <f t="shared" si="10"/>
        <v>46037</v>
      </c>
      <c r="AC52" s="67">
        <f t="shared" si="10"/>
        <v>46038</v>
      </c>
      <c r="AD52" s="67">
        <f t="shared" si="10"/>
        <v>46039</v>
      </c>
      <c r="AE52" s="67">
        <f t="shared" si="10"/>
        <v>46040</v>
      </c>
      <c r="AF52" s="67">
        <f t="shared" si="10"/>
        <v>46041</v>
      </c>
      <c r="AG52" s="38">
        <f t="shared" si="10"/>
        <v>46042</v>
      </c>
      <c r="AH52" s="19"/>
      <c r="AI52" s="20"/>
      <c r="AJ52" s="20"/>
      <c r="AK52" s="20"/>
      <c r="AL52" s="20"/>
      <c r="AM52" s="20"/>
      <c r="AN52" s="20"/>
      <c r="AO52" s="20"/>
      <c r="AP52" s="20"/>
      <c r="AQ52" s="20"/>
      <c r="AR52" s="20"/>
      <c r="AS52" s="20"/>
      <c r="AT52" s="20"/>
      <c r="AU52" s="20"/>
      <c r="AV52" s="20"/>
    </row>
    <row r="53" spans="1:48" ht="18" customHeight="1">
      <c r="A53" s="35"/>
      <c r="B53" s="31" t="s">
        <v>53</v>
      </c>
      <c r="C53" s="39">
        <f>+C52</f>
        <v>46012</v>
      </c>
      <c r="D53" s="39">
        <f t="shared" si="10"/>
        <v>46013</v>
      </c>
      <c r="E53" s="39">
        <f t="shared" si="10"/>
        <v>46014</v>
      </c>
      <c r="F53" s="39">
        <f t="shared" si="10"/>
        <v>46015</v>
      </c>
      <c r="G53" s="39">
        <f t="shared" si="10"/>
        <v>46016</v>
      </c>
      <c r="H53" s="39">
        <f t="shared" si="10"/>
        <v>46017</v>
      </c>
      <c r="I53" s="39">
        <f t="shared" si="10"/>
        <v>46018</v>
      </c>
      <c r="J53" s="39">
        <f t="shared" si="10"/>
        <v>46019</v>
      </c>
      <c r="K53" s="39">
        <f t="shared" si="10"/>
        <v>46020</v>
      </c>
      <c r="L53" s="39">
        <f t="shared" si="10"/>
        <v>46021</v>
      </c>
      <c r="M53" s="39">
        <f t="shared" si="10"/>
        <v>46022</v>
      </c>
      <c r="N53" s="39">
        <f t="shared" si="10"/>
        <v>46023</v>
      </c>
      <c r="O53" s="39">
        <f t="shared" si="10"/>
        <v>46024</v>
      </c>
      <c r="P53" s="39">
        <f t="shared" si="10"/>
        <v>46025</v>
      </c>
      <c r="Q53" s="39">
        <f t="shared" si="10"/>
        <v>46026</v>
      </c>
      <c r="R53" s="39">
        <f t="shared" si="10"/>
        <v>46027</v>
      </c>
      <c r="S53" s="39">
        <f t="shared" si="10"/>
        <v>46028</v>
      </c>
      <c r="T53" s="39">
        <f t="shared" si="10"/>
        <v>46029</v>
      </c>
      <c r="U53" s="39">
        <f t="shared" si="10"/>
        <v>46030</v>
      </c>
      <c r="V53" s="39">
        <f t="shared" si="10"/>
        <v>46031</v>
      </c>
      <c r="W53" s="39">
        <f t="shared" si="10"/>
        <v>46032</v>
      </c>
      <c r="X53" s="39">
        <f t="shared" si="10"/>
        <v>46033</v>
      </c>
      <c r="Y53" s="39">
        <f t="shared" si="10"/>
        <v>46034</v>
      </c>
      <c r="Z53" s="39">
        <f t="shared" si="10"/>
        <v>46035</v>
      </c>
      <c r="AA53" s="39">
        <f t="shared" si="10"/>
        <v>46036</v>
      </c>
      <c r="AB53" s="39">
        <f t="shared" si="10"/>
        <v>46037</v>
      </c>
      <c r="AC53" s="39">
        <f t="shared" si="10"/>
        <v>46038</v>
      </c>
      <c r="AD53" s="39">
        <f t="shared" si="10"/>
        <v>46039</v>
      </c>
      <c r="AE53" s="39">
        <f t="shared" si="10"/>
        <v>46040</v>
      </c>
      <c r="AF53" s="39">
        <f t="shared" si="10"/>
        <v>46041</v>
      </c>
      <c r="AG53" s="40">
        <f t="shared" si="10"/>
        <v>46042</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E54" si="11">IF(C$53="","",IF(C$53=$K$151,"ハローワーク来所日②",""))</f>
        <v/>
      </c>
      <c r="D54" s="399" t="s">
        <v>299</v>
      </c>
      <c r="E54" s="399" t="s">
        <v>299</v>
      </c>
      <c r="F54" s="399" t="s">
        <v>299</v>
      </c>
      <c r="G54" s="399" t="s">
        <v>299</v>
      </c>
      <c r="H54" s="399"/>
      <c r="I54" s="399"/>
      <c r="J54" s="399"/>
      <c r="K54" s="399"/>
      <c r="L54" s="399"/>
      <c r="M54" s="399"/>
      <c r="N54" s="399"/>
      <c r="O54" s="399"/>
      <c r="P54" s="399"/>
      <c r="Q54" s="399"/>
      <c r="R54" s="399" t="s">
        <v>286</v>
      </c>
      <c r="S54" s="399" t="s">
        <v>246</v>
      </c>
      <c r="T54" s="399" t="str">
        <f t="shared" si="11"/>
        <v>ハローワーク来所日②</v>
      </c>
      <c r="U54" s="399" t="s">
        <v>203</v>
      </c>
      <c r="V54" s="399" t="s">
        <v>300</v>
      </c>
      <c r="W54" s="399" t="s">
        <v>67</v>
      </c>
      <c r="X54" s="399"/>
      <c r="Y54" s="399"/>
      <c r="Z54" s="399" t="s">
        <v>300</v>
      </c>
      <c r="AA54" s="399" t="s">
        <v>300</v>
      </c>
      <c r="AB54" s="399" t="s">
        <v>300</v>
      </c>
      <c r="AC54" s="399" t="s">
        <v>300</v>
      </c>
      <c r="AD54" s="399" t="s">
        <v>67</v>
      </c>
      <c r="AE54" s="399" t="str">
        <f t="shared" si="11"/>
        <v/>
      </c>
      <c r="AF54" s="399" t="s">
        <v>300</v>
      </c>
      <c r="AG54" s="402" t="s">
        <v>300</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4"/>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t="s">
        <v>64</v>
      </c>
      <c r="H67" s="49"/>
      <c r="I67" s="49"/>
      <c r="J67" s="44"/>
      <c r="K67" s="44"/>
      <c r="L67" s="44"/>
      <c r="M67" s="44"/>
      <c r="N67" s="44"/>
      <c r="O67" s="49"/>
      <c r="P67" s="49"/>
      <c r="Q67" s="44"/>
      <c r="R67" s="49"/>
      <c r="S67" s="44"/>
      <c r="T67" s="49"/>
      <c r="U67" s="49"/>
      <c r="V67" s="49"/>
      <c r="W67" s="49"/>
      <c r="X67" s="44"/>
      <c r="Y67" s="44"/>
      <c r="Z67" s="44"/>
      <c r="AA67" s="44"/>
      <c r="AB67" s="49"/>
      <c r="AC67" s="49"/>
      <c r="AD67" s="44"/>
      <c r="AE67" s="44"/>
      <c r="AF67" s="49"/>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4"/>
      <c r="S68" s="53"/>
      <c r="T68" s="54"/>
      <c r="U68" s="54"/>
      <c r="V68" s="54"/>
      <c r="W68" s="54"/>
      <c r="X68" s="53"/>
      <c r="Y68" s="53"/>
      <c r="Z68" s="53"/>
      <c r="AA68" s="53"/>
      <c r="AB68" s="54"/>
      <c r="AC68" s="54"/>
      <c r="AD68" s="53"/>
      <c r="AE68" s="53"/>
      <c r="AF68" s="54"/>
      <c r="AG68" s="71"/>
      <c r="AH68" s="132" t="str">
        <f>IF(AI68="","","←")</f>
        <v/>
      </c>
      <c r="AI68" s="416" t="str">
        <f>[4]機構処理!BI81</f>
        <v/>
      </c>
      <c r="AJ68" s="416"/>
      <c r="AK68" s="72"/>
      <c r="AL68" s="70"/>
      <c r="AM68" s="72"/>
      <c r="AN68" s="72"/>
      <c r="AO68" s="72"/>
      <c r="AP68" s="20"/>
      <c r="AQ68" s="20"/>
      <c r="AR68" s="20"/>
      <c r="AS68" s="20"/>
      <c r="AT68" s="20"/>
      <c r="AU68" s="20"/>
      <c r="AV68" s="20"/>
    </row>
    <row r="69" spans="1:48" ht="18" customHeight="1">
      <c r="A69" s="35"/>
      <c r="B69" s="407" t="s">
        <v>66</v>
      </c>
      <c r="C69" s="56"/>
      <c r="D69" s="57">
        <v>6</v>
      </c>
      <c r="E69" s="57">
        <v>6</v>
      </c>
      <c r="F69" s="57">
        <v>6</v>
      </c>
      <c r="G69" s="57">
        <v>6</v>
      </c>
      <c r="H69" s="57"/>
      <c r="I69" s="57"/>
      <c r="J69" s="57"/>
      <c r="K69" s="57"/>
      <c r="L69" s="57"/>
      <c r="M69" s="57"/>
      <c r="N69" s="57"/>
      <c r="O69" s="57"/>
      <c r="P69" s="57"/>
      <c r="Q69" s="57"/>
      <c r="R69" s="57">
        <v>6</v>
      </c>
      <c r="S69" s="57">
        <v>6</v>
      </c>
      <c r="T69" s="57"/>
      <c r="U69" s="57">
        <v>6</v>
      </c>
      <c r="V69" s="57">
        <v>6</v>
      </c>
      <c r="W69" s="57">
        <v>0</v>
      </c>
      <c r="X69" s="57"/>
      <c r="Y69" s="57"/>
      <c r="Z69" s="57">
        <v>6</v>
      </c>
      <c r="AA69" s="57">
        <v>6</v>
      </c>
      <c r="AB69" s="57">
        <v>6</v>
      </c>
      <c r="AC69" s="57">
        <v>6</v>
      </c>
      <c r="AD69" s="57">
        <v>0</v>
      </c>
      <c r="AE69" s="57"/>
      <c r="AF69" s="57">
        <v>6</v>
      </c>
      <c r="AG69" s="73">
        <v>6</v>
      </c>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IF(C51="","",[4]機構処理!BF41)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46043</v>
      </c>
      <c r="D73" s="33">
        <f t="shared" ref="D73:AD73" si="13">IF(OR(C73="",C72="修了日"),"",C73+1)</f>
        <v>46044</v>
      </c>
      <c r="E73" s="33">
        <f t="shared" si="13"/>
        <v>46045</v>
      </c>
      <c r="F73" s="33">
        <f t="shared" si="13"/>
        <v>46046</v>
      </c>
      <c r="G73" s="33">
        <f t="shared" si="13"/>
        <v>46047</v>
      </c>
      <c r="H73" s="33">
        <f t="shared" si="13"/>
        <v>46048</v>
      </c>
      <c r="I73" s="33">
        <f t="shared" si="13"/>
        <v>46049</v>
      </c>
      <c r="J73" s="33">
        <f t="shared" si="13"/>
        <v>46050</v>
      </c>
      <c r="K73" s="33">
        <f t="shared" si="13"/>
        <v>46051</v>
      </c>
      <c r="L73" s="33">
        <f t="shared" si="13"/>
        <v>46052</v>
      </c>
      <c r="M73" s="33">
        <f t="shared" si="13"/>
        <v>46053</v>
      </c>
      <c r="N73" s="33">
        <f t="shared" si="13"/>
        <v>46054</v>
      </c>
      <c r="O73" s="33">
        <f t="shared" si="13"/>
        <v>46055</v>
      </c>
      <c r="P73" s="33">
        <f t="shared" si="13"/>
        <v>46056</v>
      </c>
      <c r="Q73" s="33">
        <f t="shared" si="13"/>
        <v>46057</v>
      </c>
      <c r="R73" s="33">
        <f t="shared" si="13"/>
        <v>46058</v>
      </c>
      <c r="S73" s="33">
        <f t="shared" si="13"/>
        <v>46059</v>
      </c>
      <c r="T73" s="33">
        <f t="shared" si="13"/>
        <v>46060</v>
      </c>
      <c r="U73" s="33">
        <f t="shared" si="13"/>
        <v>46061</v>
      </c>
      <c r="V73" s="33">
        <f t="shared" si="13"/>
        <v>46062</v>
      </c>
      <c r="W73" s="33">
        <f t="shared" si="13"/>
        <v>46063</v>
      </c>
      <c r="X73" s="33">
        <f t="shared" si="13"/>
        <v>46064</v>
      </c>
      <c r="Y73" s="33">
        <f t="shared" si="13"/>
        <v>46065</v>
      </c>
      <c r="Z73" s="33">
        <f t="shared" si="13"/>
        <v>46066</v>
      </c>
      <c r="AA73" s="33">
        <f t="shared" si="13"/>
        <v>46067</v>
      </c>
      <c r="AB73" s="33">
        <f t="shared" si="13"/>
        <v>46068</v>
      </c>
      <c r="AC73" s="33">
        <f t="shared" si="13"/>
        <v>46069</v>
      </c>
      <c r="AD73" s="33">
        <f t="shared" si="13"/>
        <v>46070</v>
      </c>
      <c r="AE73" s="33">
        <f>IF(OR(AD73="",AD72="修了日"),"",IF(AND(DAY(DATE(YEAR(C73),2,29))=29,MONTH(C73)=2),AD73+1,IF(MONTH(C73)=2,"",AD73+1)))</f>
        <v>46071</v>
      </c>
      <c r="AF73" s="33">
        <f>IF(OR(AE73="",AE72="修了日"),"",IF(MONTH(C73)=2,"",AE73+1))</f>
        <v>46072</v>
      </c>
      <c r="AG73" s="65">
        <f>IF(OR(AF73="",AF72="修了日"),"",IF(OR(MONTH(C73)=2,MONTH(C73)=4,MONTH(C73)=6,MONTH(C73)=9,MONTH(C73)=11),"",AF73+1))</f>
        <v>46073</v>
      </c>
      <c r="AH73" s="19"/>
      <c r="AI73" s="20"/>
      <c r="AJ73" s="20"/>
      <c r="AK73" s="20"/>
      <c r="AL73" s="20"/>
      <c r="AM73" s="20"/>
      <c r="AN73" s="20"/>
      <c r="AO73" s="20"/>
      <c r="AP73" s="20"/>
      <c r="AQ73" s="20"/>
      <c r="AR73" s="20"/>
      <c r="AS73" s="20"/>
      <c r="AT73" s="20"/>
      <c r="AU73" s="20"/>
      <c r="AV73" s="20"/>
    </row>
    <row r="74" spans="1:48" ht="18.75" customHeight="1">
      <c r="A74" s="35"/>
      <c r="B74" s="31" t="s">
        <v>52</v>
      </c>
      <c r="C74" s="67">
        <f>+C73</f>
        <v>46043</v>
      </c>
      <c r="D74" s="67">
        <f t="shared" ref="D74:AG75" si="14">IF(D73="","",+D73)</f>
        <v>46044</v>
      </c>
      <c r="E74" s="67">
        <f t="shared" si="14"/>
        <v>46045</v>
      </c>
      <c r="F74" s="67">
        <f t="shared" si="14"/>
        <v>46046</v>
      </c>
      <c r="G74" s="67">
        <f t="shared" si="14"/>
        <v>46047</v>
      </c>
      <c r="H74" s="67">
        <f t="shared" si="14"/>
        <v>46048</v>
      </c>
      <c r="I74" s="67">
        <f t="shared" si="14"/>
        <v>46049</v>
      </c>
      <c r="J74" s="67">
        <f t="shared" si="14"/>
        <v>46050</v>
      </c>
      <c r="K74" s="67">
        <f t="shared" si="14"/>
        <v>46051</v>
      </c>
      <c r="L74" s="67">
        <f t="shared" si="14"/>
        <v>46052</v>
      </c>
      <c r="M74" s="67">
        <f t="shared" si="14"/>
        <v>46053</v>
      </c>
      <c r="N74" s="67">
        <f t="shared" si="14"/>
        <v>46054</v>
      </c>
      <c r="O74" s="67">
        <f t="shared" si="14"/>
        <v>46055</v>
      </c>
      <c r="P74" s="67">
        <f t="shared" si="14"/>
        <v>46056</v>
      </c>
      <c r="Q74" s="67">
        <f t="shared" si="14"/>
        <v>46057</v>
      </c>
      <c r="R74" s="67">
        <f t="shared" si="14"/>
        <v>46058</v>
      </c>
      <c r="S74" s="67">
        <f t="shared" si="14"/>
        <v>46059</v>
      </c>
      <c r="T74" s="67">
        <f t="shared" si="14"/>
        <v>46060</v>
      </c>
      <c r="U74" s="67">
        <f t="shared" si="14"/>
        <v>46061</v>
      </c>
      <c r="V74" s="67">
        <f t="shared" si="14"/>
        <v>46062</v>
      </c>
      <c r="W74" s="67">
        <f t="shared" si="14"/>
        <v>46063</v>
      </c>
      <c r="X74" s="67">
        <f t="shared" si="14"/>
        <v>46064</v>
      </c>
      <c r="Y74" s="67">
        <f t="shared" si="14"/>
        <v>46065</v>
      </c>
      <c r="Z74" s="67">
        <f t="shared" si="14"/>
        <v>46066</v>
      </c>
      <c r="AA74" s="67">
        <f t="shared" si="14"/>
        <v>46067</v>
      </c>
      <c r="AB74" s="67">
        <f t="shared" si="14"/>
        <v>46068</v>
      </c>
      <c r="AC74" s="67">
        <f t="shared" si="14"/>
        <v>46069</v>
      </c>
      <c r="AD74" s="67">
        <f t="shared" si="14"/>
        <v>46070</v>
      </c>
      <c r="AE74" s="67">
        <f t="shared" si="14"/>
        <v>46071</v>
      </c>
      <c r="AF74" s="67">
        <f t="shared" si="14"/>
        <v>46072</v>
      </c>
      <c r="AG74" s="38">
        <f t="shared" si="14"/>
        <v>46073</v>
      </c>
      <c r="AH74" s="19"/>
      <c r="AI74" s="20"/>
      <c r="AJ74" s="20"/>
      <c r="AK74" s="20"/>
      <c r="AL74" s="20"/>
      <c r="AM74" s="20"/>
      <c r="AN74" s="20"/>
      <c r="AO74" s="20"/>
      <c r="AP74" s="20"/>
      <c r="AQ74" s="20"/>
      <c r="AR74" s="20"/>
      <c r="AS74" s="20"/>
      <c r="AT74" s="20"/>
      <c r="AU74" s="20"/>
      <c r="AV74" s="20"/>
    </row>
    <row r="75" spans="1:48" ht="18.75" customHeight="1">
      <c r="A75" s="35"/>
      <c r="B75" s="31" t="s">
        <v>53</v>
      </c>
      <c r="C75" s="39">
        <f>+C74</f>
        <v>46043</v>
      </c>
      <c r="D75" s="39">
        <f t="shared" si="14"/>
        <v>46044</v>
      </c>
      <c r="E75" s="39">
        <f t="shared" si="14"/>
        <v>46045</v>
      </c>
      <c r="F75" s="39">
        <f t="shared" si="14"/>
        <v>46046</v>
      </c>
      <c r="G75" s="39">
        <f t="shared" si="14"/>
        <v>46047</v>
      </c>
      <c r="H75" s="39">
        <f t="shared" si="14"/>
        <v>46048</v>
      </c>
      <c r="I75" s="39">
        <f t="shared" si="14"/>
        <v>46049</v>
      </c>
      <c r="J75" s="39">
        <f t="shared" si="14"/>
        <v>46050</v>
      </c>
      <c r="K75" s="39">
        <f t="shared" si="14"/>
        <v>46051</v>
      </c>
      <c r="L75" s="39">
        <f t="shared" si="14"/>
        <v>46052</v>
      </c>
      <c r="M75" s="39">
        <f t="shared" si="14"/>
        <v>46053</v>
      </c>
      <c r="N75" s="39">
        <f t="shared" si="14"/>
        <v>46054</v>
      </c>
      <c r="O75" s="39">
        <f t="shared" si="14"/>
        <v>46055</v>
      </c>
      <c r="P75" s="39">
        <f t="shared" si="14"/>
        <v>46056</v>
      </c>
      <c r="Q75" s="39">
        <f t="shared" si="14"/>
        <v>46057</v>
      </c>
      <c r="R75" s="39">
        <f t="shared" si="14"/>
        <v>46058</v>
      </c>
      <c r="S75" s="39">
        <f t="shared" si="14"/>
        <v>46059</v>
      </c>
      <c r="T75" s="39">
        <f t="shared" si="14"/>
        <v>46060</v>
      </c>
      <c r="U75" s="39">
        <f t="shared" si="14"/>
        <v>46061</v>
      </c>
      <c r="V75" s="39">
        <f t="shared" si="14"/>
        <v>46062</v>
      </c>
      <c r="W75" s="39">
        <f t="shared" si="14"/>
        <v>46063</v>
      </c>
      <c r="X75" s="39">
        <f t="shared" si="14"/>
        <v>46064</v>
      </c>
      <c r="Y75" s="39">
        <f t="shared" si="14"/>
        <v>46065</v>
      </c>
      <c r="Z75" s="39">
        <f t="shared" si="14"/>
        <v>46066</v>
      </c>
      <c r="AA75" s="39">
        <f t="shared" si="14"/>
        <v>46067</v>
      </c>
      <c r="AB75" s="39">
        <f t="shared" si="14"/>
        <v>46068</v>
      </c>
      <c r="AC75" s="39">
        <f t="shared" si="14"/>
        <v>46069</v>
      </c>
      <c r="AD75" s="39">
        <f t="shared" si="14"/>
        <v>46070</v>
      </c>
      <c r="AE75" s="39">
        <f t="shared" si="14"/>
        <v>46071</v>
      </c>
      <c r="AF75" s="39">
        <f t="shared" si="14"/>
        <v>46072</v>
      </c>
      <c r="AG75" s="40">
        <f t="shared" si="14"/>
        <v>46073</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23" t="s">
        <v>300</v>
      </c>
      <c r="D76" s="399"/>
      <c r="E76" s="399" t="s">
        <v>286</v>
      </c>
      <c r="F76" s="399"/>
      <c r="G76" s="399"/>
      <c r="H76" s="399" t="s">
        <v>301</v>
      </c>
      <c r="I76" s="399" t="s">
        <v>302</v>
      </c>
      <c r="J76" s="399"/>
      <c r="K76" s="399" t="s">
        <v>302</v>
      </c>
      <c r="L76" s="399"/>
      <c r="M76" s="399"/>
      <c r="N76" s="399"/>
      <c r="O76" s="399" t="s">
        <v>302</v>
      </c>
      <c r="P76" s="399"/>
      <c r="Q76" s="399" t="s">
        <v>110</v>
      </c>
      <c r="R76" s="399" t="s">
        <v>302</v>
      </c>
      <c r="S76" s="399" t="s">
        <v>302</v>
      </c>
      <c r="T76" s="399"/>
      <c r="U76" s="399" t="str">
        <f t="shared" ref="U76:AD76" si="15">IF(U$75="","",IF(U$75=$K$152,"ハローワーク来所日③",""))</f>
        <v/>
      </c>
      <c r="V76" s="399" t="str">
        <f t="shared" si="15"/>
        <v>ハローワーク来所日③</v>
      </c>
      <c r="W76" s="399" t="s">
        <v>302</v>
      </c>
      <c r="X76" s="399"/>
      <c r="Y76" s="399" t="s">
        <v>302</v>
      </c>
      <c r="Z76" s="399" t="s">
        <v>302</v>
      </c>
      <c r="AA76" s="399"/>
      <c r="AB76" s="399" t="str">
        <f t="shared" si="15"/>
        <v/>
      </c>
      <c r="AC76" s="399" t="s">
        <v>302</v>
      </c>
      <c r="AD76" s="399" t="str">
        <f t="shared" si="15"/>
        <v/>
      </c>
      <c r="AE76" s="399" t="s">
        <v>302</v>
      </c>
      <c r="AF76" s="399"/>
      <c r="AG76" s="402" t="s">
        <v>302</v>
      </c>
      <c r="AH76" s="211">
        <v>1</v>
      </c>
      <c r="AI76" s="20"/>
      <c r="AJ76" s="20"/>
      <c r="AK76" s="20"/>
      <c r="AL76" s="20"/>
      <c r="AM76" s="20"/>
      <c r="AN76" s="20"/>
      <c r="AO76" s="20"/>
      <c r="AP76" s="20"/>
      <c r="AQ76" s="20"/>
      <c r="AR76" s="20"/>
      <c r="AS76" s="20"/>
      <c r="AT76" s="20"/>
      <c r="AU76" s="20"/>
      <c r="AV76" s="20"/>
    </row>
    <row r="77" spans="1:48" ht="18" customHeight="1">
      <c r="A77" s="411"/>
      <c r="B77" s="41"/>
      <c r="C77" s="424"/>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24"/>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24"/>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24"/>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24"/>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24"/>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24"/>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24"/>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24"/>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24"/>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29"/>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4"/>
      <c r="D88" s="44"/>
      <c r="E88" s="44"/>
      <c r="F88" s="44"/>
      <c r="G88" s="44"/>
      <c r="H88" s="44"/>
      <c r="I88" s="45"/>
      <c r="J88" s="45"/>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4" t="s">
        <v>64</v>
      </c>
      <c r="D89" s="49"/>
      <c r="E89" s="44"/>
      <c r="F89" s="44"/>
      <c r="G89" s="44"/>
      <c r="H89" s="49"/>
      <c r="I89" s="49"/>
      <c r="J89" s="49"/>
      <c r="K89" s="44"/>
      <c r="L89" s="44"/>
      <c r="M89" s="44"/>
      <c r="N89" s="44"/>
      <c r="O89" s="49"/>
      <c r="P89" s="49"/>
      <c r="Q89" s="44"/>
      <c r="R89" s="49"/>
      <c r="S89" s="44"/>
      <c r="T89" s="49"/>
      <c r="U89" s="49"/>
      <c r="V89" s="49"/>
      <c r="W89" s="49"/>
      <c r="X89" s="44"/>
      <c r="Y89" s="49"/>
      <c r="Z89" s="44"/>
      <c r="AA89" s="44"/>
      <c r="AB89" s="49"/>
      <c r="AC89" s="49"/>
      <c r="AD89" s="44"/>
      <c r="AE89" s="44"/>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3"/>
      <c r="D90" s="54"/>
      <c r="E90" s="53"/>
      <c r="F90" s="53"/>
      <c r="G90" s="53"/>
      <c r="H90" s="54"/>
      <c r="I90" s="54"/>
      <c r="J90" s="54"/>
      <c r="K90" s="53"/>
      <c r="L90" s="53"/>
      <c r="M90" s="53"/>
      <c r="N90" s="53"/>
      <c r="O90" s="54"/>
      <c r="P90" s="54"/>
      <c r="Q90" s="53"/>
      <c r="R90" s="54"/>
      <c r="S90" s="53"/>
      <c r="T90" s="54"/>
      <c r="U90" s="54"/>
      <c r="V90" s="54"/>
      <c r="W90" s="54"/>
      <c r="X90" s="53"/>
      <c r="Y90" s="54"/>
      <c r="Z90" s="53"/>
      <c r="AA90" s="53"/>
      <c r="AB90" s="54"/>
      <c r="AC90" s="54"/>
      <c r="AD90" s="53"/>
      <c r="AE90" s="53"/>
      <c r="AF90" s="53"/>
      <c r="AG90" s="71"/>
      <c r="AH90" s="132" t="str">
        <f>IF(AI90="","","←")</f>
        <v/>
      </c>
      <c r="AI90" s="417" t="str">
        <f>[4]機構処理!BI85</f>
        <v/>
      </c>
      <c r="AJ90" s="417"/>
      <c r="AK90" s="72"/>
      <c r="AL90" s="70"/>
      <c r="AM90" s="72"/>
      <c r="AN90" s="72"/>
      <c r="AO90" s="72"/>
      <c r="AP90" s="20"/>
      <c r="AQ90" s="20"/>
      <c r="AR90" s="20"/>
      <c r="AS90" s="20"/>
      <c r="AT90" s="20"/>
      <c r="AU90" s="20"/>
      <c r="AV90" s="20"/>
    </row>
    <row r="91" spans="1:48" ht="18" customHeight="1">
      <c r="A91" s="35"/>
      <c r="B91" s="407" t="s">
        <v>66</v>
      </c>
      <c r="C91" s="57">
        <v>6</v>
      </c>
      <c r="D91" s="57"/>
      <c r="E91" s="57">
        <v>6</v>
      </c>
      <c r="F91" s="57"/>
      <c r="G91" s="57"/>
      <c r="H91" s="57">
        <v>6</v>
      </c>
      <c r="I91" s="57">
        <v>6</v>
      </c>
      <c r="J91" s="57"/>
      <c r="K91" s="57">
        <v>6</v>
      </c>
      <c r="L91" s="57"/>
      <c r="M91" s="57"/>
      <c r="N91" s="57"/>
      <c r="O91" s="57">
        <v>6</v>
      </c>
      <c r="P91" s="57"/>
      <c r="Q91" s="57">
        <v>6</v>
      </c>
      <c r="R91" s="57">
        <v>6</v>
      </c>
      <c r="S91" s="57">
        <v>6</v>
      </c>
      <c r="T91" s="57"/>
      <c r="U91" s="57"/>
      <c r="V91" s="57"/>
      <c r="W91" s="57">
        <v>6</v>
      </c>
      <c r="X91" s="57"/>
      <c r="Y91" s="57">
        <v>6</v>
      </c>
      <c r="Z91" s="57">
        <v>6</v>
      </c>
      <c r="AA91" s="57"/>
      <c r="AB91" s="57"/>
      <c r="AC91" s="57">
        <v>6</v>
      </c>
      <c r="AD91" s="57"/>
      <c r="AE91" s="57">
        <v>6</v>
      </c>
      <c r="AF91" s="57"/>
      <c r="AG91" s="73">
        <v>6</v>
      </c>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IF(C73="","",[4]機構処理!BF47)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46074</v>
      </c>
      <c r="D95" s="33">
        <f t="shared" ref="D95:AD95" si="17">IF(OR(C95="",C94="修了日"),"",C95+1)</f>
        <v>46075</v>
      </c>
      <c r="E95" s="33">
        <f t="shared" si="17"/>
        <v>46076</v>
      </c>
      <c r="F95" s="33">
        <f t="shared" si="17"/>
        <v>46077</v>
      </c>
      <c r="G95" s="33">
        <f t="shared" si="17"/>
        <v>46078</v>
      </c>
      <c r="H95" s="33">
        <f t="shared" si="17"/>
        <v>46079</v>
      </c>
      <c r="I95" s="33">
        <f t="shared" si="17"/>
        <v>46080</v>
      </c>
      <c r="J95" s="33">
        <f t="shared" si="17"/>
        <v>46081</v>
      </c>
      <c r="K95" s="33">
        <f t="shared" si="17"/>
        <v>46082</v>
      </c>
      <c r="L95" s="33">
        <f t="shared" si="17"/>
        <v>46083</v>
      </c>
      <c r="M95" s="33">
        <f t="shared" si="17"/>
        <v>46084</v>
      </c>
      <c r="N95" s="33">
        <f t="shared" si="17"/>
        <v>46085</v>
      </c>
      <c r="O95" s="33">
        <f t="shared" si="17"/>
        <v>46086</v>
      </c>
      <c r="P95" s="33">
        <f t="shared" si="17"/>
        <v>46087</v>
      </c>
      <c r="Q95" s="33">
        <f t="shared" si="17"/>
        <v>46088</v>
      </c>
      <c r="R95" s="33">
        <f t="shared" si="17"/>
        <v>46089</v>
      </c>
      <c r="S95" s="33">
        <f t="shared" si="17"/>
        <v>46090</v>
      </c>
      <c r="T95" s="33">
        <f t="shared" si="17"/>
        <v>46091</v>
      </c>
      <c r="U95" s="33">
        <f t="shared" si="17"/>
        <v>46092</v>
      </c>
      <c r="V95" s="33">
        <f t="shared" si="17"/>
        <v>46093</v>
      </c>
      <c r="W95" s="33">
        <f t="shared" si="17"/>
        <v>46094</v>
      </c>
      <c r="X95" s="33">
        <f t="shared" si="17"/>
        <v>46095</v>
      </c>
      <c r="Y95" s="33">
        <f t="shared" si="17"/>
        <v>46096</v>
      </c>
      <c r="Z95" s="33">
        <f t="shared" si="17"/>
        <v>46097</v>
      </c>
      <c r="AA95" s="33">
        <f t="shared" si="17"/>
        <v>46098</v>
      </c>
      <c r="AB95" s="33">
        <f t="shared" si="17"/>
        <v>46099</v>
      </c>
      <c r="AC95" s="33">
        <f t="shared" si="17"/>
        <v>46100</v>
      </c>
      <c r="AD95" s="33">
        <f t="shared" si="17"/>
        <v>46101</v>
      </c>
      <c r="AE95" s="33" t="str">
        <f>IF(OR(AD95="",AD94="修了日"),"",IF(AND(DAY(DATE(YEAR(C95),2,29))=29,MONTH(C95)=2),AD95+1,IF(MONTH(C95)=2,"",AD95+1)))</f>
        <v/>
      </c>
      <c r="AF95" s="33" t="str">
        <f>IF(OR(AE95="",AE94="修了日"),"",IF(MONTH(C95)=2,"",AE95+1))</f>
        <v/>
      </c>
      <c r="AG95" s="65" t="str">
        <f>IF(OR(AF95="",AF94="修了日"),"",IF(OR(MONTH(C95)=2,MONTH(C95)=4,MONTH(C95)=6,MONTH(C95)=9,MONTH(C95)=11),"",AF95+1))</f>
        <v/>
      </c>
      <c r="AH95" s="19"/>
      <c r="AI95" s="20"/>
      <c r="AJ95" s="20"/>
      <c r="AK95" s="20"/>
      <c r="AL95" s="20"/>
      <c r="AM95" s="20"/>
      <c r="AN95" s="20"/>
      <c r="AO95" s="20"/>
      <c r="AP95" s="20"/>
      <c r="AQ95" s="20"/>
      <c r="AR95" s="20"/>
      <c r="AS95" s="20"/>
      <c r="AT95" s="20"/>
      <c r="AU95" s="20"/>
      <c r="AV95" s="20"/>
    </row>
    <row r="96" spans="1:48" ht="18" customHeight="1">
      <c r="A96" s="35"/>
      <c r="B96" s="79" t="s">
        <v>52</v>
      </c>
      <c r="C96" s="36">
        <f>+C95</f>
        <v>46074</v>
      </c>
      <c r="D96" s="67">
        <f t="shared" ref="D96:AG97" si="18">IF(D95="","",+D95)</f>
        <v>46075</v>
      </c>
      <c r="E96" s="67">
        <f t="shared" si="18"/>
        <v>46076</v>
      </c>
      <c r="F96" s="67">
        <f t="shared" si="18"/>
        <v>46077</v>
      </c>
      <c r="G96" s="67">
        <f t="shared" si="18"/>
        <v>46078</v>
      </c>
      <c r="H96" s="67">
        <f t="shared" si="18"/>
        <v>46079</v>
      </c>
      <c r="I96" s="67">
        <f t="shared" si="18"/>
        <v>46080</v>
      </c>
      <c r="J96" s="67">
        <f t="shared" si="18"/>
        <v>46081</v>
      </c>
      <c r="K96" s="67">
        <f t="shared" si="18"/>
        <v>46082</v>
      </c>
      <c r="L96" s="67">
        <f t="shared" si="18"/>
        <v>46083</v>
      </c>
      <c r="M96" s="67">
        <f t="shared" si="18"/>
        <v>46084</v>
      </c>
      <c r="N96" s="67">
        <f t="shared" si="18"/>
        <v>46085</v>
      </c>
      <c r="O96" s="67">
        <f t="shared" si="18"/>
        <v>46086</v>
      </c>
      <c r="P96" s="67">
        <f t="shared" si="18"/>
        <v>46087</v>
      </c>
      <c r="Q96" s="67">
        <f t="shared" si="18"/>
        <v>46088</v>
      </c>
      <c r="R96" s="67">
        <f t="shared" si="18"/>
        <v>46089</v>
      </c>
      <c r="S96" s="67">
        <f t="shared" si="18"/>
        <v>46090</v>
      </c>
      <c r="T96" s="67">
        <f t="shared" si="18"/>
        <v>46091</v>
      </c>
      <c r="U96" s="67">
        <f t="shared" si="18"/>
        <v>46092</v>
      </c>
      <c r="V96" s="67">
        <f t="shared" si="18"/>
        <v>46093</v>
      </c>
      <c r="W96" s="67">
        <f t="shared" si="18"/>
        <v>46094</v>
      </c>
      <c r="X96" s="67">
        <f t="shared" si="18"/>
        <v>46095</v>
      </c>
      <c r="Y96" s="67">
        <f t="shared" si="18"/>
        <v>46096</v>
      </c>
      <c r="Z96" s="67">
        <f t="shared" si="18"/>
        <v>46097</v>
      </c>
      <c r="AA96" s="67">
        <f t="shared" si="18"/>
        <v>46098</v>
      </c>
      <c r="AB96" s="67">
        <f t="shared" si="18"/>
        <v>46099</v>
      </c>
      <c r="AC96" s="67">
        <f t="shared" si="18"/>
        <v>46100</v>
      </c>
      <c r="AD96" s="67">
        <f t="shared" si="18"/>
        <v>46101</v>
      </c>
      <c r="AE96" s="67" t="str">
        <f t="shared" si="18"/>
        <v/>
      </c>
      <c r="AF96" s="67" t="str">
        <f t="shared" si="18"/>
        <v/>
      </c>
      <c r="AG96" s="38" t="str">
        <f t="shared" si="18"/>
        <v/>
      </c>
      <c r="AH96" s="19"/>
      <c r="AI96" s="20"/>
      <c r="AJ96" s="20"/>
      <c r="AK96" s="20"/>
      <c r="AL96" s="20"/>
      <c r="AM96" s="20"/>
      <c r="AN96" s="20"/>
      <c r="AO96" s="20"/>
      <c r="AP96" s="20"/>
      <c r="AQ96" s="20"/>
      <c r="AR96" s="20"/>
      <c r="AS96" s="20"/>
      <c r="AT96" s="20"/>
      <c r="AU96" s="20"/>
      <c r="AV96" s="20"/>
    </row>
    <row r="97" spans="1:48" ht="18" customHeight="1">
      <c r="A97" s="35"/>
      <c r="B97" s="80" t="s">
        <v>53</v>
      </c>
      <c r="C97" s="81">
        <f>+C96</f>
        <v>46074</v>
      </c>
      <c r="D97" s="39">
        <f t="shared" si="18"/>
        <v>46075</v>
      </c>
      <c r="E97" s="39">
        <f t="shared" si="18"/>
        <v>46076</v>
      </c>
      <c r="F97" s="39">
        <f t="shared" si="18"/>
        <v>46077</v>
      </c>
      <c r="G97" s="39">
        <f t="shared" si="18"/>
        <v>46078</v>
      </c>
      <c r="H97" s="39">
        <f t="shared" si="18"/>
        <v>46079</v>
      </c>
      <c r="I97" s="39">
        <f t="shared" si="18"/>
        <v>46080</v>
      </c>
      <c r="J97" s="39">
        <f t="shared" si="18"/>
        <v>46081</v>
      </c>
      <c r="K97" s="39">
        <f t="shared" si="18"/>
        <v>46082</v>
      </c>
      <c r="L97" s="39">
        <f t="shared" si="18"/>
        <v>46083</v>
      </c>
      <c r="M97" s="39">
        <f t="shared" si="18"/>
        <v>46084</v>
      </c>
      <c r="N97" s="39">
        <f t="shared" si="18"/>
        <v>46085</v>
      </c>
      <c r="O97" s="39">
        <f t="shared" si="18"/>
        <v>46086</v>
      </c>
      <c r="P97" s="39">
        <f t="shared" si="18"/>
        <v>46087</v>
      </c>
      <c r="Q97" s="39">
        <f t="shared" si="18"/>
        <v>46088</v>
      </c>
      <c r="R97" s="39">
        <f t="shared" si="18"/>
        <v>46089</v>
      </c>
      <c r="S97" s="39">
        <f t="shared" si="18"/>
        <v>46090</v>
      </c>
      <c r="T97" s="39">
        <f t="shared" si="18"/>
        <v>46091</v>
      </c>
      <c r="U97" s="39">
        <f t="shared" si="18"/>
        <v>46092</v>
      </c>
      <c r="V97" s="39">
        <f t="shared" si="18"/>
        <v>46093</v>
      </c>
      <c r="W97" s="39">
        <f t="shared" si="18"/>
        <v>46094</v>
      </c>
      <c r="X97" s="39">
        <f t="shared" si="18"/>
        <v>46095</v>
      </c>
      <c r="Y97" s="39">
        <f t="shared" si="18"/>
        <v>46096</v>
      </c>
      <c r="Z97" s="39">
        <f t="shared" si="18"/>
        <v>46097</v>
      </c>
      <c r="AA97" s="39">
        <f t="shared" si="18"/>
        <v>46098</v>
      </c>
      <c r="AB97" s="39">
        <f t="shared" si="18"/>
        <v>46099</v>
      </c>
      <c r="AC97" s="39">
        <f t="shared" si="18"/>
        <v>46100</v>
      </c>
      <c r="AD97" s="39">
        <f t="shared" si="18"/>
        <v>46101</v>
      </c>
      <c r="AE97" s="39" t="str">
        <f t="shared" si="18"/>
        <v/>
      </c>
      <c r="AF97" s="39" t="str">
        <f t="shared" si="18"/>
        <v/>
      </c>
      <c r="AG97" s="40" t="str">
        <f t="shared" si="18"/>
        <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12" t="str">
        <f t="shared" ref="C98:N98" si="19">IF(C$97="","",IF(C$97=$K$153,"ハローワーク来所日④",""))</f>
        <v/>
      </c>
      <c r="D98" s="399" t="str">
        <f t="shared" si="19"/>
        <v/>
      </c>
      <c r="E98" s="399" t="str">
        <f t="shared" si="19"/>
        <v/>
      </c>
      <c r="F98" s="399" t="s">
        <v>302</v>
      </c>
      <c r="G98" s="399" t="s">
        <v>302</v>
      </c>
      <c r="H98" s="399" t="s">
        <v>302</v>
      </c>
      <c r="I98" s="399" t="s">
        <v>302</v>
      </c>
      <c r="J98" s="399"/>
      <c r="K98" s="399"/>
      <c r="L98" s="399" t="s">
        <v>302</v>
      </c>
      <c r="M98" s="399" t="s">
        <v>303</v>
      </c>
      <c r="N98" s="399" t="str">
        <f t="shared" si="19"/>
        <v>ハローワーク来所日④</v>
      </c>
      <c r="O98" s="399" t="s">
        <v>303</v>
      </c>
      <c r="P98" s="399" t="s">
        <v>303</v>
      </c>
      <c r="Q98" s="399"/>
      <c r="R98" s="399" t="s">
        <v>297</v>
      </c>
      <c r="S98" s="399" t="s">
        <v>204</v>
      </c>
      <c r="T98" s="399"/>
      <c r="U98" s="399" t="s">
        <v>203</v>
      </c>
      <c r="V98" s="399"/>
      <c r="W98" s="399" t="s">
        <v>304</v>
      </c>
      <c r="X98" s="399"/>
      <c r="Y98" s="399"/>
      <c r="Z98" s="399" t="s">
        <v>304</v>
      </c>
      <c r="AA98" s="399" t="s">
        <v>304</v>
      </c>
      <c r="AB98" s="399"/>
      <c r="AC98" s="399" t="s">
        <v>304</v>
      </c>
      <c r="AD98" s="399"/>
      <c r="AE98" s="399" t="s">
        <v>297</v>
      </c>
      <c r="AF98" s="399" t="s">
        <v>297</v>
      </c>
      <c r="AG98" s="402"/>
      <c r="AH98" s="211">
        <v>1</v>
      </c>
      <c r="AI98" s="20"/>
      <c r="AJ98" s="20"/>
      <c r="AK98" s="20"/>
      <c r="AL98" s="20"/>
      <c r="AM98" s="20"/>
      <c r="AN98" s="20"/>
      <c r="AO98" s="20"/>
      <c r="AP98" s="20"/>
      <c r="AQ98" s="20"/>
      <c r="AR98" s="20"/>
      <c r="AS98" s="20"/>
      <c r="AT98" s="20"/>
      <c r="AU98" s="20"/>
      <c r="AV98" s="20"/>
    </row>
    <row r="99" spans="1:48" ht="18" customHeight="1">
      <c r="A99" s="411"/>
      <c r="B99" s="41"/>
      <c r="C99" s="413"/>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13"/>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13"/>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13"/>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13"/>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13"/>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13"/>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13"/>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13"/>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13"/>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14"/>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9"/>
      <c r="J110" s="44"/>
      <c r="K110" s="44"/>
      <c r="L110" s="44" t="s">
        <v>64</v>
      </c>
      <c r="M110" s="44"/>
      <c r="N110" s="44"/>
      <c r="O110" s="49"/>
      <c r="P110" s="49"/>
      <c r="Q110" s="44"/>
      <c r="R110" s="44"/>
      <c r="S110" s="49"/>
      <c r="T110" s="49"/>
      <c r="U110" s="49"/>
      <c r="V110" s="49"/>
      <c r="W110" s="49"/>
      <c r="X110" s="44"/>
      <c r="Y110" s="44"/>
      <c r="Z110" s="44"/>
      <c r="AA110" s="44"/>
      <c r="AB110" s="49"/>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4"/>
      <c r="T111" s="54"/>
      <c r="U111" s="54"/>
      <c r="V111" s="54"/>
      <c r="W111" s="54"/>
      <c r="X111" s="53"/>
      <c r="Y111" s="53"/>
      <c r="Z111" s="53"/>
      <c r="AA111" s="53"/>
      <c r="AB111" s="54"/>
      <c r="AC111" s="54"/>
      <c r="AD111" s="53"/>
      <c r="AE111" s="53"/>
      <c r="AF111" s="53"/>
      <c r="AG111" s="71"/>
      <c r="AH111" s="132" t="str">
        <f>IF(AI111="","","←")</f>
        <v/>
      </c>
      <c r="AI111" s="416" t="str">
        <f>[4]機構処理!BI89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c r="D112" s="57"/>
      <c r="E112" s="57"/>
      <c r="F112" s="57">
        <v>6</v>
      </c>
      <c r="G112" s="57">
        <v>6</v>
      </c>
      <c r="H112" s="57">
        <v>6</v>
      </c>
      <c r="I112" s="57">
        <v>6</v>
      </c>
      <c r="J112" s="57"/>
      <c r="K112" s="57"/>
      <c r="L112" s="57">
        <v>6</v>
      </c>
      <c r="M112" s="57">
        <v>6</v>
      </c>
      <c r="N112" s="57"/>
      <c r="O112" s="57">
        <v>6</v>
      </c>
      <c r="P112" s="57">
        <v>6</v>
      </c>
      <c r="Q112" s="57"/>
      <c r="R112" s="57"/>
      <c r="S112" s="57">
        <v>6</v>
      </c>
      <c r="T112" s="57"/>
      <c r="U112" s="57">
        <v>6</v>
      </c>
      <c r="V112" s="57"/>
      <c r="W112" s="57">
        <v>6</v>
      </c>
      <c r="X112" s="57"/>
      <c r="Y112" s="57"/>
      <c r="Z112" s="57">
        <v>6</v>
      </c>
      <c r="AA112" s="57">
        <v>6</v>
      </c>
      <c r="AB112" s="57"/>
      <c r="AC112" s="57">
        <v>6</v>
      </c>
      <c r="AD112" s="57"/>
      <c r="AE112" s="57"/>
      <c r="AF112" s="57"/>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IF(C95="","",[4]機構処理!BF53)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
      </c>
      <c r="AE115" s="28" t="str">
        <f t="shared" si="20"/>
        <v/>
      </c>
      <c r="AF115" s="28" t="str">
        <f t="shared" si="20"/>
        <v/>
      </c>
      <c r="AG115" s="28" t="str">
        <f t="shared" si="20"/>
        <v>修了日</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46102</v>
      </c>
      <c r="D116" s="33">
        <f t="shared" ref="D116:AD116" si="21">IF(OR(C116="",C115="修了日"),"",C116+1)</f>
        <v>46103</v>
      </c>
      <c r="E116" s="33">
        <f t="shared" si="21"/>
        <v>46104</v>
      </c>
      <c r="F116" s="33">
        <f t="shared" si="21"/>
        <v>46105</v>
      </c>
      <c r="G116" s="33">
        <f t="shared" si="21"/>
        <v>46106</v>
      </c>
      <c r="H116" s="33">
        <f t="shared" si="21"/>
        <v>46107</v>
      </c>
      <c r="I116" s="33">
        <f t="shared" si="21"/>
        <v>46108</v>
      </c>
      <c r="J116" s="33">
        <f t="shared" si="21"/>
        <v>46109</v>
      </c>
      <c r="K116" s="33">
        <f t="shared" si="21"/>
        <v>46110</v>
      </c>
      <c r="L116" s="33">
        <f t="shared" si="21"/>
        <v>46111</v>
      </c>
      <c r="M116" s="33">
        <f t="shared" si="21"/>
        <v>46112</v>
      </c>
      <c r="N116" s="33">
        <f t="shared" si="21"/>
        <v>46113</v>
      </c>
      <c r="O116" s="33">
        <f t="shared" si="21"/>
        <v>46114</v>
      </c>
      <c r="P116" s="33">
        <f t="shared" si="21"/>
        <v>46115</v>
      </c>
      <c r="Q116" s="33">
        <f t="shared" si="21"/>
        <v>46116</v>
      </c>
      <c r="R116" s="33">
        <f t="shared" si="21"/>
        <v>46117</v>
      </c>
      <c r="S116" s="33">
        <f t="shared" si="21"/>
        <v>46118</v>
      </c>
      <c r="T116" s="33">
        <f t="shared" si="21"/>
        <v>46119</v>
      </c>
      <c r="U116" s="33">
        <f t="shared" si="21"/>
        <v>46120</v>
      </c>
      <c r="V116" s="33">
        <f t="shared" si="21"/>
        <v>46121</v>
      </c>
      <c r="W116" s="33">
        <f t="shared" si="21"/>
        <v>46122</v>
      </c>
      <c r="X116" s="33">
        <f t="shared" si="21"/>
        <v>46123</v>
      </c>
      <c r="Y116" s="33">
        <f t="shared" si="21"/>
        <v>46124</v>
      </c>
      <c r="Z116" s="33">
        <f t="shared" si="21"/>
        <v>46125</v>
      </c>
      <c r="AA116" s="33">
        <f t="shared" si="21"/>
        <v>46126</v>
      </c>
      <c r="AB116" s="33">
        <f t="shared" si="21"/>
        <v>46127</v>
      </c>
      <c r="AC116" s="33">
        <f t="shared" si="21"/>
        <v>46128</v>
      </c>
      <c r="AD116" s="33">
        <f t="shared" si="21"/>
        <v>46129</v>
      </c>
      <c r="AE116" s="33">
        <f>IF(OR(AD116="",AD115="修了日"),"",IF(AND(DAY(DATE(YEAR(C116),2,29))=29,MONTH(C116)=2),AD116+1,IF(MONTH(C116)=2,"",AD116+1)))</f>
        <v>46130</v>
      </c>
      <c r="AF116" s="33">
        <f>IF(OR(AE116="",AE115="修了日"),"",IF(MONTH(C116)=2,"",AE116+1))</f>
        <v>46131</v>
      </c>
      <c r="AG116" s="65">
        <f>IF(OR(AF116="",AF115="修了日"),"",IF(OR(MONTH(C116)=2,MONTH(C116)=4,MONTH(C116)=6,MONTH(C116)=9,MONTH(C116)=11),"",AF116+1))</f>
        <v>46132</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46102</v>
      </c>
      <c r="D117" s="67">
        <f t="shared" ref="D117:AG118" si="22">IF(D116="","",+D116)</f>
        <v>46103</v>
      </c>
      <c r="E117" s="67">
        <f t="shared" si="22"/>
        <v>46104</v>
      </c>
      <c r="F117" s="67">
        <f t="shared" si="22"/>
        <v>46105</v>
      </c>
      <c r="G117" s="67">
        <f t="shared" si="22"/>
        <v>46106</v>
      </c>
      <c r="H117" s="67">
        <f t="shared" si="22"/>
        <v>46107</v>
      </c>
      <c r="I117" s="67">
        <f t="shared" si="22"/>
        <v>46108</v>
      </c>
      <c r="J117" s="67">
        <f t="shared" si="22"/>
        <v>46109</v>
      </c>
      <c r="K117" s="67">
        <f t="shared" si="22"/>
        <v>46110</v>
      </c>
      <c r="L117" s="67">
        <f t="shared" si="22"/>
        <v>46111</v>
      </c>
      <c r="M117" s="67">
        <f t="shared" si="22"/>
        <v>46112</v>
      </c>
      <c r="N117" s="67">
        <f t="shared" si="22"/>
        <v>46113</v>
      </c>
      <c r="O117" s="67">
        <f t="shared" si="22"/>
        <v>46114</v>
      </c>
      <c r="P117" s="67">
        <f t="shared" si="22"/>
        <v>46115</v>
      </c>
      <c r="Q117" s="67">
        <f t="shared" si="22"/>
        <v>46116</v>
      </c>
      <c r="R117" s="67">
        <f t="shared" si="22"/>
        <v>46117</v>
      </c>
      <c r="S117" s="67">
        <f t="shared" si="22"/>
        <v>46118</v>
      </c>
      <c r="T117" s="67">
        <f t="shared" si="22"/>
        <v>46119</v>
      </c>
      <c r="U117" s="67">
        <f t="shared" si="22"/>
        <v>46120</v>
      </c>
      <c r="V117" s="67">
        <f t="shared" si="22"/>
        <v>46121</v>
      </c>
      <c r="W117" s="67">
        <f t="shared" si="22"/>
        <v>46122</v>
      </c>
      <c r="X117" s="67">
        <f t="shared" si="22"/>
        <v>46123</v>
      </c>
      <c r="Y117" s="67">
        <f t="shared" si="22"/>
        <v>46124</v>
      </c>
      <c r="Z117" s="67">
        <f t="shared" si="22"/>
        <v>46125</v>
      </c>
      <c r="AA117" s="67">
        <f t="shared" si="22"/>
        <v>46126</v>
      </c>
      <c r="AB117" s="67">
        <f t="shared" si="22"/>
        <v>46127</v>
      </c>
      <c r="AC117" s="67">
        <f t="shared" si="22"/>
        <v>46128</v>
      </c>
      <c r="AD117" s="67">
        <f t="shared" si="22"/>
        <v>46129</v>
      </c>
      <c r="AE117" s="67">
        <f t="shared" si="22"/>
        <v>46130</v>
      </c>
      <c r="AF117" s="67">
        <f t="shared" si="22"/>
        <v>46131</v>
      </c>
      <c r="AG117" s="38">
        <f t="shared" si="22"/>
        <v>46132</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46102</v>
      </c>
      <c r="D118" s="39">
        <f t="shared" si="22"/>
        <v>46103</v>
      </c>
      <c r="E118" s="39">
        <f t="shared" si="22"/>
        <v>46104</v>
      </c>
      <c r="F118" s="39">
        <f t="shared" si="22"/>
        <v>46105</v>
      </c>
      <c r="G118" s="39">
        <f t="shared" si="22"/>
        <v>46106</v>
      </c>
      <c r="H118" s="39">
        <f t="shared" si="22"/>
        <v>46107</v>
      </c>
      <c r="I118" s="39">
        <f t="shared" si="22"/>
        <v>46108</v>
      </c>
      <c r="J118" s="39">
        <f t="shared" si="22"/>
        <v>46109</v>
      </c>
      <c r="K118" s="39">
        <f t="shared" si="22"/>
        <v>46110</v>
      </c>
      <c r="L118" s="39">
        <f t="shared" si="22"/>
        <v>46111</v>
      </c>
      <c r="M118" s="39">
        <f t="shared" si="22"/>
        <v>46112</v>
      </c>
      <c r="N118" s="39">
        <f t="shared" si="22"/>
        <v>46113</v>
      </c>
      <c r="O118" s="39">
        <f t="shared" si="22"/>
        <v>46114</v>
      </c>
      <c r="P118" s="39">
        <f t="shared" si="22"/>
        <v>46115</v>
      </c>
      <c r="Q118" s="39">
        <f t="shared" si="22"/>
        <v>46116</v>
      </c>
      <c r="R118" s="39">
        <f t="shared" si="22"/>
        <v>46117</v>
      </c>
      <c r="S118" s="39">
        <f t="shared" si="22"/>
        <v>46118</v>
      </c>
      <c r="T118" s="39">
        <f t="shared" si="22"/>
        <v>46119</v>
      </c>
      <c r="U118" s="39">
        <f t="shared" si="22"/>
        <v>46120</v>
      </c>
      <c r="V118" s="39">
        <f t="shared" si="22"/>
        <v>46121</v>
      </c>
      <c r="W118" s="39">
        <f t="shared" si="22"/>
        <v>46122</v>
      </c>
      <c r="X118" s="39">
        <f t="shared" si="22"/>
        <v>46123</v>
      </c>
      <c r="Y118" s="39">
        <f t="shared" si="22"/>
        <v>46124</v>
      </c>
      <c r="Z118" s="39">
        <f t="shared" si="22"/>
        <v>46125</v>
      </c>
      <c r="AA118" s="39">
        <f t="shared" si="22"/>
        <v>46126</v>
      </c>
      <c r="AB118" s="39">
        <f t="shared" si="22"/>
        <v>46127</v>
      </c>
      <c r="AC118" s="39">
        <f t="shared" si="22"/>
        <v>46128</v>
      </c>
      <c r="AD118" s="39">
        <f t="shared" si="22"/>
        <v>46129</v>
      </c>
      <c r="AE118" s="39">
        <f t="shared" si="22"/>
        <v>46130</v>
      </c>
      <c r="AF118" s="39">
        <f t="shared" si="22"/>
        <v>46131</v>
      </c>
      <c r="AG118" s="40">
        <f t="shared" si="22"/>
        <v>46132</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F119" si="23">IF(C$118="","",IF(C$118=$K$154,"ハローワーク来所日⑤",""))</f>
        <v/>
      </c>
      <c r="D119" s="399" t="str">
        <f t="shared" si="23"/>
        <v/>
      </c>
      <c r="E119" s="399" t="s">
        <v>304</v>
      </c>
      <c r="F119" s="399" t="s">
        <v>304</v>
      </c>
      <c r="G119" s="399"/>
      <c r="H119" s="399" t="s">
        <v>304</v>
      </c>
      <c r="I119" s="399" t="s">
        <v>304</v>
      </c>
      <c r="J119" s="399" t="s">
        <v>68</v>
      </c>
      <c r="K119" s="399"/>
      <c r="L119" s="399"/>
      <c r="M119" s="399" t="s">
        <v>304</v>
      </c>
      <c r="N119" s="399"/>
      <c r="O119" s="399" t="s">
        <v>304</v>
      </c>
      <c r="P119" s="399" t="s">
        <v>304</v>
      </c>
      <c r="Q119" s="399" t="s">
        <v>68</v>
      </c>
      <c r="R119" s="399"/>
      <c r="S119" s="399" t="s">
        <v>304</v>
      </c>
      <c r="T119" s="399" t="str">
        <f t="shared" si="23"/>
        <v>ハローワーク来所日⑤</v>
      </c>
      <c r="U119" s="399"/>
      <c r="V119" s="399" t="s">
        <v>304</v>
      </c>
      <c r="W119" s="399" t="s">
        <v>304</v>
      </c>
      <c r="X119" s="399"/>
      <c r="Y119" s="399" t="s">
        <v>297</v>
      </c>
      <c r="Z119" s="399" t="s">
        <v>304</v>
      </c>
      <c r="AA119" s="399" t="s">
        <v>304</v>
      </c>
      <c r="AB119" s="399"/>
      <c r="AC119" s="399" t="s">
        <v>305</v>
      </c>
      <c r="AD119" s="399" t="s">
        <v>305</v>
      </c>
      <c r="AE119" s="399" t="str">
        <f t="shared" si="23"/>
        <v/>
      </c>
      <c r="AF119" s="399" t="str">
        <f t="shared" si="23"/>
        <v/>
      </c>
      <c r="AG119" s="402" t="s">
        <v>262</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c r="W131" s="49"/>
      <c r="X131" s="44"/>
      <c r="Y131" s="44"/>
      <c r="Z131" s="44"/>
      <c r="AA131" s="44" t="s">
        <v>69</v>
      </c>
      <c r="AB131" s="49"/>
      <c r="AC131" s="49"/>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[4]機構処理!BI93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c r="E133" s="57">
        <v>6</v>
      </c>
      <c r="F133" s="57">
        <v>6</v>
      </c>
      <c r="G133" s="57"/>
      <c r="H133" s="57">
        <v>6</v>
      </c>
      <c r="I133" s="57">
        <v>6</v>
      </c>
      <c r="J133" s="57">
        <v>0</v>
      </c>
      <c r="K133" s="57"/>
      <c r="L133" s="57"/>
      <c r="M133" s="57">
        <v>6</v>
      </c>
      <c r="N133" s="57"/>
      <c r="O133" s="57">
        <v>6</v>
      </c>
      <c r="P133" s="57">
        <v>6</v>
      </c>
      <c r="Q133" s="57">
        <v>0</v>
      </c>
      <c r="R133" s="57"/>
      <c r="S133" s="57">
        <v>6</v>
      </c>
      <c r="T133" s="57"/>
      <c r="U133" s="57"/>
      <c r="V133" s="57">
        <v>6</v>
      </c>
      <c r="W133" s="57">
        <v>6</v>
      </c>
      <c r="X133" s="57"/>
      <c r="Y133" s="57"/>
      <c r="Z133" s="57">
        <v>6</v>
      </c>
      <c r="AA133" s="57">
        <v>6</v>
      </c>
      <c r="AB133" s="57"/>
      <c r="AC133" s="57">
        <v>6</v>
      </c>
      <c r="AD133" s="57">
        <v>6</v>
      </c>
      <c r="AE133" s="57"/>
      <c r="AF133" s="57"/>
      <c r="AG133" s="73">
        <v>0</v>
      </c>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IF(C116="","",[4]機構処理!BF59)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287</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288</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0.54166666666666663</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IF([4]様式1!$E$20="","",AI21+AI44+AI66+AI88)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45952</v>
      </c>
      <c r="L140" s="385"/>
      <c r="M140" s="385"/>
      <c r="N140" s="385"/>
      <c r="O140" s="386"/>
      <c r="P140" s="96" t="s">
        <v>72</v>
      </c>
      <c r="Q140" s="387">
        <v>45981</v>
      </c>
      <c r="R140" s="385"/>
      <c r="S140" s="385"/>
      <c r="T140" s="385"/>
      <c r="U140" s="385"/>
      <c r="V140" s="390" t="s">
        <v>255</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46013</v>
      </c>
      <c r="L141" s="385"/>
      <c r="M141" s="385"/>
      <c r="N141" s="385"/>
      <c r="O141" s="386"/>
      <c r="P141" s="96" t="s">
        <v>72</v>
      </c>
      <c r="Q141" s="387">
        <v>46042</v>
      </c>
      <c r="R141" s="385"/>
      <c r="S141" s="385"/>
      <c r="T141" s="385"/>
      <c r="U141" s="385"/>
      <c r="V141" s="390" t="s">
        <v>255</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46104</v>
      </c>
      <c r="L142" s="385"/>
      <c r="M142" s="385"/>
      <c r="N142" s="385"/>
      <c r="O142" s="386"/>
      <c r="P142" s="96" t="s">
        <v>72</v>
      </c>
      <c r="Q142" s="387">
        <v>46129</v>
      </c>
      <c r="R142" s="385"/>
      <c r="S142" s="385"/>
      <c r="T142" s="385"/>
      <c r="U142" s="385"/>
      <c r="V142" s="388" t="s">
        <v>255</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0.41666666666666669</v>
      </c>
      <c r="D148" s="384"/>
      <c r="E148" s="94" t="s">
        <v>72</v>
      </c>
      <c r="F148" s="366">
        <v>0.4513888888888889</v>
      </c>
      <c r="G148" s="367"/>
      <c r="H148" s="15"/>
      <c r="I148" s="100" t="s">
        <v>86</v>
      </c>
      <c r="J148" s="15"/>
      <c r="K148" s="15"/>
      <c r="L148" s="15"/>
      <c r="M148" s="15"/>
      <c r="N148" s="15"/>
      <c r="O148" s="100" t="s">
        <v>289</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0.45833333333333331</v>
      </c>
      <c r="D149" s="366"/>
      <c r="E149" s="94" t="s">
        <v>72</v>
      </c>
      <c r="F149" s="366">
        <v>0.49305555555555558</v>
      </c>
      <c r="G149" s="367"/>
      <c r="H149" s="15"/>
      <c r="I149" s="363"/>
      <c r="J149" s="364"/>
      <c r="K149" s="349" t="s">
        <v>290</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v>
      </c>
      <c r="D150" s="366"/>
      <c r="E150" s="94" t="s">
        <v>72</v>
      </c>
      <c r="F150" s="366">
        <v>0.53472222222222221</v>
      </c>
      <c r="G150" s="367"/>
      <c r="H150" s="15"/>
      <c r="I150" s="380" t="str">
        <f>IF(AND(ハローワーク来所日パターン&lt;&gt;"",$C$29&lt;&gt;"",訓練終了日&gt;ハローワーク来所日1),"１回目","")</f>
        <v>１回目</v>
      </c>
      <c r="J150" s="381"/>
      <c r="K150" s="339">
        <f>IF($I150="","",ハローワーク来所日1)</f>
        <v>45996</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0.57638888888888884</v>
      </c>
      <c r="D151" s="366"/>
      <c r="E151" s="94" t="s">
        <v>72</v>
      </c>
      <c r="F151" s="366">
        <v>0.61111111111111116</v>
      </c>
      <c r="G151" s="367"/>
      <c r="H151" s="15"/>
      <c r="I151" s="380" t="str">
        <f>IF(AND(ハローワーク来所日パターン&lt;&gt;"",$C$51&lt;&gt;"",訓練終了日&gt;ハローワーク来所日2),"２回目","")</f>
        <v>２回目</v>
      </c>
      <c r="J151" s="381"/>
      <c r="K151" s="339">
        <f>IF($I151="","",ハローワーク来所日2)</f>
        <v>46029</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0.61805555555555558</v>
      </c>
      <c r="D152" s="366"/>
      <c r="E152" s="94" t="s">
        <v>72</v>
      </c>
      <c r="F152" s="366">
        <v>0.65277777777777779</v>
      </c>
      <c r="G152" s="367"/>
      <c r="H152" s="15"/>
      <c r="I152" s="380" t="str">
        <f>IF(AND(ハローワーク来所日パターン&lt;&gt;"",$C$73&lt;&gt;"",訓練終了日&gt;ハローワーク来所日3),"３回目","")</f>
        <v>３回目</v>
      </c>
      <c r="J152" s="381"/>
      <c r="K152" s="339">
        <f>IF($I152="","",ハローワーク来所日3)</f>
        <v>46062</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0.65972222222222221</v>
      </c>
      <c r="D153" s="366"/>
      <c r="E153" s="94" t="s">
        <v>72</v>
      </c>
      <c r="F153" s="366">
        <v>0.69444444444444442</v>
      </c>
      <c r="G153" s="367"/>
      <c r="H153" s="15"/>
      <c r="I153" s="380" t="str">
        <f>IF(AND(ハローワーク来所日パターン&lt;&gt;"",$C$95&lt;&gt;"",訓練終了日&gt;ハローワーク来所日4),"４回目","")</f>
        <v>４回目</v>
      </c>
      <c r="J153" s="381"/>
      <c r="K153" s="339">
        <f>IF($I153="","",ハローワーク来所日4)</f>
        <v>46085</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0.69444444444444442</v>
      </c>
      <c r="D154" s="366"/>
      <c r="E154" s="94" t="s">
        <v>72</v>
      </c>
      <c r="F154" s="366">
        <v>0.73611111111111116</v>
      </c>
      <c r="G154" s="367"/>
      <c r="H154" s="15"/>
      <c r="I154" s="380" t="str">
        <f>IF(AND(ハローワーク来所日パターン&lt;&gt;"",$C$116&lt;&gt;"",訓練終了日&gt;ハローワーク来所日5),"５回目","")</f>
        <v>５回目</v>
      </c>
      <c r="J154" s="381"/>
      <c r="K154" s="339">
        <f>IF($I154="","",ハローワーク来所日5)</f>
        <v>46119</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45951</v>
      </c>
      <c r="F172" s="340"/>
      <c r="G172" s="340"/>
      <c r="H172" s="340"/>
      <c r="I172" s="340"/>
      <c r="J172" s="94" t="s">
        <v>104</v>
      </c>
      <c r="K172" s="340">
        <f>IF(訓練開始日="","",IF(訓練終了日&lt;EDATE(訓練開始日,1)-1,訓練終了日,EDATE(E172,1)-1))</f>
        <v>45981</v>
      </c>
      <c r="L172" s="340"/>
      <c r="M172" s="340"/>
      <c r="N172" s="340"/>
      <c r="O172" s="341"/>
      <c r="P172" s="108"/>
      <c r="Q172" s="215">
        <f>IF(E172="","",(K172-E172+1))</f>
        <v>31</v>
      </c>
      <c r="R172" s="112" t="s">
        <v>52</v>
      </c>
      <c r="S172" s="101"/>
      <c r="T172" s="113"/>
      <c r="U172" s="215">
        <f>IF(E172="","",[4]機構処理!$BG$24)</f>
        <v>20</v>
      </c>
      <c r="V172" s="112" t="s">
        <v>52</v>
      </c>
      <c r="W172" s="101"/>
      <c r="X172" s="353">
        <f>IF(E172="","",[4]機構処理!BG72)</f>
        <v>0</v>
      </c>
      <c r="Y172" s="354"/>
      <c r="Z172" s="354"/>
      <c r="AA172" s="114" t="s">
        <v>66</v>
      </c>
      <c r="AB172" s="107"/>
      <c r="AC172" s="344">
        <f>IF(E172="","",[4]機構処理!$BH$25)</f>
        <v>102</v>
      </c>
      <c r="AD172" s="345"/>
      <c r="AE172" s="345"/>
      <c r="AF172" s="324" t="s">
        <v>66</v>
      </c>
      <c r="AG172" s="325"/>
      <c r="AH172" s="346" t="str">
        <f>[4]機構処理!BR26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45982</v>
      </c>
      <c r="F173" s="340"/>
      <c r="G173" s="340"/>
      <c r="H173" s="340"/>
      <c r="I173" s="340"/>
      <c r="J173" s="94" t="s">
        <v>104</v>
      </c>
      <c r="K173" s="340">
        <f>IF(E173="","",IF(EDATE(E173,1)-1&lt;訓練終了日,EDATE(E173,1)-1,訓練終了日))</f>
        <v>46011</v>
      </c>
      <c r="L173" s="340"/>
      <c r="M173" s="340"/>
      <c r="N173" s="340"/>
      <c r="O173" s="341"/>
      <c r="P173" s="108"/>
      <c r="Q173" s="215">
        <f>IF(E173="","",(K173-E173+1))</f>
        <v>30</v>
      </c>
      <c r="R173" s="109" t="s">
        <v>52</v>
      </c>
      <c r="S173" s="101"/>
      <c r="T173" s="108"/>
      <c r="U173" s="215">
        <f>IF(E173="","",[4]機構処理!$BG$30)</f>
        <v>17</v>
      </c>
      <c r="V173" s="109" t="s">
        <v>52</v>
      </c>
      <c r="W173" s="101"/>
      <c r="X173" s="342">
        <f>IF(E173="","",[4]機構処理!BG77)</f>
        <v>0</v>
      </c>
      <c r="Y173" s="343"/>
      <c r="Z173" s="343"/>
      <c r="AA173" s="114" t="s">
        <v>66</v>
      </c>
      <c r="AB173" s="107"/>
      <c r="AC173" s="344">
        <f>IF(E173="","",[4]機構処理!$BH$31)</f>
        <v>102</v>
      </c>
      <c r="AD173" s="345"/>
      <c r="AE173" s="345"/>
      <c r="AF173" s="324" t="s">
        <v>66</v>
      </c>
      <c r="AG173" s="325"/>
      <c r="AH173" s="346" t="str">
        <f>[4]機構処理!BR27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46012</v>
      </c>
      <c r="F174" s="340"/>
      <c r="G174" s="340"/>
      <c r="H174" s="340"/>
      <c r="I174" s="340"/>
      <c r="J174" s="94" t="s">
        <v>104</v>
      </c>
      <c r="K174" s="340">
        <f>IF(E174="","",IF(EDATE(E174,1)-1&lt;訓練終了日,EDATE(E174,1)-1,訓練終了日))</f>
        <v>46042</v>
      </c>
      <c r="L174" s="340"/>
      <c r="M174" s="340"/>
      <c r="N174" s="340"/>
      <c r="O174" s="341"/>
      <c r="P174" s="108"/>
      <c r="Q174" s="215">
        <f>IF(E174="","",(K174-E174+1))</f>
        <v>31</v>
      </c>
      <c r="R174" s="109" t="s">
        <v>52</v>
      </c>
      <c r="S174" s="101"/>
      <c r="T174" s="108"/>
      <c r="U174" s="215">
        <f>IF(E174="","",[4]機構処理!$BG$36)</f>
        <v>16</v>
      </c>
      <c r="V174" s="109" t="s">
        <v>52</v>
      </c>
      <c r="W174" s="101"/>
      <c r="X174" s="342">
        <f>IF(E174="","",[4]機構処理!BG81)</f>
        <v>0</v>
      </c>
      <c r="Y174" s="343"/>
      <c r="Z174" s="343"/>
      <c r="AA174" s="114" t="s">
        <v>66</v>
      </c>
      <c r="AB174" s="107"/>
      <c r="AC174" s="344">
        <f>IF(E174="","",[4]機構処理!$BH$37)</f>
        <v>84</v>
      </c>
      <c r="AD174" s="345"/>
      <c r="AE174" s="345"/>
      <c r="AF174" s="324" t="s">
        <v>66</v>
      </c>
      <c r="AG174" s="325"/>
      <c r="AH174" s="346" t="str">
        <f>[4]機構処理!BR28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46043</v>
      </c>
      <c r="F175" s="340"/>
      <c r="G175" s="340"/>
      <c r="H175" s="340"/>
      <c r="I175" s="340"/>
      <c r="J175" s="94" t="s">
        <v>104</v>
      </c>
      <c r="K175" s="340">
        <f>IF(E175="","",IF(EDATE(E175,1)-1&lt;訓練終了日,EDATE(E175,1)-1,訓練終了日))</f>
        <v>46073</v>
      </c>
      <c r="L175" s="340"/>
      <c r="M175" s="340"/>
      <c r="N175" s="340"/>
      <c r="O175" s="341"/>
      <c r="P175" s="108"/>
      <c r="Q175" s="215">
        <f>IF(E175="","",(K175-E175+1))</f>
        <v>31</v>
      </c>
      <c r="R175" s="109" t="s">
        <v>52</v>
      </c>
      <c r="S175" s="101"/>
      <c r="T175" s="108"/>
      <c r="U175" s="215">
        <f>IF(E175="","",[4]機構処理!$BG$42)</f>
        <v>15</v>
      </c>
      <c r="V175" s="109" t="s">
        <v>52</v>
      </c>
      <c r="W175" s="101"/>
      <c r="X175" s="342">
        <f>IF(E175="","",[4]機構処理!BG85)</f>
        <v>0</v>
      </c>
      <c r="Y175" s="343"/>
      <c r="Z175" s="343"/>
      <c r="AA175" s="114" t="s">
        <v>66</v>
      </c>
      <c r="AB175" s="107"/>
      <c r="AC175" s="344">
        <f>IF(E175="","",[4]機構処理!$BH$43)</f>
        <v>90</v>
      </c>
      <c r="AD175" s="345"/>
      <c r="AE175" s="345"/>
      <c r="AF175" s="324" t="s">
        <v>66</v>
      </c>
      <c r="AG175" s="325"/>
      <c r="AH175" s="346" t="str">
        <f>[4]機構処理!BR29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46074</v>
      </c>
      <c r="F176" s="340"/>
      <c r="G176" s="340"/>
      <c r="H176" s="340"/>
      <c r="I176" s="340"/>
      <c r="J176" s="94" t="s">
        <v>104</v>
      </c>
      <c r="K176" s="340">
        <f>IF(E176="","",IF(EDATE(E176,1)-1&lt;訓練終了日,EDATE(E176,1)-1,訓練終了日))</f>
        <v>46101</v>
      </c>
      <c r="L176" s="340"/>
      <c r="M176" s="340"/>
      <c r="N176" s="340"/>
      <c r="O176" s="341"/>
      <c r="P176" s="108"/>
      <c r="Q176" s="215">
        <f>IF(E176="","",K176-E176+1)</f>
        <v>28</v>
      </c>
      <c r="R176" s="109" t="s">
        <v>52</v>
      </c>
      <c r="S176" s="101"/>
      <c r="T176" s="108"/>
      <c r="U176" s="215">
        <f>IF(E176="","",[4]機構処理!$BG$48)</f>
        <v>14</v>
      </c>
      <c r="V176" s="109" t="s">
        <v>52</v>
      </c>
      <c r="W176" s="101"/>
      <c r="X176" s="342">
        <f>IF(E176="","",[4]機構処理!BG89)</f>
        <v>0</v>
      </c>
      <c r="Y176" s="343"/>
      <c r="Z176" s="343"/>
      <c r="AA176" s="114" t="s">
        <v>66</v>
      </c>
      <c r="AB176" s="107"/>
      <c r="AC176" s="344">
        <f>IF(E176="","",[4]機構処理!$BH$49)</f>
        <v>84</v>
      </c>
      <c r="AD176" s="345"/>
      <c r="AE176" s="345"/>
      <c r="AF176" s="324" t="s">
        <v>66</v>
      </c>
      <c r="AG176" s="325"/>
      <c r="AH176" s="346" t="str">
        <f>[4]機構処理!BQ30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46102</v>
      </c>
      <c r="F177" s="340"/>
      <c r="G177" s="340"/>
      <c r="H177" s="340"/>
      <c r="I177" s="340"/>
      <c r="J177" s="94" t="s">
        <v>104</v>
      </c>
      <c r="K177" s="340">
        <f>IF(E177="","",IF(EDATE(E177,1)-1&lt;訓練終了日,EDATE(E177,1)-1,訓練終了日))</f>
        <v>46132</v>
      </c>
      <c r="L177" s="340"/>
      <c r="M177" s="340"/>
      <c r="N177" s="340"/>
      <c r="O177" s="341"/>
      <c r="P177" s="108"/>
      <c r="Q177" s="215">
        <f>IF(E177="","",K177-E177+1)</f>
        <v>31</v>
      </c>
      <c r="R177" s="109" t="s">
        <v>52</v>
      </c>
      <c r="S177" s="101"/>
      <c r="T177" s="108"/>
      <c r="U177" s="215">
        <f>IF(E177="","",[4]機構処理!$BG$54)</f>
        <v>17</v>
      </c>
      <c r="V177" s="109" t="s">
        <v>52</v>
      </c>
      <c r="W177" s="101"/>
      <c r="X177" s="342">
        <f>IF(E177="","",[4]機構処理!BG93)</f>
        <v>0</v>
      </c>
      <c r="Y177" s="343"/>
      <c r="Z177" s="343"/>
      <c r="AA177" s="114" t="s">
        <v>66</v>
      </c>
      <c r="AB177" s="107"/>
      <c r="AC177" s="344">
        <f>IF(E177="","",[4]機構処理!$BH$55)</f>
        <v>84</v>
      </c>
      <c r="AD177" s="345"/>
      <c r="AE177" s="345"/>
      <c r="AF177" s="324" t="s">
        <v>66</v>
      </c>
      <c r="AG177" s="325"/>
      <c r="AH177" s="346" t="str">
        <f>[4]機構処理!BQ31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182</v>
      </c>
      <c r="Q178" s="334"/>
      <c r="R178" s="111" t="s">
        <v>52</v>
      </c>
      <c r="S178" s="115"/>
      <c r="T178" s="333">
        <f>IF(U172="","",SUM(U172:U177))</f>
        <v>99</v>
      </c>
      <c r="U178" s="335"/>
      <c r="V178" s="109" t="s">
        <v>52</v>
      </c>
      <c r="W178" s="101"/>
      <c r="X178" s="336">
        <f>IF(X172="","",SUM(X172:Z177))</f>
        <v>0</v>
      </c>
      <c r="Y178" s="337"/>
      <c r="Z178" s="337"/>
      <c r="AA178" s="114" t="s">
        <v>66</v>
      </c>
      <c r="AB178" s="107"/>
      <c r="AC178" s="333">
        <f>IF(AC172="","",SUM(AC172:AC177))</f>
        <v>546</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546</v>
      </c>
      <c r="AH184" s="219" t="s">
        <v>208</v>
      </c>
    </row>
    <row r="185" spans="1:48" ht="30" hidden="1" customHeight="1">
      <c r="V185" s="217" t="s">
        <v>209</v>
      </c>
      <c r="X185" s="218" t="s">
        <v>210</v>
      </c>
      <c r="AC185" s="218">
        <f>訓練時間合計</f>
        <v>546</v>
      </c>
      <c r="AH185" s="219" t="s">
        <v>211</v>
      </c>
    </row>
    <row r="186" spans="1:48" ht="30" hidden="1" customHeight="1">
      <c r="V186" s="217" t="s">
        <v>212</v>
      </c>
      <c r="X186" s="218" t="s">
        <v>213</v>
      </c>
      <c r="AC186" s="218">
        <f>IF(様6_訓練時間合計="",0,様6_訓練時間合計)</f>
        <v>546</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47">
    <cfRule type="expression" dxfId="396" priority="5">
      <formula>WORKDAY(C$6+1,-1,祝祭日)&lt;&gt;C$6</formula>
    </cfRule>
  </conditionalFormatting>
  <conditionalFormatting sqref="C160">
    <cfRule type="containsBlanks" dxfId="395" priority="11">
      <formula>LEN(TRIM(C160))=0</formula>
    </cfRule>
  </conditionalFormatting>
  <conditionalFormatting sqref="C6:AG27">
    <cfRule type="expression" dxfId="394" priority="41">
      <formula>WORKDAY(C$6+1,-1,祝祭日)&lt;&gt;C$6</formula>
    </cfRule>
  </conditionalFormatting>
  <conditionalFormatting sqref="C22:AG22">
    <cfRule type="expression" dxfId="393" priority="48">
      <formula>$AH$22&lt;&gt;""</formula>
    </cfRule>
  </conditionalFormatting>
  <conditionalFormatting sqref="C29:AG46">
    <cfRule type="expression" dxfId="392" priority="32">
      <formula>WORKDAY(C$29+1,-1,祝祭日)&lt;&gt;C$29</formula>
    </cfRule>
  </conditionalFormatting>
  <conditionalFormatting sqref="C45:AG45">
    <cfRule type="expression" dxfId="391" priority="47">
      <formula>+$AH$45&lt;&gt;""</formula>
    </cfRule>
  </conditionalFormatting>
  <conditionalFormatting sqref="C51:AG71">
    <cfRule type="expression" dxfId="390" priority="3">
      <formula>WORKDAY(C$51+1,-1,祝祭日)&lt;&gt;C$51</formula>
    </cfRule>
  </conditionalFormatting>
  <conditionalFormatting sqref="C67:AG67">
    <cfRule type="expression" dxfId="389" priority="4">
      <formula>+$AH$67&lt;&gt;""</formula>
    </cfRule>
  </conditionalFormatting>
  <conditionalFormatting sqref="C73:AG93">
    <cfRule type="expression" dxfId="388" priority="1">
      <formula>WORKDAY(C$73+1,-1,祝祭日)&lt;&gt;C$73</formula>
    </cfRule>
  </conditionalFormatting>
  <conditionalFormatting sqref="C89:AG89">
    <cfRule type="expression" dxfId="387" priority="2">
      <formula>+$AH$89&lt;&gt;""</formula>
    </cfRule>
  </conditionalFormatting>
  <conditionalFormatting sqref="C95:AG114">
    <cfRule type="expression" dxfId="386" priority="43">
      <formula>WORKDAY(C$95+1,-1,祝祭日)&lt;&gt;C$95</formula>
    </cfRule>
  </conditionalFormatting>
  <conditionalFormatting sqref="C110:AG110">
    <cfRule type="expression" dxfId="385" priority="49">
      <formula>+$AH$110&lt;&gt;""</formula>
    </cfRule>
  </conditionalFormatting>
  <conditionalFormatting sqref="C116:AG135">
    <cfRule type="expression" dxfId="384" priority="42">
      <formula>WORKDAY(C$116+1,-1,祝祭日)&lt;&gt;C$116</formula>
    </cfRule>
  </conditionalFormatting>
  <conditionalFormatting sqref="C131:AG131">
    <cfRule type="expression" dxfId="383" priority="50">
      <formula>+$AH$131&lt;&gt;""</formula>
    </cfRule>
  </conditionalFormatting>
  <conditionalFormatting sqref="D158:E158">
    <cfRule type="containsBlanks" dxfId="382" priority="36">
      <formula>LEN(TRIM(D158))=0</formula>
    </cfRule>
  </conditionalFormatting>
  <conditionalFormatting sqref="D139:F140">
    <cfRule type="cellIs" dxfId="381" priority="35" operator="equal">
      <formula>""</formula>
    </cfRule>
  </conditionalFormatting>
  <conditionalFormatting sqref="F148:F154 C149:C154">
    <cfRule type="cellIs" dxfId="380" priority="46" stopIfTrue="1" operator="equal">
      <formula>""</formula>
    </cfRule>
  </conditionalFormatting>
  <conditionalFormatting sqref="F154">
    <cfRule type="cellIs" dxfId="379" priority="45" operator="greaterThan">
      <formula>0.917</formula>
    </cfRule>
  </conditionalFormatting>
  <conditionalFormatting sqref="F155:F156 C155:C156">
    <cfRule type="containsBlanks" dxfId="378" priority="14">
      <formula>LEN(TRIM(C155))=0</formula>
    </cfRule>
  </conditionalFormatting>
  <conditionalFormatting sqref="F153:G153">
    <cfRule type="cellIs" dxfId="377" priority="6" operator="greaterThan">
      <formula>0.917</formula>
    </cfRule>
  </conditionalFormatting>
  <conditionalFormatting sqref="F156:G156">
    <cfRule type="cellIs" dxfId="376" priority="9" operator="greaterThan">
      <formula>0.917</formula>
    </cfRule>
  </conditionalFormatting>
  <conditionalFormatting sqref="F160:G168 C161:D168">
    <cfRule type="containsBlanks" dxfId="375" priority="40">
      <formula>LEN(TRIM(C160))=0</formula>
    </cfRule>
  </conditionalFormatting>
  <conditionalFormatting sqref="F166:G166">
    <cfRule type="cellIs" dxfId="374" priority="8" operator="greaterThan">
      <formula>0.917</formula>
    </cfRule>
  </conditionalFormatting>
  <conditionalFormatting sqref="F168:G168">
    <cfRule type="cellIs" dxfId="373" priority="39" operator="greaterThan">
      <formula>0.917</formula>
    </cfRule>
  </conditionalFormatting>
  <conditionalFormatting sqref="K1">
    <cfRule type="expression" dxfId="372" priority="33">
      <formula>$K$1&lt;&gt;""</formula>
    </cfRule>
  </conditionalFormatting>
  <conditionalFormatting sqref="K140:O145 Q140:AG145">
    <cfRule type="containsBlanks" dxfId="371" priority="13">
      <formula>LEN(TRIM(K140))=0</formula>
    </cfRule>
  </conditionalFormatting>
  <conditionalFormatting sqref="N160">
    <cfRule type="containsBlanks" dxfId="370" priority="10">
      <formula>LEN(TRIM(N160))=0</formula>
    </cfRule>
  </conditionalFormatting>
  <conditionalFormatting sqref="O158:P158">
    <cfRule type="containsBlanks" dxfId="369" priority="12">
      <formula>LEN(TRIM(O158))=0</formula>
    </cfRule>
  </conditionalFormatting>
  <conditionalFormatting sqref="P170:W170">
    <cfRule type="expression" dxfId="368" priority="51">
      <formula>AND(訓練種別コード="001",AI21+AI44+AI66+AI88+#REF!+#REF!&gt;0)</formula>
    </cfRule>
  </conditionalFormatting>
  <conditionalFormatting sqref="Q172:Q177">
    <cfRule type="cellIs" dxfId="367" priority="44" stopIfTrue="1" operator="lessThan">
      <formula>28</formula>
    </cfRule>
  </conditionalFormatting>
  <conditionalFormatting sqref="Q160:R168 N161:O168">
    <cfRule type="containsBlanks" dxfId="366" priority="38">
      <formula>LEN(TRIM(N160))=0</formula>
    </cfRule>
  </conditionalFormatting>
  <conditionalFormatting sqref="Q166:R166">
    <cfRule type="cellIs" dxfId="365" priority="37" operator="greaterThan">
      <formula>0.917</formula>
    </cfRule>
  </conditionalFormatting>
  <conditionalFormatting sqref="Q168:R168">
    <cfRule type="cellIs" dxfId="364" priority="7" operator="greaterThan">
      <formula>0.917</formula>
    </cfRule>
  </conditionalFormatting>
  <conditionalFormatting sqref="X171:AB171 X172 AA172:AB172 X173:AB178">
    <cfRule type="expression" dxfId="363" priority="34">
      <formula>$X$171=""</formula>
    </cfRule>
  </conditionalFormatting>
  <conditionalFormatting sqref="AC178:AE178">
    <cfRule type="expression" dxfId="362" priority="15">
      <formula>AND(NOT(VALUE(訓練総時間)=訓練時間合計),NOT(VALUE(訓練総時間)=IF(様6_訓練時間合計="",0,様6_訓練時間合計)))</formula>
    </cfRule>
  </conditionalFormatting>
  <conditionalFormatting sqref="AH89:AI89">
    <cfRule type="expression" dxfId="361" priority="27">
      <formula>$AI89=""</formula>
    </cfRule>
  </conditionalFormatting>
  <conditionalFormatting sqref="AH111:AI111">
    <cfRule type="expression" dxfId="360" priority="26">
      <formula>$AI111=""</formula>
    </cfRule>
  </conditionalFormatting>
  <conditionalFormatting sqref="AH22:AJ23">
    <cfRule type="expression" dxfId="359" priority="31">
      <formula>$AI22=""</formula>
    </cfRule>
  </conditionalFormatting>
  <conditionalFormatting sqref="AH45:AJ46">
    <cfRule type="expression" dxfId="358" priority="30">
      <formula>$AI45=""</formula>
    </cfRule>
  </conditionalFormatting>
  <conditionalFormatting sqref="AH67:AJ68">
    <cfRule type="expression" dxfId="357" priority="29">
      <formula>$AI67=""</formula>
    </cfRule>
  </conditionalFormatting>
  <conditionalFormatting sqref="AH90:AJ90">
    <cfRule type="expression" dxfId="356" priority="28">
      <formula>$AI90=""</formula>
    </cfRule>
  </conditionalFormatting>
  <conditionalFormatting sqref="AH110:AJ110">
    <cfRule type="expression" dxfId="355" priority="25">
      <formula>$AI110=""</formula>
    </cfRule>
  </conditionalFormatting>
  <conditionalFormatting sqref="AH131:AJ132">
    <cfRule type="expression" dxfId="354" priority="24">
      <formula>$AI131=""</formula>
    </cfRule>
  </conditionalFormatting>
  <conditionalFormatting sqref="AH178:AL178">
    <cfRule type="expression" dxfId="353" priority="17">
      <formula>$AH$178=""</formula>
    </cfRule>
  </conditionalFormatting>
  <conditionalFormatting sqref="AI27:AL27">
    <cfRule type="expression" dxfId="352" priority="23">
      <formula>$C6=""</formula>
    </cfRule>
  </conditionalFormatting>
  <conditionalFormatting sqref="AI49:AL49">
    <cfRule type="expression" dxfId="351" priority="22">
      <formula>$C29=""</formula>
    </cfRule>
  </conditionalFormatting>
  <conditionalFormatting sqref="AI71:AL71">
    <cfRule type="expression" dxfId="350" priority="21">
      <formula>$C51=""</formula>
    </cfRule>
  </conditionalFormatting>
  <conditionalFormatting sqref="AI93:AL93">
    <cfRule type="expression" dxfId="349" priority="20">
      <formula>$C73=""</formula>
    </cfRule>
  </conditionalFormatting>
  <conditionalFormatting sqref="AI114:AL114">
    <cfRule type="expression" dxfId="348" priority="19">
      <formula>$C$95=""</formula>
    </cfRule>
  </conditionalFormatting>
  <conditionalFormatting sqref="AI135:AL135">
    <cfRule type="expression" dxfId="347" priority="18">
      <formula>$C$116=""</formula>
    </cfRule>
  </conditionalFormatting>
  <conditionalFormatting sqref="AK189:AL189">
    <cfRule type="expression" dxfId="346" priority="16">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2C1A6F13-6F5F-458B-B471-2A2CD2FC8AC6}">
      <formula1>"○"</formula1>
    </dataValidation>
    <dataValidation type="whole" imeMode="off" allowBlank="1" showInputMessage="1" showErrorMessage="1" sqref="C24:AG27 C47:AG49 C133:AG135 C91:AG93 C112:AG114 C69:AG71" xr:uid="{AE101608-8B1A-4441-A901-B999C649C4CE}">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A66F9793-87B2-4BB4-ACD9-846E2515E3A3}"/>
    <dataValidation type="list" allowBlank="1" showInputMessage="1" showErrorMessage="1" sqref="C89:AG89 C45:AG45 C110:AG110 C22:AG22 C67:AG67 C131:AG131" xr:uid="{511C6EB7-1A01-4DB0-BB3D-0903C5FAC99B}">
      <formula1>"○,◎"</formula1>
    </dataValidation>
    <dataValidation imeMode="hiragana" allowBlank="1" showInputMessage="1" showErrorMessage="1" sqref="C97:AG109 C118:AG130 C75:AG87 C53:AG65 C31:AG43 C8:AG20 V140:AG145" xr:uid="{926F793D-F371-40F0-AF7E-1150CA41A85E}"/>
  </dataValidations>
  <hyperlinks>
    <hyperlink ref="AJ150" location="様式7の１!B8" display="様式7の１作成へ" xr:uid="{9C4C6597-966D-4E10-8411-06BC0899F03B}"/>
    <hyperlink ref="AJ152" location="一覧表!M42" display="一覧表へ戻る" xr:uid="{EC8C4665-CC97-4237-AD13-BC9FA3D9110D}"/>
  </hyperlinks>
  <printOptions horizontalCentered="1"/>
  <pageMargins left="0.6692913385826772" right="0.31496062992125984" top="0.35433070866141736" bottom="0.35433070866141736" header="0.11811023622047245" footer="0.11811023622047245"/>
  <pageSetup paperSize="9" scale="55"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20865" r:id="rId4" name="来所日選択">
              <controlPr defaultSize="0" print="0" autoLine="0" autoPict="0">
                <anchor moveWithCells="1">
                  <from>
                    <xdr:col>4</xdr:col>
                    <xdr:colOff>335280</xdr:colOff>
                    <xdr:row>0</xdr:row>
                    <xdr:rowOff>182880</xdr:rowOff>
                  </from>
                  <to>
                    <xdr:col>8</xdr:col>
                    <xdr:colOff>335280</xdr:colOff>
                    <xdr:row>1</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713A-A734-437D-8C40-89972455D3DF}">
  <dimension ref="A1:BQ248"/>
  <sheetViews>
    <sheetView zoomScale="80" zoomScaleNormal="80" zoomScaleSheetLayoutView="80" workbookViewId="0">
      <selection activeCell="AA119" sqref="AA119:AA130"/>
    </sheetView>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7" width="5.88671875" style="14" customWidth="1"/>
    <col min="38"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c r="L1" s="419"/>
      <c r="M1" s="419"/>
      <c r="N1" s="419"/>
      <c r="O1" s="419"/>
      <c r="P1" s="419"/>
      <c r="Q1" s="419"/>
      <c r="R1" s="419"/>
      <c r="S1" s="419"/>
      <c r="T1" s="419"/>
      <c r="U1" s="419"/>
      <c r="Y1" s="15"/>
      <c r="Z1" s="15"/>
      <c r="AA1" s="15"/>
      <c r="AB1" s="15"/>
      <c r="AC1" s="15"/>
      <c r="AD1" s="15"/>
      <c r="AE1" s="15"/>
      <c r="AF1" s="17"/>
      <c r="AG1" s="18"/>
      <c r="AH1" s="19"/>
      <c r="AI1" s="20"/>
      <c r="AJ1" s="20"/>
      <c r="AK1" s="20"/>
      <c r="AL1" s="20"/>
      <c r="AM1" s="20"/>
      <c r="AN1" s="20"/>
      <c r="AO1" s="20"/>
      <c r="AP1" s="20"/>
      <c r="AQ1" s="20"/>
      <c r="AR1" s="20"/>
      <c r="AS1" s="20"/>
      <c r="AT1" s="20"/>
      <c r="AU1" s="20"/>
      <c r="AV1" s="20"/>
    </row>
    <row r="2" spans="1:69" ht="18.75" customHeight="1">
      <c r="A2" s="420"/>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row>
    <row r="4" spans="1:69" s="27" customFormat="1" ht="20.100000000000001" customHeight="1">
      <c r="A4" s="421"/>
      <c r="B4" s="421"/>
      <c r="C4" s="421"/>
      <c r="D4" s="421"/>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row>
    <row r="5" spans="1:69" ht="14.4">
      <c r="A5" s="15"/>
      <c r="B5" s="15"/>
      <c r="C5" s="28"/>
      <c r="D5" s="28"/>
      <c r="E5" s="29"/>
      <c r="F5" s="29"/>
      <c r="G5" s="29"/>
      <c r="H5" s="29"/>
      <c r="I5" s="29"/>
      <c r="J5" s="29"/>
      <c r="V5" s="28"/>
      <c r="W5" s="28"/>
      <c r="X5" s="28"/>
      <c r="Y5" s="28"/>
      <c r="Z5" s="28"/>
      <c r="AA5" s="28"/>
      <c r="AB5" s="28"/>
      <c r="AC5" s="28"/>
      <c r="AD5" s="28"/>
      <c r="AE5" s="28"/>
      <c r="AF5" s="28"/>
      <c r="AG5" s="28"/>
      <c r="AH5" s="19"/>
      <c r="AI5" s="20"/>
      <c r="AJ5" s="20"/>
      <c r="AK5" s="20"/>
      <c r="AL5" s="20"/>
      <c r="AM5" s="20"/>
      <c r="AN5" s="20"/>
      <c r="AO5" s="20"/>
      <c r="AP5" s="20"/>
      <c r="AQ5" s="20"/>
      <c r="AR5" s="20"/>
      <c r="AS5" s="20"/>
      <c r="AT5" s="20"/>
      <c r="AU5" s="20"/>
      <c r="AV5" s="20"/>
    </row>
    <row r="6" spans="1:69" ht="18" customHeight="1">
      <c r="A6" s="30"/>
      <c r="B6" s="287" t="s">
        <v>51</v>
      </c>
      <c r="C6" s="288">
        <f>訓練開始日</f>
        <v>46133</v>
      </c>
      <c r="D6" s="289">
        <f>IF(C6="","",C6+1)</f>
        <v>46134</v>
      </c>
      <c r="E6" s="289">
        <f t="shared" ref="E6:P6" si="0">IF(D6="","",D6+1)</f>
        <v>46135</v>
      </c>
      <c r="F6" s="289">
        <f t="shared" si="0"/>
        <v>46136</v>
      </c>
      <c r="G6" s="289">
        <f t="shared" si="0"/>
        <v>46137</v>
      </c>
      <c r="H6" s="289">
        <f t="shared" si="0"/>
        <v>46138</v>
      </c>
      <c r="I6" s="289">
        <f t="shared" si="0"/>
        <v>46139</v>
      </c>
      <c r="J6" s="289">
        <f t="shared" si="0"/>
        <v>46140</v>
      </c>
      <c r="K6" s="289">
        <f t="shared" si="0"/>
        <v>46141</v>
      </c>
      <c r="L6" s="289">
        <f t="shared" si="0"/>
        <v>46142</v>
      </c>
      <c r="M6" s="289">
        <f t="shared" si="0"/>
        <v>46143</v>
      </c>
      <c r="N6" s="289">
        <f t="shared" si="0"/>
        <v>46144</v>
      </c>
      <c r="O6" s="289">
        <f t="shared" si="0"/>
        <v>46145</v>
      </c>
      <c r="P6" s="289">
        <f t="shared" si="0"/>
        <v>46146</v>
      </c>
      <c r="Q6" s="289">
        <f t="shared" ref="Q6:AB6" si="1">IF(P6="","",IF(P6+1&gt;訓練終了日,"",P6+1))</f>
        <v>46147</v>
      </c>
      <c r="R6" s="289">
        <f t="shared" si="1"/>
        <v>46148</v>
      </c>
      <c r="S6" s="289">
        <f t="shared" si="1"/>
        <v>46149</v>
      </c>
      <c r="T6" s="289">
        <f t="shared" si="1"/>
        <v>46150</v>
      </c>
      <c r="U6" s="289">
        <f t="shared" si="1"/>
        <v>46151</v>
      </c>
      <c r="V6" s="289">
        <f t="shared" si="1"/>
        <v>46152</v>
      </c>
      <c r="W6" s="289">
        <f t="shared" si="1"/>
        <v>46153</v>
      </c>
      <c r="X6" s="289">
        <f t="shared" si="1"/>
        <v>46154</v>
      </c>
      <c r="Y6" s="289">
        <f t="shared" si="1"/>
        <v>46155</v>
      </c>
      <c r="Z6" s="289">
        <f t="shared" si="1"/>
        <v>46156</v>
      </c>
      <c r="AA6" s="289">
        <f t="shared" si="1"/>
        <v>46157</v>
      </c>
      <c r="AB6" s="289">
        <f t="shared" si="1"/>
        <v>46158</v>
      </c>
      <c r="AC6" s="289">
        <f>IF(AB6="","",IF(AB6+1&gt;訓練終了日,"",IF(AB6+1&gt;=EDATE(C6,1),"",AB6+1)))</f>
        <v>46159</v>
      </c>
      <c r="AD6" s="289">
        <f>IF(AC6="","",IF(AC6+1&gt;訓練終了日,"",IF(AC6+1&gt;=EDATE(C6,1),"",AC6+1)))</f>
        <v>46160</v>
      </c>
      <c r="AE6" s="289">
        <f>IF(AD6="","",IF(AD6+1&gt;訓練終了日,"",IF(AD6+1&gt;=EDATE(C6,1),"",AD6+1)))</f>
        <v>46161</v>
      </c>
      <c r="AF6" s="289">
        <f>IF(AE6="","",IF(AE6+1&gt;訓練終了日,"",IF(AE6+1&gt;=EDATE(C6,1),"",AE6+1)))</f>
        <v>46162</v>
      </c>
      <c r="AG6" s="289" t="str">
        <f>IF(AF6="","",IF(AF6+1&gt;訓練終了日,"",IF(AF6+1&gt;=EDATE(C6,1),"",AF6+1)))</f>
        <v/>
      </c>
      <c r="AH6" s="19"/>
      <c r="AI6" s="20"/>
      <c r="AJ6" s="20"/>
      <c r="AK6" s="20"/>
      <c r="AL6" s="20"/>
      <c r="AM6" s="20"/>
      <c r="AN6" s="20"/>
      <c r="AO6" s="34"/>
      <c r="AP6" s="20"/>
      <c r="AQ6" s="20"/>
      <c r="AR6" s="20"/>
      <c r="AS6" s="20"/>
      <c r="AT6" s="20"/>
      <c r="AU6" s="20"/>
      <c r="AV6" s="20"/>
    </row>
    <row r="7" spans="1:69" ht="18" customHeight="1">
      <c r="A7" s="35"/>
      <c r="B7" s="287" t="s">
        <v>52</v>
      </c>
      <c r="C7" s="290">
        <f t="shared" ref="C7:AG8" si="2">+C6</f>
        <v>46133</v>
      </c>
      <c r="D7" s="291">
        <f t="shared" si="2"/>
        <v>46134</v>
      </c>
      <c r="E7" s="291">
        <f t="shared" si="2"/>
        <v>46135</v>
      </c>
      <c r="F7" s="291">
        <f t="shared" si="2"/>
        <v>46136</v>
      </c>
      <c r="G7" s="291">
        <f t="shared" si="2"/>
        <v>46137</v>
      </c>
      <c r="H7" s="291">
        <f t="shared" si="2"/>
        <v>46138</v>
      </c>
      <c r="I7" s="291">
        <f t="shared" si="2"/>
        <v>46139</v>
      </c>
      <c r="J7" s="291">
        <f t="shared" si="2"/>
        <v>46140</v>
      </c>
      <c r="K7" s="291">
        <f t="shared" si="2"/>
        <v>46141</v>
      </c>
      <c r="L7" s="291">
        <f t="shared" si="2"/>
        <v>46142</v>
      </c>
      <c r="M7" s="291">
        <f t="shared" si="2"/>
        <v>46143</v>
      </c>
      <c r="N7" s="291">
        <f t="shared" si="2"/>
        <v>46144</v>
      </c>
      <c r="O7" s="291">
        <f t="shared" si="2"/>
        <v>46145</v>
      </c>
      <c r="P7" s="291">
        <f t="shared" si="2"/>
        <v>46146</v>
      </c>
      <c r="Q7" s="291">
        <f t="shared" si="2"/>
        <v>46147</v>
      </c>
      <c r="R7" s="291">
        <f t="shared" si="2"/>
        <v>46148</v>
      </c>
      <c r="S7" s="291">
        <f t="shared" si="2"/>
        <v>46149</v>
      </c>
      <c r="T7" s="291">
        <f t="shared" si="2"/>
        <v>46150</v>
      </c>
      <c r="U7" s="291">
        <f t="shared" si="2"/>
        <v>46151</v>
      </c>
      <c r="V7" s="291">
        <f t="shared" si="2"/>
        <v>46152</v>
      </c>
      <c r="W7" s="291">
        <f t="shared" si="2"/>
        <v>46153</v>
      </c>
      <c r="X7" s="291">
        <f t="shared" si="2"/>
        <v>46154</v>
      </c>
      <c r="Y7" s="291">
        <f t="shared" si="2"/>
        <v>46155</v>
      </c>
      <c r="Z7" s="291">
        <f t="shared" si="2"/>
        <v>46156</v>
      </c>
      <c r="AA7" s="291">
        <f t="shared" si="2"/>
        <v>46157</v>
      </c>
      <c r="AB7" s="291">
        <f t="shared" si="2"/>
        <v>46158</v>
      </c>
      <c r="AC7" s="291">
        <f t="shared" si="2"/>
        <v>46159</v>
      </c>
      <c r="AD7" s="291">
        <f t="shared" si="2"/>
        <v>46160</v>
      </c>
      <c r="AE7" s="291">
        <f t="shared" si="2"/>
        <v>46161</v>
      </c>
      <c r="AF7" s="291">
        <f t="shared" si="2"/>
        <v>46162</v>
      </c>
      <c r="AG7" s="292" t="str">
        <f t="shared" si="2"/>
        <v/>
      </c>
      <c r="AH7" s="19"/>
      <c r="AI7" s="20"/>
      <c r="AJ7" s="20"/>
      <c r="AK7" s="20"/>
      <c r="AL7" s="20"/>
      <c r="AM7" s="20"/>
      <c r="AN7" s="20"/>
      <c r="AO7" s="34"/>
      <c r="AP7" s="20"/>
      <c r="AQ7" s="20"/>
      <c r="AR7" s="20"/>
      <c r="AS7" s="20"/>
      <c r="AT7" s="20"/>
      <c r="AU7" s="20"/>
      <c r="AV7" s="20"/>
    </row>
    <row r="8" spans="1:69" ht="18" customHeight="1">
      <c r="A8" s="35"/>
      <c r="B8" s="287" t="s">
        <v>53</v>
      </c>
      <c r="C8" s="293">
        <f t="shared" si="2"/>
        <v>46133</v>
      </c>
      <c r="D8" s="293">
        <f t="shared" si="2"/>
        <v>46134</v>
      </c>
      <c r="E8" s="293">
        <f t="shared" si="2"/>
        <v>46135</v>
      </c>
      <c r="F8" s="293">
        <f t="shared" si="2"/>
        <v>46136</v>
      </c>
      <c r="G8" s="293">
        <f t="shared" si="2"/>
        <v>46137</v>
      </c>
      <c r="H8" s="293">
        <f t="shared" si="2"/>
        <v>46138</v>
      </c>
      <c r="I8" s="293">
        <f t="shared" si="2"/>
        <v>46139</v>
      </c>
      <c r="J8" s="293">
        <f t="shared" si="2"/>
        <v>46140</v>
      </c>
      <c r="K8" s="293">
        <f t="shared" si="2"/>
        <v>46141</v>
      </c>
      <c r="L8" s="293">
        <f t="shared" si="2"/>
        <v>46142</v>
      </c>
      <c r="M8" s="293">
        <f t="shared" si="2"/>
        <v>46143</v>
      </c>
      <c r="N8" s="293">
        <f t="shared" si="2"/>
        <v>46144</v>
      </c>
      <c r="O8" s="293">
        <f t="shared" si="2"/>
        <v>46145</v>
      </c>
      <c r="P8" s="293">
        <f t="shared" si="2"/>
        <v>46146</v>
      </c>
      <c r="Q8" s="293">
        <f t="shared" si="2"/>
        <v>46147</v>
      </c>
      <c r="R8" s="293">
        <f t="shared" si="2"/>
        <v>46148</v>
      </c>
      <c r="S8" s="293">
        <f t="shared" si="2"/>
        <v>46149</v>
      </c>
      <c r="T8" s="293">
        <f t="shared" si="2"/>
        <v>46150</v>
      </c>
      <c r="U8" s="293">
        <f t="shared" si="2"/>
        <v>46151</v>
      </c>
      <c r="V8" s="293">
        <f t="shared" si="2"/>
        <v>46152</v>
      </c>
      <c r="W8" s="293">
        <f t="shared" si="2"/>
        <v>46153</v>
      </c>
      <c r="X8" s="293">
        <f t="shared" si="2"/>
        <v>46154</v>
      </c>
      <c r="Y8" s="293">
        <f t="shared" si="2"/>
        <v>46155</v>
      </c>
      <c r="Z8" s="293">
        <f t="shared" si="2"/>
        <v>46156</v>
      </c>
      <c r="AA8" s="293">
        <f t="shared" si="2"/>
        <v>46157</v>
      </c>
      <c r="AB8" s="293">
        <f t="shared" si="2"/>
        <v>46158</v>
      </c>
      <c r="AC8" s="293">
        <f t="shared" si="2"/>
        <v>46159</v>
      </c>
      <c r="AD8" s="293">
        <f t="shared" si="2"/>
        <v>46160</v>
      </c>
      <c r="AE8" s="293">
        <f t="shared" si="2"/>
        <v>46161</v>
      </c>
      <c r="AF8" s="293">
        <f t="shared" si="2"/>
        <v>46162</v>
      </c>
      <c r="AG8" s="294" t="str">
        <f t="shared" si="2"/>
        <v/>
      </c>
      <c r="AH8" s="19"/>
      <c r="AI8" s="20"/>
      <c r="AJ8" s="20"/>
      <c r="AK8" s="20"/>
      <c r="AL8" s="20"/>
      <c r="AM8" s="20"/>
      <c r="AN8" s="20"/>
      <c r="AO8" s="20"/>
      <c r="AP8" s="20"/>
      <c r="AQ8" s="20"/>
      <c r="AR8" s="20"/>
      <c r="AS8" s="20"/>
      <c r="AT8" s="20"/>
      <c r="AU8" s="20"/>
      <c r="AV8" s="20"/>
    </row>
    <row r="9" spans="1:69" ht="18" customHeight="1">
      <c r="A9" s="411"/>
      <c r="B9" s="295"/>
      <c r="C9" s="450" t="s">
        <v>413</v>
      </c>
      <c r="D9" s="438" t="s">
        <v>259</v>
      </c>
      <c r="E9" s="438" t="s">
        <v>414</v>
      </c>
      <c r="F9" s="452" t="s">
        <v>203</v>
      </c>
      <c r="G9" s="438"/>
      <c r="H9" s="438"/>
      <c r="I9" s="438" t="s">
        <v>415</v>
      </c>
      <c r="J9" s="438" t="s">
        <v>416</v>
      </c>
      <c r="K9" s="438"/>
      <c r="L9" s="438" t="s">
        <v>417</v>
      </c>
      <c r="M9" s="438" t="s">
        <v>418</v>
      </c>
      <c r="N9" s="438"/>
      <c r="O9" s="438"/>
      <c r="P9" s="438"/>
      <c r="Q9" s="438"/>
      <c r="R9" s="438"/>
      <c r="S9" s="438" t="s">
        <v>244</v>
      </c>
      <c r="T9" s="438" t="s">
        <v>415</v>
      </c>
      <c r="U9" s="438" t="s">
        <v>57</v>
      </c>
      <c r="V9" s="438"/>
      <c r="W9" s="438" t="s">
        <v>244</v>
      </c>
      <c r="X9" s="438" t="s">
        <v>296</v>
      </c>
      <c r="Y9" s="438" t="s">
        <v>296</v>
      </c>
      <c r="Z9" s="438" t="s">
        <v>296</v>
      </c>
      <c r="AA9" s="438" t="s">
        <v>296</v>
      </c>
      <c r="AB9" s="438" t="s">
        <v>56</v>
      </c>
      <c r="AC9" s="438"/>
      <c r="AD9" s="438" t="s">
        <v>296</v>
      </c>
      <c r="AE9" s="438" t="s">
        <v>296</v>
      </c>
      <c r="AF9" s="438" t="s">
        <v>296</v>
      </c>
      <c r="AG9" s="453"/>
      <c r="AH9" s="211"/>
      <c r="AI9" s="20"/>
      <c r="AJ9" s="20"/>
      <c r="AK9" s="20"/>
      <c r="AL9" s="20"/>
      <c r="AM9" s="20"/>
      <c r="AN9" s="20"/>
      <c r="AO9" s="20"/>
      <c r="AP9" s="20"/>
      <c r="AQ9" s="20"/>
      <c r="AR9" s="20"/>
      <c r="AS9" s="20"/>
      <c r="AT9" s="20"/>
      <c r="AU9" s="20"/>
      <c r="AV9" s="20"/>
    </row>
    <row r="10" spans="1:69" ht="18" customHeight="1">
      <c r="A10" s="411"/>
      <c r="B10" s="295"/>
      <c r="C10" s="451"/>
      <c r="D10" s="439"/>
      <c r="E10" s="439"/>
      <c r="F10" s="439"/>
      <c r="G10" s="439"/>
      <c r="H10" s="439"/>
      <c r="I10" s="439"/>
      <c r="J10" s="439"/>
      <c r="K10" s="439"/>
      <c r="L10" s="439"/>
      <c r="M10" s="439"/>
      <c r="N10" s="439"/>
      <c r="O10" s="439"/>
      <c r="P10" s="439"/>
      <c r="Q10" s="439"/>
      <c r="R10" s="439"/>
      <c r="S10" s="439"/>
      <c r="T10" s="439"/>
      <c r="U10" s="439"/>
      <c r="V10" s="439"/>
      <c r="W10" s="439"/>
      <c r="X10" s="439"/>
      <c r="Y10" s="439"/>
      <c r="Z10" s="439"/>
      <c r="AA10" s="439"/>
      <c r="AB10" s="439"/>
      <c r="AC10" s="439"/>
      <c r="AD10" s="439"/>
      <c r="AE10" s="439"/>
      <c r="AF10" s="439"/>
      <c r="AG10" s="454"/>
      <c r="AH10" s="211"/>
      <c r="AI10" s="20"/>
      <c r="AJ10" s="20"/>
      <c r="AK10" s="20"/>
      <c r="AL10" s="20"/>
      <c r="AM10" s="20"/>
      <c r="AN10" s="20"/>
      <c r="AO10" s="20"/>
      <c r="AP10" s="20"/>
      <c r="AQ10" s="20"/>
      <c r="AR10" s="20"/>
      <c r="AS10" s="20"/>
      <c r="AT10" s="20"/>
      <c r="AU10" s="20"/>
      <c r="AV10" s="20"/>
    </row>
    <row r="11" spans="1:69" ht="18" customHeight="1">
      <c r="A11" s="411"/>
      <c r="B11" s="295" t="s">
        <v>58</v>
      </c>
      <c r="C11" s="451"/>
      <c r="D11" s="439"/>
      <c r="E11" s="439"/>
      <c r="F11" s="439"/>
      <c r="G11" s="439"/>
      <c r="H11" s="439"/>
      <c r="I11" s="439"/>
      <c r="J11" s="439"/>
      <c r="K11" s="439"/>
      <c r="L11" s="439"/>
      <c r="M11" s="439"/>
      <c r="N11" s="439"/>
      <c r="O11" s="439"/>
      <c r="P11" s="439"/>
      <c r="Q11" s="439"/>
      <c r="R11" s="439"/>
      <c r="S11" s="439"/>
      <c r="T11" s="439"/>
      <c r="U11" s="439"/>
      <c r="V11" s="439"/>
      <c r="W11" s="439"/>
      <c r="X11" s="439"/>
      <c r="Y11" s="439"/>
      <c r="Z11" s="439"/>
      <c r="AA11" s="439"/>
      <c r="AB11" s="439"/>
      <c r="AC11" s="439"/>
      <c r="AD11" s="439"/>
      <c r="AE11" s="439"/>
      <c r="AF11" s="439"/>
      <c r="AG11" s="454"/>
      <c r="AH11" s="211"/>
      <c r="AI11" s="20"/>
      <c r="AJ11" s="20"/>
      <c r="AK11" s="20"/>
      <c r="AL11" s="20"/>
      <c r="AM11" s="20"/>
      <c r="AN11" s="20"/>
      <c r="AO11" s="20"/>
      <c r="AP11" s="20"/>
      <c r="AQ11" s="20"/>
      <c r="AR11" s="20"/>
      <c r="AS11" s="20"/>
      <c r="AT11" s="20"/>
      <c r="AU11" s="20"/>
      <c r="AV11" s="20"/>
    </row>
    <row r="12" spans="1:69" ht="18" customHeight="1">
      <c r="A12" s="411"/>
      <c r="B12" s="295"/>
      <c r="C12" s="451"/>
      <c r="D12" s="439"/>
      <c r="E12" s="439"/>
      <c r="F12" s="439"/>
      <c r="G12" s="439"/>
      <c r="H12" s="439"/>
      <c r="I12" s="439"/>
      <c r="J12" s="439"/>
      <c r="K12" s="439"/>
      <c r="L12" s="439"/>
      <c r="M12" s="439"/>
      <c r="N12" s="439"/>
      <c r="O12" s="439"/>
      <c r="P12" s="439"/>
      <c r="Q12" s="439"/>
      <c r="R12" s="439"/>
      <c r="S12" s="439"/>
      <c r="T12" s="439"/>
      <c r="U12" s="439"/>
      <c r="V12" s="439"/>
      <c r="W12" s="439"/>
      <c r="X12" s="439"/>
      <c r="Y12" s="439"/>
      <c r="Z12" s="439"/>
      <c r="AA12" s="439"/>
      <c r="AB12" s="439"/>
      <c r="AC12" s="439"/>
      <c r="AD12" s="439"/>
      <c r="AE12" s="439"/>
      <c r="AF12" s="439"/>
      <c r="AG12" s="454"/>
      <c r="AH12" s="211"/>
      <c r="AI12" s="20"/>
      <c r="AJ12" s="20"/>
      <c r="AK12" s="20"/>
      <c r="AL12" s="20"/>
      <c r="AM12" s="20"/>
      <c r="AN12" s="20"/>
      <c r="AO12" s="20"/>
      <c r="AP12" s="20"/>
      <c r="AQ12" s="20"/>
      <c r="AR12" s="20"/>
      <c r="AS12" s="20"/>
      <c r="AT12" s="20"/>
      <c r="AU12" s="20"/>
      <c r="AV12" s="20"/>
    </row>
    <row r="13" spans="1:69" ht="18" customHeight="1">
      <c r="A13" s="411"/>
      <c r="B13" s="295" t="s">
        <v>59</v>
      </c>
      <c r="C13" s="451"/>
      <c r="D13" s="439"/>
      <c r="E13" s="439"/>
      <c r="F13" s="439"/>
      <c r="G13" s="439"/>
      <c r="H13" s="439"/>
      <c r="I13" s="439"/>
      <c r="J13" s="439"/>
      <c r="K13" s="439"/>
      <c r="L13" s="439"/>
      <c r="M13" s="439"/>
      <c r="N13" s="439"/>
      <c r="O13" s="439"/>
      <c r="P13" s="439"/>
      <c r="Q13" s="439"/>
      <c r="R13" s="439"/>
      <c r="S13" s="439"/>
      <c r="T13" s="439"/>
      <c r="U13" s="439"/>
      <c r="V13" s="439"/>
      <c r="W13" s="439"/>
      <c r="X13" s="439"/>
      <c r="Y13" s="439"/>
      <c r="Z13" s="439"/>
      <c r="AA13" s="439"/>
      <c r="AB13" s="439"/>
      <c r="AC13" s="439"/>
      <c r="AD13" s="439"/>
      <c r="AE13" s="439"/>
      <c r="AF13" s="439"/>
      <c r="AG13" s="454"/>
      <c r="AH13" s="211"/>
      <c r="AI13" s="20"/>
      <c r="AJ13" s="20"/>
      <c r="AK13" s="20"/>
      <c r="AL13" s="20"/>
      <c r="AM13" s="20"/>
      <c r="AN13" s="20"/>
      <c r="AO13" s="20"/>
      <c r="AP13" s="20"/>
      <c r="AQ13" s="20"/>
      <c r="AR13" s="20"/>
      <c r="AS13" s="20"/>
      <c r="AT13" s="20"/>
      <c r="AU13" s="20"/>
      <c r="AV13" s="20"/>
    </row>
    <row r="14" spans="1:69" ht="18" customHeight="1">
      <c r="A14" s="411"/>
      <c r="B14" s="295"/>
      <c r="C14" s="451"/>
      <c r="D14" s="439"/>
      <c r="E14" s="439"/>
      <c r="F14" s="439"/>
      <c r="G14" s="439"/>
      <c r="H14" s="439"/>
      <c r="I14" s="439"/>
      <c r="J14" s="439"/>
      <c r="K14" s="439"/>
      <c r="L14" s="439"/>
      <c r="M14" s="439"/>
      <c r="N14" s="439"/>
      <c r="O14" s="439"/>
      <c r="P14" s="439"/>
      <c r="Q14" s="439"/>
      <c r="R14" s="439"/>
      <c r="S14" s="439"/>
      <c r="T14" s="439"/>
      <c r="U14" s="439"/>
      <c r="V14" s="439"/>
      <c r="W14" s="439"/>
      <c r="X14" s="439"/>
      <c r="Y14" s="439"/>
      <c r="Z14" s="439"/>
      <c r="AA14" s="439"/>
      <c r="AB14" s="439"/>
      <c r="AC14" s="439"/>
      <c r="AD14" s="439"/>
      <c r="AE14" s="439"/>
      <c r="AF14" s="439"/>
      <c r="AG14" s="454"/>
      <c r="AH14" s="212"/>
      <c r="AI14" s="20"/>
      <c r="AJ14" s="20"/>
      <c r="AK14" s="20"/>
      <c r="AL14" s="20"/>
      <c r="AM14" s="20"/>
      <c r="AN14" s="20"/>
      <c r="AO14" s="20"/>
      <c r="AP14" s="20"/>
      <c r="AQ14" s="20"/>
      <c r="AR14" s="20"/>
      <c r="AS14" s="20"/>
      <c r="AT14" s="20"/>
      <c r="AU14" s="20"/>
      <c r="AV14" s="20"/>
    </row>
    <row r="15" spans="1:69" ht="14.25" hidden="1" customHeight="1">
      <c r="A15" s="411"/>
      <c r="B15" s="295"/>
      <c r="C15" s="451"/>
      <c r="D15" s="439"/>
      <c r="E15" s="439"/>
      <c r="F15" s="439"/>
      <c r="G15" s="439"/>
      <c r="H15" s="439"/>
      <c r="I15" s="439"/>
      <c r="J15" s="439"/>
      <c r="K15" s="439"/>
      <c r="L15" s="439"/>
      <c r="M15" s="439"/>
      <c r="N15" s="439"/>
      <c r="O15" s="439"/>
      <c r="P15" s="439"/>
      <c r="Q15" s="439"/>
      <c r="R15" s="439"/>
      <c r="S15" s="439"/>
      <c r="T15" s="439"/>
      <c r="U15" s="439"/>
      <c r="V15" s="439"/>
      <c r="W15" s="439"/>
      <c r="X15" s="439"/>
      <c r="Y15" s="439"/>
      <c r="Z15" s="439"/>
      <c r="AA15" s="439"/>
      <c r="AB15" s="439"/>
      <c r="AC15" s="439"/>
      <c r="AD15" s="439"/>
      <c r="AE15" s="439"/>
      <c r="AF15" s="439"/>
      <c r="AG15" s="454"/>
      <c r="AH15" s="213"/>
      <c r="AI15" s="20"/>
      <c r="AJ15" s="20"/>
      <c r="AK15" s="20"/>
      <c r="AL15" s="20"/>
      <c r="AM15" s="20"/>
      <c r="AN15" s="20"/>
      <c r="AO15" s="20"/>
      <c r="AP15" s="20"/>
      <c r="AQ15" s="20"/>
      <c r="AR15" s="20"/>
      <c r="AS15" s="20"/>
      <c r="AT15" s="20"/>
      <c r="AU15" s="20"/>
      <c r="AV15" s="20"/>
    </row>
    <row r="16" spans="1:69" ht="17.25" customHeight="1">
      <c r="A16" s="411"/>
      <c r="B16" s="295" t="s">
        <v>60</v>
      </c>
      <c r="C16" s="451"/>
      <c r="D16" s="439"/>
      <c r="E16" s="439"/>
      <c r="F16" s="439"/>
      <c r="G16" s="439"/>
      <c r="H16" s="439"/>
      <c r="I16" s="439"/>
      <c r="J16" s="439"/>
      <c r="K16" s="439"/>
      <c r="L16" s="439"/>
      <c r="M16" s="439"/>
      <c r="N16" s="439"/>
      <c r="O16" s="439"/>
      <c r="P16" s="439"/>
      <c r="Q16" s="439"/>
      <c r="R16" s="439"/>
      <c r="S16" s="439"/>
      <c r="T16" s="439"/>
      <c r="U16" s="439"/>
      <c r="V16" s="439"/>
      <c r="W16" s="439"/>
      <c r="X16" s="439"/>
      <c r="Y16" s="439"/>
      <c r="Z16" s="439"/>
      <c r="AA16" s="439"/>
      <c r="AB16" s="439"/>
      <c r="AC16" s="439"/>
      <c r="AD16" s="439"/>
      <c r="AE16" s="439"/>
      <c r="AF16" s="439"/>
      <c r="AG16" s="454"/>
      <c r="AH16" s="212"/>
      <c r="AI16" s="20"/>
      <c r="AJ16" s="20"/>
      <c r="AK16" s="20"/>
      <c r="AL16" s="20"/>
      <c r="AM16" s="20"/>
      <c r="AN16" s="20"/>
      <c r="AO16" s="20"/>
      <c r="AP16" s="20"/>
      <c r="AQ16" s="20"/>
      <c r="AR16" s="20"/>
      <c r="AS16" s="20"/>
      <c r="AT16" s="20"/>
      <c r="AU16" s="20"/>
      <c r="AV16" s="20"/>
    </row>
    <row r="17" spans="1:48" ht="17.25" customHeight="1">
      <c r="A17" s="411"/>
      <c r="B17" s="295"/>
      <c r="C17" s="451"/>
      <c r="D17" s="439"/>
      <c r="E17" s="439"/>
      <c r="F17" s="439"/>
      <c r="G17" s="439"/>
      <c r="H17" s="439"/>
      <c r="I17" s="439"/>
      <c r="J17" s="439"/>
      <c r="K17" s="439"/>
      <c r="L17" s="439"/>
      <c r="M17" s="439"/>
      <c r="N17" s="439"/>
      <c r="O17" s="439"/>
      <c r="P17" s="439"/>
      <c r="Q17" s="439"/>
      <c r="R17" s="439"/>
      <c r="S17" s="439"/>
      <c r="T17" s="439"/>
      <c r="U17" s="439"/>
      <c r="V17" s="439"/>
      <c r="W17" s="439"/>
      <c r="X17" s="439"/>
      <c r="Y17" s="439"/>
      <c r="Z17" s="439"/>
      <c r="AA17" s="439"/>
      <c r="AB17" s="439"/>
      <c r="AC17" s="439"/>
      <c r="AD17" s="439"/>
      <c r="AE17" s="439"/>
      <c r="AF17" s="439"/>
      <c r="AG17" s="454"/>
      <c r="AH17" s="211"/>
      <c r="AI17" s="20"/>
      <c r="AJ17" s="20"/>
      <c r="AK17" s="20"/>
      <c r="AL17" s="20"/>
      <c r="AM17" s="20"/>
      <c r="AN17" s="20"/>
      <c r="AO17" s="20"/>
      <c r="AP17" s="20"/>
      <c r="AQ17" s="20"/>
      <c r="AR17" s="20"/>
      <c r="AS17" s="20"/>
      <c r="AT17" s="20"/>
      <c r="AU17" s="20"/>
      <c r="AV17" s="20"/>
    </row>
    <row r="18" spans="1:48" ht="17.25" customHeight="1">
      <c r="A18" s="411"/>
      <c r="B18" s="295" t="s">
        <v>61</v>
      </c>
      <c r="C18" s="451"/>
      <c r="D18" s="439"/>
      <c r="E18" s="439"/>
      <c r="F18" s="439"/>
      <c r="G18" s="439"/>
      <c r="H18" s="439"/>
      <c r="I18" s="439"/>
      <c r="J18" s="439"/>
      <c r="K18" s="439"/>
      <c r="L18" s="439"/>
      <c r="M18" s="439"/>
      <c r="N18" s="439"/>
      <c r="O18" s="439"/>
      <c r="P18" s="439"/>
      <c r="Q18" s="439"/>
      <c r="R18" s="439"/>
      <c r="S18" s="439"/>
      <c r="T18" s="439"/>
      <c r="U18" s="439"/>
      <c r="V18" s="439"/>
      <c r="W18" s="439"/>
      <c r="X18" s="439"/>
      <c r="Y18" s="439"/>
      <c r="Z18" s="439"/>
      <c r="AA18" s="439"/>
      <c r="AB18" s="439"/>
      <c r="AC18" s="439"/>
      <c r="AD18" s="439"/>
      <c r="AE18" s="439"/>
      <c r="AF18" s="439"/>
      <c r="AG18" s="454"/>
      <c r="AH18" s="211"/>
      <c r="AI18" s="20"/>
      <c r="AJ18" s="20"/>
      <c r="AK18" s="20"/>
      <c r="AL18" s="20"/>
      <c r="AM18" s="20"/>
      <c r="AN18" s="20"/>
      <c r="AO18" s="20"/>
      <c r="AP18" s="20"/>
      <c r="AQ18" s="20"/>
      <c r="AR18" s="20"/>
      <c r="AS18" s="20"/>
      <c r="AT18" s="20"/>
      <c r="AU18" s="20"/>
      <c r="AV18" s="20"/>
    </row>
    <row r="19" spans="1:48" ht="17.25" customHeight="1">
      <c r="A19" s="411"/>
      <c r="B19" s="295"/>
      <c r="C19" s="451"/>
      <c r="D19" s="439"/>
      <c r="E19" s="439"/>
      <c r="F19" s="439"/>
      <c r="G19" s="439"/>
      <c r="H19" s="439"/>
      <c r="I19" s="439"/>
      <c r="J19" s="439"/>
      <c r="K19" s="439"/>
      <c r="L19" s="439"/>
      <c r="M19" s="439"/>
      <c r="N19" s="439"/>
      <c r="O19" s="439"/>
      <c r="P19" s="439"/>
      <c r="Q19" s="439"/>
      <c r="R19" s="439"/>
      <c r="S19" s="439"/>
      <c r="T19" s="439"/>
      <c r="U19" s="439"/>
      <c r="V19" s="439"/>
      <c r="W19" s="439"/>
      <c r="X19" s="439"/>
      <c r="Y19" s="439"/>
      <c r="Z19" s="439"/>
      <c r="AA19" s="439"/>
      <c r="AB19" s="439"/>
      <c r="AC19" s="439"/>
      <c r="AD19" s="439"/>
      <c r="AE19" s="439"/>
      <c r="AF19" s="439"/>
      <c r="AG19" s="454"/>
      <c r="AH19" s="211"/>
      <c r="AI19" s="20"/>
      <c r="AJ19" s="20"/>
      <c r="AK19" s="20"/>
      <c r="AL19" s="20"/>
      <c r="AM19" s="20"/>
      <c r="AN19" s="20"/>
      <c r="AO19" s="20"/>
      <c r="AP19" s="20"/>
      <c r="AQ19" s="20"/>
      <c r="AR19" s="20"/>
      <c r="AS19" s="20"/>
      <c r="AT19" s="20"/>
      <c r="AU19" s="20"/>
      <c r="AV19" s="20"/>
    </row>
    <row r="20" spans="1:48" ht="17.25" customHeight="1">
      <c r="A20" s="411"/>
      <c r="B20" s="295"/>
      <c r="C20" s="451"/>
      <c r="D20" s="439"/>
      <c r="E20" s="439"/>
      <c r="F20" s="439"/>
      <c r="G20" s="439"/>
      <c r="H20" s="439"/>
      <c r="I20" s="439"/>
      <c r="J20" s="439"/>
      <c r="K20" s="439"/>
      <c r="L20" s="439"/>
      <c r="M20" s="439"/>
      <c r="N20" s="439"/>
      <c r="O20" s="440"/>
      <c r="P20" s="440"/>
      <c r="Q20" s="440"/>
      <c r="R20" s="440"/>
      <c r="S20" s="440"/>
      <c r="T20" s="440"/>
      <c r="U20" s="440"/>
      <c r="V20" s="440"/>
      <c r="W20" s="440"/>
      <c r="X20" s="440"/>
      <c r="Y20" s="440"/>
      <c r="Z20" s="440"/>
      <c r="AA20" s="440"/>
      <c r="AB20" s="440"/>
      <c r="AC20" s="440"/>
      <c r="AD20" s="440"/>
      <c r="AE20" s="440"/>
      <c r="AF20" s="440"/>
      <c r="AG20" s="455"/>
      <c r="AH20" s="211"/>
      <c r="AI20" s="20"/>
      <c r="AJ20" s="20"/>
      <c r="AK20" s="20"/>
      <c r="AL20" s="20"/>
      <c r="AM20" s="20"/>
      <c r="AN20" s="20"/>
      <c r="AO20" s="20"/>
      <c r="AP20" s="20"/>
      <c r="AQ20" s="20"/>
      <c r="AR20" s="20"/>
      <c r="AS20" s="20"/>
      <c r="AT20" s="20"/>
      <c r="AU20" s="20"/>
      <c r="AV20" s="20"/>
    </row>
    <row r="21" spans="1:48" ht="20.100000000000001" hidden="1" customHeight="1">
      <c r="A21" s="35"/>
      <c r="B21" s="296" t="s">
        <v>62</v>
      </c>
      <c r="C21" s="297"/>
      <c r="D21" s="298"/>
      <c r="E21" s="298"/>
      <c r="F21" s="298"/>
      <c r="G21" s="298"/>
      <c r="H21" s="298"/>
      <c r="I21" s="298"/>
      <c r="J21" s="298"/>
      <c r="K21" s="298"/>
      <c r="L21" s="298"/>
      <c r="M21" s="298"/>
      <c r="N21" s="298"/>
      <c r="O21" s="299"/>
      <c r="P21" s="299"/>
      <c r="Q21" s="299"/>
      <c r="R21" s="299"/>
      <c r="S21" s="299"/>
      <c r="T21" s="299"/>
      <c r="U21" s="299"/>
      <c r="V21" s="299"/>
      <c r="W21" s="299"/>
      <c r="X21" s="299"/>
      <c r="Y21" s="299"/>
      <c r="Z21" s="299"/>
      <c r="AA21" s="299"/>
      <c r="AB21" s="299"/>
      <c r="AC21" s="299"/>
      <c r="AD21" s="299"/>
      <c r="AE21" s="299"/>
      <c r="AF21" s="299"/>
      <c r="AG21" s="300"/>
      <c r="AH21" s="47"/>
      <c r="AI21" s="130"/>
      <c r="AJ21" s="131"/>
      <c r="AK21" s="20"/>
      <c r="AL21" s="20"/>
      <c r="AM21" s="20"/>
      <c r="AN21" s="20"/>
      <c r="AO21" s="20"/>
      <c r="AP21" s="20"/>
      <c r="AQ21" s="20"/>
      <c r="AR21" s="20"/>
      <c r="AS21" s="20"/>
      <c r="AT21" s="20"/>
      <c r="AU21" s="20"/>
      <c r="AV21" s="20"/>
    </row>
    <row r="22" spans="1:48" ht="18" customHeight="1">
      <c r="A22" s="35"/>
      <c r="B22" s="301" t="s">
        <v>63</v>
      </c>
      <c r="C22" s="297"/>
      <c r="D22" s="298" t="s">
        <v>64</v>
      </c>
      <c r="E22" s="298"/>
      <c r="F22" s="298"/>
      <c r="G22" s="298"/>
      <c r="H22" s="302"/>
      <c r="I22" s="302"/>
      <c r="J22" s="298"/>
      <c r="K22" s="298"/>
      <c r="L22" s="298"/>
      <c r="M22" s="298"/>
      <c r="N22" s="298"/>
      <c r="O22" s="302"/>
      <c r="P22" s="302"/>
      <c r="Q22" s="298"/>
      <c r="R22" s="298"/>
      <c r="S22" s="298"/>
      <c r="T22" s="302"/>
      <c r="U22" s="302"/>
      <c r="V22" s="302"/>
      <c r="W22" s="302"/>
      <c r="X22" s="298"/>
      <c r="Y22" s="298"/>
      <c r="Z22" s="298"/>
      <c r="AA22" s="298"/>
      <c r="AB22" s="302"/>
      <c r="AC22" s="302"/>
      <c r="AD22" s="298"/>
      <c r="AE22" s="298"/>
      <c r="AF22" s="298"/>
      <c r="AG22" s="303"/>
      <c r="AH22" s="132"/>
      <c r="AI22" s="405"/>
      <c r="AJ22" s="405"/>
      <c r="AK22" s="20"/>
      <c r="AL22" s="20"/>
      <c r="AM22" s="20"/>
      <c r="AN22" s="20"/>
      <c r="AO22" s="20"/>
      <c r="AP22" s="20"/>
      <c r="AQ22" s="20"/>
      <c r="AR22" s="20"/>
      <c r="AS22" s="20"/>
      <c r="AT22" s="20"/>
      <c r="AU22" s="20"/>
      <c r="AV22" s="20"/>
    </row>
    <row r="23" spans="1:48" ht="18" customHeight="1">
      <c r="A23" s="35"/>
      <c r="B23" s="304" t="s">
        <v>65</v>
      </c>
      <c r="C23" s="305"/>
      <c r="D23" s="306"/>
      <c r="E23" s="306"/>
      <c r="F23" s="306"/>
      <c r="G23" s="306"/>
      <c r="H23" s="307"/>
      <c r="I23" s="307"/>
      <c r="J23" s="306"/>
      <c r="K23" s="306"/>
      <c r="L23" s="306"/>
      <c r="M23" s="306"/>
      <c r="N23" s="306"/>
      <c r="O23" s="307"/>
      <c r="P23" s="307"/>
      <c r="Q23" s="306"/>
      <c r="R23" s="306"/>
      <c r="S23" s="306"/>
      <c r="T23" s="307"/>
      <c r="U23" s="307"/>
      <c r="V23" s="307"/>
      <c r="W23" s="307"/>
      <c r="X23" s="306"/>
      <c r="Y23" s="306"/>
      <c r="Z23" s="306"/>
      <c r="AA23" s="306"/>
      <c r="AB23" s="307"/>
      <c r="AC23" s="307"/>
      <c r="AD23" s="306"/>
      <c r="AE23" s="306"/>
      <c r="AF23" s="306"/>
      <c r="AG23" s="308"/>
      <c r="AH23" s="132"/>
      <c r="AI23" s="418"/>
      <c r="AJ23" s="418"/>
      <c r="AK23" s="20"/>
      <c r="AL23" s="20"/>
      <c r="AM23" s="20"/>
      <c r="AN23" s="20"/>
      <c r="AO23" s="20"/>
      <c r="AP23" s="20"/>
      <c r="AQ23" s="20"/>
      <c r="AR23" s="20"/>
      <c r="AS23" s="20"/>
      <c r="AT23" s="20"/>
      <c r="AU23" s="20"/>
      <c r="AV23" s="20"/>
    </row>
    <row r="24" spans="1:48" ht="18" customHeight="1">
      <c r="A24" s="35"/>
      <c r="B24" s="447" t="s">
        <v>66</v>
      </c>
      <c r="C24" s="309">
        <v>0</v>
      </c>
      <c r="D24" s="310">
        <v>5</v>
      </c>
      <c r="E24" s="310">
        <v>6</v>
      </c>
      <c r="F24" s="310">
        <v>6</v>
      </c>
      <c r="G24" s="310"/>
      <c r="H24" s="310"/>
      <c r="I24" s="310">
        <v>6</v>
      </c>
      <c r="J24" s="310">
        <v>6</v>
      </c>
      <c r="K24" s="310"/>
      <c r="L24" s="310">
        <v>6</v>
      </c>
      <c r="M24" s="310">
        <v>6</v>
      </c>
      <c r="N24" s="310"/>
      <c r="O24" s="310"/>
      <c r="P24" s="310"/>
      <c r="Q24" s="310"/>
      <c r="R24" s="310"/>
      <c r="S24" s="310">
        <v>6</v>
      </c>
      <c r="T24" s="310">
        <v>6</v>
      </c>
      <c r="U24" s="310">
        <v>0</v>
      </c>
      <c r="V24" s="310"/>
      <c r="W24" s="310">
        <v>6</v>
      </c>
      <c r="X24" s="310">
        <v>6</v>
      </c>
      <c r="Y24" s="310">
        <v>6</v>
      </c>
      <c r="Z24" s="310">
        <v>6</v>
      </c>
      <c r="AA24" s="310">
        <v>6</v>
      </c>
      <c r="AB24" s="310">
        <v>0</v>
      </c>
      <c r="AC24" s="310"/>
      <c r="AD24" s="310">
        <v>6</v>
      </c>
      <c r="AE24" s="310">
        <v>6</v>
      </c>
      <c r="AF24" s="310">
        <v>6</v>
      </c>
      <c r="AG24" s="311"/>
      <c r="AH24" s="212"/>
      <c r="AI24" s="20"/>
      <c r="AJ24" s="20"/>
      <c r="AK24" s="20"/>
      <c r="AL24" s="20"/>
      <c r="AM24" s="59"/>
      <c r="AN24" s="20"/>
      <c r="AO24" s="20"/>
      <c r="AP24" s="20"/>
      <c r="AQ24" s="20"/>
      <c r="AR24" s="20"/>
      <c r="AS24" s="20"/>
      <c r="AT24" s="20"/>
      <c r="AU24" s="20"/>
      <c r="AV24" s="20"/>
    </row>
    <row r="25" spans="1:48" ht="18" hidden="1" customHeight="1">
      <c r="A25" s="35"/>
      <c r="B25" s="448"/>
      <c r="C25" s="312"/>
      <c r="D25" s="313"/>
      <c r="E25" s="313"/>
      <c r="F25" s="313"/>
      <c r="G25" s="313"/>
      <c r="H25" s="313"/>
      <c r="I25" s="313"/>
      <c r="J25" s="313"/>
      <c r="K25" s="313"/>
      <c r="L25" s="313"/>
      <c r="M25" s="313"/>
      <c r="N25" s="313"/>
      <c r="O25" s="313"/>
      <c r="P25" s="313"/>
      <c r="Q25" s="313"/>
      <c r="R25" s="313"/>
      <c r="S25" s="313"/>
      <c r="T25" s="313"/>
      <c r="U25" s="313"/>
      <c r="V25" s="313"/>
      <c r="W25" s="313"/>
      <c r="X25" s="313"/>
      <c r="Y25" s="313"/>
      <c r="Z25" s="313"/>
      <c r="AA25" s="313"/>
      <c r="AB25" s="313"/>
      <c r="AC25" s="313"/>
      <c r="AD25" s="313"/>
      <c r="AE25" s="313"/>
      <c r="AF25" s="313"/>
      <c r="AG25" s="314"/>
      <c r="AH25" s="211"/>
      <c r="AI25" s="20"/>
      <c r="AJ25" s="20"/>
      <c r="AK25" s="20"/>
      <c r="AL25" s="20"/>
      <c r="AM25" s="20"/>
      <c r="AN25" s="20"/>
      <c r="AO25" s="20"/>
      <c r="AP25" s="20"/>
      <c r="AQ25" s="20"/>
      <c r="AR25" s="20"/>
      <c r="AS25" s="20"/>
      <c r="AT25" s="20"/>
      <c r="AU25" s="20"/>
      <c r="AV25" s="20"/>
    </row>
    <row r="26" spans="1:48" ht="18" hidden="1" customHeight="1">
      <c r="A26" s="35"/>
      <c r="B26" s="448"/>
      <c r="C26" s="312"/>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4"/>
      <c r="AH26" s="211"/>
      <c r="AI26" s="20"/>
      <c r="AJ26" s="20"/>
      <c r="AK26" s="20"/>
      <c r="AL26" s="20"/>
      <c r="AM26" s="20"/>
      <c r="AN26" s="20"/>
      <c r="AO26" s="20"/>
      <c r="AP26" s="20"/>
      <c r="AQ26" s="20"/>
      <c r="AR26" s="20"/>
      <c r="AS26" s="20"/>
      <c r="AT26" s="20"/>
      <c r="AU26" s="20"/>
      <c r="AV26" s="20"/>
    </row>
    <row r="27" spans="1:48" ht="18" customHeight="1">
      <c r="A27" s="63"/>
      <c r="B27" s="449"/>
      <c r="C27" s="253"/>
      <c r="D27" s="254">
        <v>1</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c r="AI27" s="410"/>
      <c r="AJ27" s="410"/>
      <c r="AK27" s="69"/>
      <c r="AL27" s="69"/>
      <c r="AM27" s="64"/>
      <c r="AN27" s="20"/>
      <c r="AO27" s="20"/>
      <c r="AP27" s="20"/>
      <c r="AQ27" s="20"/>
      <c r="AR27" s="20"/>
      <c r="AS27" s="20"/>
      <c r="AT27" s="20"/>
      <c r="AU27" s="20"/>
      <c r="AV27" s="20"/>
    </row>
    <row r="28" spans="1:48" ht="14.4">
      <c r="A28" s="15"/>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19"/>
      <c r="AI28" s="20"/>
      <c r="AJ28" s="20"/>
      <c r="AK28" s="20"/>
      <c r="AL28" s="20"/>
      <c r="AM28" s="20"/>
      <c r="AN28" s="20"/>
      <c r="AO28" s="20"/>
      <c r="AP28" s="20"/>
      <c r="AQ28" s="20"/>
      <c r="AR28" s="20"/>
      <c r="AS28" s="20"/>
      <c r="AT28" s="20"/>
      <c r="AU28" s="20"/>
      <c r="AV28" s="20"/>
    </row>
    <row r="29" spans="1:48" ht="18" customHeight="1">
      <c r="A29" s="30"/>
      <c r="B29" s="287" t="s">
        <v>51</v>
      </c>
      <c r="C29" s="288">
        <f>IFERROR(IF(EDATE(C6,1)&lt;=訓練終了日,EDATE(C6,1),""),"")</f>
        <v>46163</v>
      </c>
      <c r="D29" s="289">
        <f t="shared" ref="D29:AD29" si="3">IF(OR(C29="",C28="修了日"),"",C29+1)</f>
        <v>46164</v>
      </c>
      <c r="E29" s="289">
        <f t="shared" si="3"/>
        <v>46165</v>
      </c>
      <c r="F29" s="289">
        <f t="shared" si="3"/>
        <v>46166</v>
      </c>
      <c r="G29" s="289">
        <f t="shared" si="3"/>
        <v>46167</v>
      </c>
      <c r="H29" s="289">
        <f t="shared" si="3"/>
        <v>46168</v>
      </c>
      <c r="I29" s="289">
        <f t="shared" si="3"/>
        <v>46169</v>
      </c>
      <c r="J29" s="289">
        <f t="shared" si="3"/>
        <v>46170</v>
      </c>
      <c r="K29" s="289">
        <f t="shared" si="3"/>
        <v>46171</v>
      </c>
      <c r="L29" s="289">
        <f t="shared" si="3"/>
        <v>46172</v>
      </c>
      <c r="M29" s="289">
        <f t="shared" si="3"/>
        <v>46173</v>
      </c>
      <c r="N29" s="289">
        <f t="shared" si="3"/>
        <v>46174</v>
      </c>
      <c r="O29" s="289">
        <f t="shared" si="3"/>
        <v>46175</v>
      </c>
      <c r="P29" s="289">
        <f t="shared" si="3"/>
        <v>46176</v>
      </c>
      <c r="Q29" s="289">
        <f t="shared" si="3"/>
        <v>46177</v>
      </c>
      <c r="R29" s="289">
        <f t="shared" si="3"/>
        <v>46178</v>
      </c>
      <c r="S29" s="289">
        <f t="shared" si="3"/>
        <v>46179</v>
      </c>
      <c r="T29" s="289">
        <f t="shared" si="3"/>
        <v>46180</v>
      </c>
      <c r="U29" s="289">
        <f t="shared" si="3"/>
        <v>46181</v>
      </c>
      <c r="V29" s="289">
        <f t="shared" si="3"/>
        <v>46182</v>
      </c>
      <c r="W29" s="289">
        <f t="shared" si="3"/>
        <v>46183</v>
      </c>
      <c r="X29" s="289">
        <f t="shared" si="3"/>
        <v>46184</v>
      </c>
      <c r="Y29" s="289">
        <f t="shared" si="3"/>
        <v>46185</v>
      </c>
      <c r="Z29" s="289">
        <f t="shared" si="3"/>
        <v>46186</v>
      </c>
      <c r="AA29" s="289">
        <f t="shared" si="3"/>
        <v>46187</v>
      </c>
      <c r="AB29" s="289">
        <f t="shared" si="3"/>
        <v>46188</v>
      </c>
      <c r="AC29" s="289">
        <f t="shared" si="3"/>
        <v>46189</v>
      </c>
      <c r="AD29" s="289">
        <f t="shared" si="3"/>
        <v>46190</v>
      </c>
      <c r="AE29" s="289">
        <f>IF(OR(AD29="",AD28="修了日"),"",IF(AND(DAY(DATE(YEAR(C29),2,29))=29,MONTH(C29)=2),AD29+1,IF(MONTH(C29)=2,"",AD29+1)))</f>
        <v>46191</v>
      </c>
      <c r="AF29" s="289">
        <f>IF(OR(AE29="",AE28="修了日"),"",IF(MONTH(C29)=2,"",AE29+1))</f>
        <v>46192</v>
      </c>
      <c r="AG29" s="315">
        <f>IF(OR(AF29="",AF28="修了日"),"",IF(OR(MONTH(C29)=2,MONTH(C29)=4,MONTH(C29)=6,MONTH(C29)=9,MONTH(C29)=11),"",AF29+1))</f>
        <v>46193</v>
      </c>
      <c r="AH29" s="19"/>
      <c r="AI29" s="20"/>
      <c r="AJ29" s="66"/>
      <c r="AK29" s="20"/>
      <c r="AL29" s="20"/>
      <c r="AM29" s="20"/>
      <c r="AN29" s="34"/>
      <c r="AO29" s="20"/>
      <c r="AP29" s="20"/>
      <c r="AQ29" s="20"/>
      <c r="AR29" s="20"/>
      <c r="AS29" s="20"/>
      <c r="AT29" s="20"/>
      <c r="AU29" s="20"/>
      <c r="AV29" s="20"/>
    </row>
    <row r="30" spans="1:48" ht="18" customHeight="1">
      <c r="A30" s="35"/>
      <c r="B30" s="287" t="s">
        <v>52</v>
      </c>
      <c r="C30" s="316">
        <f t="shared" ref="C30:AG31" si="4">IF(C29="","",+C29)</f>
        <v>46163</v>
      </c>
      <c r="D30" s="316">
        <f t="shared" si="4"/>
        <v>46164</v>
      </c>
      <c r="E30" s="316">
        <f t="shared" si="4"/>
        <v>46165</v>
      </c>
      <c r="F30" s="316">
        <f t="shared" si="4"/>
        <v>46166</v>
      </c>
      <c r="G30" s="316">
        <f t="shared" si="4"/>
        <v>46167</v>
      </c>
      <c r="H30" s="316">
        <f t="shared" si="4"/>
        <v>46168</v>
      </c>
      <c r="I30" s="316">
        <f t="shared" si="4"/>
        <v>46169</v>
      </c>
      <c r="J30" s="316">
        <f t="shared" si="4"/>
        <v>46170</v>
      </c>
      <c r="K30" s="316">
        <f t="shared" si="4"/>
        <v>46171</v>
      </c>
      <c r="L30" s="316">
        <f t="shared" si="4"/>
        <v>46172</v>
      </c>
      <c r="M30" s="316">
        <f t="shared" si="4"/>
        <v>46173</v>
      </c>
      <c r="N30" s="316">
        <f t="shared" si="4"/>
        <v>46174</v>
      </c>
      <c r="O30" s="316">
        <f t="shared" si="4"/>
        <v>46175</v>
      </c>
      <c r="P30" s="316">
        <f t="shared" si="4"/>
        <v>46176</v>
      </c>
      <c r="Q30" s="316">
        <f t="shared" si="4"/>
        <v>46177</v>
      </c>
      <c r="R30" s="316">
        <f t="shared" si="4"/>
        <v>46178</v>
      </c>
      <c r="S30" s="316">
        <f t="shared" si="4"/>
        <v>46179</v>
      </c>
      <c r="T30" s="316">
        <f t="shared" si="4"/>
        <v>46180</v>
      </c>
      <c r="U30" s="316">
        <f t="shared" si="4"/>
        <v>46181</v>
      </c>
      <c r="V30" s="316">
        <f t="shared" si="4"/>
        <v>46182</v>
      </c>
      <c r="W30" s="316">
        <f t="shared" si="4"/>
        <v>46183</v>
      </c>
      <c r="X30" s="316">
        <f t="shared" si="4"/>
        <v>46184</v>
      </c>
      <c r="Y30" s="316">
        <f t="shared" si="4"/>
        <v>46185</v>
      </c>
      <c r="Z30" s="316">
        <f t="shared" si="4"/>
        <v>46186</v>
      </c>
      <c r="AA30" s="316">
        <f t="shared" si="4"/>
        <v>46187</v>
      </c>
      <c r="AB30" s="316">
        <f>IF(AB29="","",+AB29)</f>
        <v>46188</v>
      </c>
      <c r="AC30" s="316">
        <f t="shared" si="4"/>
        <v>46189</v>
      </c>
      <c r="AD30" s="291">
        <f t="shared" si="4"/>
        <v>46190</v>
      </c>
      <c r="AE30" s="316">
        <f t="shared" si="4"/>
        <v>46191</v>
      </c>
      <c r="AF30" s="316">
        <f t="shared" si="4"/>
        <v>46192</v>
      </c>
      <c r="AG30" s="317">
        <f t="shared" si="4"/>
        <v>46193</v>
      </c>
      <c r="AH30" s="19"/>
      <c r="AI30" s="20"/>
      <c r="AJ30" s="66"/>
      <c r="AK30" s="20"/>
      <c r="AL30" s="20"/>
      <c r="AM30" s="20"/>
      <c r="AN30" s="20"/>
      <c r="AO30" s="20"/>
      <c r="AP30" s="20"/>
      <c r="AQ30" s="20"/>
      <c r="AR30" s="20"/>
      <c r="AS30" s="20"/>
      <c r="AT30" s="20"/>
      <c r="AU30" s="20"/>
      <c r="AV30" s="20"/>
    </row>
    <row r="31" spans="1:48" ht="18" customHeight="1">
      <c r="A31" s="35"/>
      <c r="B31" s="287" t="s">
        <v>53</v>
      </c>
      <c r="C31" s="293">
        <f t="shared" si="4"/>
        <v>46163</v>
      </c>
      <c r="D31" s="293">
        <f t="shared" si="4"/>
        <v>46164</v>
      </c>
      <c r="E31" s="293">
        <f t="shared" si="4"/>
        <v>46165</v>
      </c>
      <c r="F31" s="293">
        <f t="shared" si="4"/>
        <v>46166</v>
      </c>
      <c r="G31" s="293">
        <f t="shared" si="4"/>
        <v>46167</v>
      </c>
      <c r="H31" s="293">
        <f t="shared" si="4"/>
        <v>46168</v>
      </c>
      <c r="I31" s="293">
        <f t="shared" si="4"/>
        <v>46169</v>
      </c>
      <c r="J31" s="293">
        <f t="shared" si="4"/>
        <v>46170</v>
      </c>
      <c r="K31" s="293">
        <f t="shared" si="4"/>
        <v>46171</v>
      </c>
      <c r="L31" s="293">
        <f t="shared" si="4"/>
        <v>46172</v>
      </c>
      <c r="M31" s="293">
        <f t="shared" si="4"/>
        <v>46173</v>
      </c>
      <c r="N31" s="293">
        <f t="shared" si="4"/>
        <v>46174</v>
      </c>
      <c r="O31" s="293">
        <f t="shared" si="4"/>
        <v>46175</v>
      </c>
      <c r="P31" s="293">
        <f t="shared" si="4"/>
        <v>46176</v>
      </c>
      <c r="Q31" s="293">
        <f t="shared" si="4"/>
        <v>46177</v>
      </c>
      <c r="R31" s="293">
        <f t="shared" si="4"/>
        <v>46178</v>
      </c>
      <c r="S31" s="293">
        <f t="shared" si="4"/>
        <v>46179</v>
      </c>
      <c r="T31" s="293">
        <f t="shared" si="4"/>
        <v>46180</v>
      </c>
      <c r="U31" s="293">
        <f t="shared" si="4"/>
        <v>46181</v>
      </c>
      <c r="V31" s="293">
        <f t="shared" si="4"/>
        <v>46182</v>
      </c>
      <c r="W31" s="293">
        <f t="shared" si="4"/>
        <v>46183</v>
      </c>
      <c r="X31" s="293">
        <f t="shared" si="4"/>
        <v>46184</v>
      </c>
      <c r="Y31" s="293">
        <f t="shared" si="4"/>
        <v>46185</v>
      </c>
      <c r="Z31" s="293">
        <f t="shared" si="4"/>
        <v>46186</v>
      </c>
      <c r="AA31" s="293">
        <f t="shared" si="4"/>
        <v>46187</v>
      </c>
      <c r="AB31" s="293">
        <f t="shared" si="4"/>
        <v>46188</v>
      </c>
      <c r="AC31" s="293">
        <f t="shared" si="4"/>
        <v>46189</v>
      </c>
      <c r="AD31" s="293">
        <f t="shared" si="4"/>
        <v>46190</v>
      </c>
      <c r="AE31" s="293">
        <f t="shared" si="4"/>
        <v>46191</v>
      </c>
      <c r="AF31" s="293">
        <f t="shared" si="4"/>
        <v>46192</v>
      </c>
      <c r="AG31" s="294">
        <f t="shared" si="4"/>
        <v>46193</v>
      </c>
      <c r="AH31" s="19"/>
      <c r="AI31" s="20"/>
      <c r="AJ31" s="20"/>
      <c r="AK31" s="20"/>
      <c r="AL31" s="20"/>
      <c r="AM31" s="20"/>
      <c r="AN31" s="20"/>
      <c r="AO31" s="20"/>
      <c r="AP31" s="20"/>
      <c r="AQ31" s="20"/>
      <c r="AR31" s="20"/>
      <c r="AS31" s="20"/>
      <c r="AT31" s="20"/>
      <c r="AU31" s="20"/>
      <c r="AV31" s="20"/>
    </row>
    <row r="32" spans="1:48" ht="18" customHeight="1">
      <c r="A32" s="411"/>
      <c r="B32" s="295"/>
      <c r="C32" s="441" t="s">
        <v>296</v>
      </c>
      <c r="D32" s="438" t="s">
        <v>296</v>
      </c>
      <c r="E32" s="438" t="str">
        <f t="shared" ref="E32:AG32" si="5">IF(E$31="","",IF(E$31=$K$150,"ハローワーク来所日①",""))</f>
        <v/>
      </c>
      <c r="F32" s="438" t="str">
        <f t="shared" si="5"/>
        <v/>
      </c>
      <c r="G32" s="438" t="s">
        <v>245</v>
      </c>
      <c r="H32" s="438" t="str">
        <f t="shared" si="5"/>
        <v/>
      </c>
      <c r="I32" s="438" t="s">
        <v>298</v>
      </c>
      <c r="J32" s="438" t="s">
        <v>298</v>
      </c>
      <c r="K32" s="438"/>
      <c r="L32" s="438" t="str">
        <f t="shared" si="5"/>
        <v/>
      </c>
      <c r="M32" s="438" t="str">
        <f t="shared" si="5"/>
        <v/>
      </c>
      <c r="N32" s="438" t="s">
        <v>298</v>
      </c>
      <c r="O32" s="438" t="str">
        <f t="shared" si="5"/>
        <v/>
      </c>
      <c r="P32" s="438" t="str">
        <f t="shared" si="5"/>
        <v/>
      </c>
      <c r="Q32" s="438" t="s">
        <v>298</v>
      </c>
      <c r="R32" s="438" t="s">
        <v>298</v>
      </c>
      <c r="S32" s="438" t="str">
        <f t="shared" si="5"/>
        <v/>
      </c>
      <c r="T32" s="438" t="str">
        <f t="shared" si="5"/>
        <v/>
      </c>
      <c r="U32" s="438" t="s">
        <v>298</v>
      </c>
      <c r="V32" s="438" t="str">
        <f t="shared" si="5"/>
        <v/>
      </c>
      <c r="W32" s="438" t="s">
        <v>298</v>
      </c>
      <c r="X32" s="438" t="s">
        <v>298</v>
      </c>
      <c r="Y32" s="438" t="s">
        <v>245</v>
      </c>
      <c r="Z32" s="438" t="str">
        <f t="shared" si="5"/>
        <v/>
      </c>
      <c r="AA32" s="438" t="str">
        <f t="shared" si="5"/>
        <v/>
      </c>
      <c r="AB32" s="438" t="s">
        <v>245</v>
      </c>
      <c r="AC32" s="438"/>
      <c r="AD32" s="438" t="s">
        <v>419</v>
      </c>
      <c r="AE32" s="438" t="s">
        <v>419</v>
      </c>
      <c r="AF32" s="438" t="s">
        <v>420</v>
      </c>
      <c r="AG32" s="444" t="str">
        <f t="shared" si="5"/>
        <v/>
      </c>
      <c r="AH32" s="211"/>
      <c r="AI32" s="20"/>
      <c r="AJ32" s="20"/>
      <c r="AK32" s="20"/>
      <c r="AL32" s="20"/>
      <c r="AM32" s="20"/>
      <c r="AN32" s="20"/>
      <c r="AO32" s="20"/>
      <c r="AP32" s="20"/>
      <c r="AQ32" s="20"/>
      <c r="AR32" s="20"/>
      <c r="AS32" s="20"/>
      <c r="AT32" s="20"/>
      <c r="AU32" s="20"/>
      <c r="AV32" s="20"/>
    </row>
    <row r="33" spans="1:48" ht="18" customHeight="1">
      <c r="A33" s="411"/>
      <c r="B33" s="295"/>
      <c r="C33" s="442"/>
      <c r="D33" s="439"/>
      <c r="E33" s="439"/>
      <c r="F33" s="439"/>
      <c r="G33" s="439"/>
      <c r="H33" s="439"/>
      <c r="I33" s="439"/>
      <c r="J33" s="439"/>
      <c r="K33" s="439"/>
      <c r="L33" s="439"/>
      <c r="M33" s="439"/>
      <c r="N33" s="439"/>
      <c r="O33" s="439"/>
      <c r="P33" s="439"/>
      <c r="Q33" s="439"/>
      <c r="R33" s="439"/>
      <c r="S33" s="439"/>
      <c r="T33" s="439"/>
      <c r="U33" s="439"/>
      <c r="V33" s="439"/>
      <c r="W33" s="439"/>
      <c r="X33" s="439"/>
      <c r="Y33" s="439"/>
      <c r="Z33" s="439"/>
      <c r="AA33" s="439"/>
      <c r="AB33" s="439"/>
      <c r="AC33" s="439"/>
      <c r="AD33" s="439"/>
      <c r="AE33" s="439"/>
      <c r="AF33" s="439"/>
      <c r="AG33" s="445"/>
      <c r="AH33" s="211"/>
      <c r="AI33" s="20"/>
      <c r="AJ33" s="20"/>
      <c r="AK33" s="20"/>
      <c r="AL33" s="20"/>
      <c r="AM33" s="20"/>
      <c r="AN33" s="20"/>
      <c r="AO33" s="20"/>
      <c r="AP33" s="20"/>
      <c r="AQ33" s="20"/>
      <c r="AR33" s="20"/>
      <c r="AS33" s="20"/>
      <c r="AT33" s="20"/>
      <c r="AU33" s="20"/>
      <c r="AV33" s="20"/>
    </row>
    <row r="34" spans="1:48" ht="18" customHeight="1">
      <c r="A34" s="411"/>
      <c r="B34" s="295" t="s">
        <v>58</v>
      </c>
      <c r="C34" s="442"/>
      <c r="D34" s="439"/>
      <c r="E34" s="439"/>
      <c r="F34" s="439"/>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45"/>
      <c r="AH34" s="211"/>
      <c r="AI34" s="20"/>
      <c r="AJ34" s="20"/>
      <c r="AK34" s="20"/>
      <c r="AL34" s="20"/>
      <c r="AM34" s="20"/>
      <c r="AN34" s="20"/>
      <c r="AO34" s="20"/>
      <c r="AP34" s="20"/>
      <c r="AQ34" s="20"/>
      <c r="AR34" s="20"/>
      <c r="AS34" s="20"/>
      <c r="AT34" s="20"/>
      <c r="AU34" s="20"/>
      <c r="AV34" s="20"/>
    </row>
    <row r="35" spans="1:48" ht="18" customHeight="1">
      <c r="A35" s="411"/>
      <c r="B35" s="295"/>
      <c r="C35" s="442"/>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45"/>
      <c r="AH35" s="211"/>
      <c r="AI35" s="20"/>
      <c r="AJ35" s="20"/>
      <c r="AK35" s="20"/>
      <c r="AL35" s="20"/>
      <c r="AM35" s="20"/>
      <c r="AN35" s="20"/>
      <c r="AO35" s="20"/>
      <c r="AP35" s="20"/>
      <c r="AQ35" s="20"/>
      <c r="AR35" s="20"/>
      <c r="AS35" s="20"/>
      <c r="AT35" s="20"/>
      <c r="AU35" s="20"/>
      <c r="AV35" s="20"/>
    </row>
    <row r="36" spans="1:48" ht="18" customHeight="1">
      <c r="A36" s="411"/>
      <c r="B36" s="295" t="s">
        <v>59</v>
      </c>
      <c r="C36" s="442"/>
      <c r="D36" s="439"/>
      <c r="E36" s="439"/>
      <c r="F36" s="439"/>
      <c r="G36" s="439"/>
      <c r="H36" s="439"/>
      <c r="I36" s="439"/>
      <c r="J36" s="439"/>
      <c r="K36" s="439"/>
      <c r="L36" s="439"/>
      <c r="M36" s="439"/>
      <c r="N36" s="439"/>
      <c r="O36" s="439"/>
      <c r="P36" s="439"/>
      <c r="Q36" s="439"/>
      <c r="R36" s="439"/>
      <c r="S36" s="439"/>
      <c r="T36" s="439"/>
      <c r="U36" s="439"/>
      <c r="V36" s="439"/>
      <c r="W36" s="439"/>
      <c r="X36" s="439"/>
      <c r="Y36" s="439"/>
      <c r="Z36" s="439"/>
      <c r="AA36" s="439"/>
      <c r="AB36" s="439"/>
      <c r="AC36" s="439"/>
      <c r="AD36" s="439"/>
      <c r="AE36" s="439"/>
      <c r="AF36" s="439"/>
      <c r="AG36" s="445"/>
      <c r="AH36" s="211"/>
      <c r="AI36" s="20"/>
      <c r="AJ36" s="20"/>
      <c r="AK36" s="20"/>
      <c r="AL36" s="20"/>
      <c r="AM36" s="20"/>
      <c r="AN36" s="20"/>
      <c r="AO36" s="20"/>
      <c r="AP36" s="20"/>
      <c r="AQ36" s="20"/>
      <c r="AR36" s="20"/>
      <c r="AS36" s="20"/>
      <c r="AT36" s="20"/>
      <c r="AU36" s="20"/>
      <c r="AV36" s="20"/>
    </row>
    <row r="37" spans="1:48" ht="18" customHeight="1">
      <c r="A37" s="411"/>
      <c r="B37" s="295"/>
      <c r="C37" s="442"/>
      <c r="D37" s="439"/>
      <c r="E37" s="439"/>
      <c r="F37" s="439"/>
      <c r="G37" s="439"/>
      <c r="H37" s="439"/>
      <c r="I37" s="439"/>
      <c r="J37" s="439"/>
      <c r="K37" s="439"/>
      <c r="L37" s="439"/>
      <c r="M37" s="439"/>
      <c r="N37" s="439"/>
      <c r="O37" s="439"/>
      <c r="P37" s="439"/>
      <c r="Q37" s="439"/>
      <c r="R37" s="439"/>
      <c r="S37" s="439"/>
      <c r="T37" s="439"/>
      <c r="U37" s="439"/>
      <c r="V37" s="439"/>
      <c r="W37" s="439"/>
      <c r="X37" s="439"/>
      <c r="Y37" s="439"/>
      <c r="Z37" s="439"/>
      <c r="AA37" s="439"/>
      <c r="AB37" s="439"/>
      <c r="AC37" s="439"/>
      <c r="AD37" s="439"/>
      <c r="AE37" s="439"/>
      <c r="AF37" s="439"/>
      <c r="AG37" s="445"/>
      <c r="AH37" s="212"/>
      <c r="AI37" s="20"/>
      <c r="AJ37" s="20"/>
      <c r="AK37" s="20"/>
      <c r="AL37" s="20"/>
      <c r="AM37" s="20"/>
      <c r="AN37" s="20"/>
      <c r="AO37" s="20"/>
      <c r="AP37" s="20"/>
      <c r="AQ37" s="20"/>
      <c r="AR37" s="20"/>
      <c r="AS37" s="20"/>
      <c r="AT37" s="20"/>
      <c r="AU37" s="20"/>
      <c r="AV37" s="20"/>
    </row>
    <row r="38" spans="1:48" ht="18" hidden="1" customHeight="1">
      <c r="A38" s="411"/>
      <c r="B38" s="295"/>
      <c r="C38" s="442"/>
      <c r="D38" s="439"/>
      <c r="E38" s="439"/>
      <c r="F38" s="439"/>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45"/>
      <c r="AH38" s="213"/>
      <c r="AI38" s="20"/>
      <c r="AJ38" s="20"/>
      <c r="AK38" s="20"/>
      <c r="AL38" s="20"/>
      <c r="AM38" s="20"/>
      <c r="AN38" s="20"/>
      <c r="AO38" s="20"/>
      <c r="AP38" s="20"/>
      <c r="AQ38" s="20"/>
      <c r="AR38" s="20"/>
      <c r="AS38" s="20"/>
      <c r="AT38" s="20"/>
      <c r="AU38" s="20"/>
      <c r="AV38" s="20"/>
    </row>
    <row r="39" spans="1:48" ht="18" customHeight="1">
      <c r="A39" s="411"/>
      <c r="B39" s="295" t="s">
        <v>60</v>
      </c>
      <c r="C39" s="442"/>
      <c r="D39" s="439"/>
      <c r="E39" s="439"/>
      <c r="F39" s="439"/>
      <c r="G39" s="439"/>
      <c r="H39" s="439"/>
      <c r="I39" s="439"/>
      <c r="J39" s="439"/>
      <c r="K39" s="439"/>
      <c r="L39" s="439"/>
      <c r="M39" s="439"/>
      <c r="N39" s="439"/>
      <c r="O39" s="439"/>
      <c r="P39" s="439"/>
      <c r="Q39" s="439"/>
      <c r="R39" s="439"/>
      <c r="S39" s="439"/>
      <c r="T39" s="439"/>
      <c r="U39" s="439"/>
      <c r="V39" s="439"/>
      <c r="W39" s="439"/>
      <c r="X39" s="439"/>
      <c r="Y39" s="439"/>
      <c r="Z39" s="439"/>
      <c r="AA39" s="439"/>
      <c r="AB39" s="439"/>
      <c r="AC39" s="439"/>
      <c r="AD39" s="439"/>
      <c r="AE39" s="439"/>
      <c r="AF39" s="439"/>
      <c r="AG39" s="445"/>
      <c r="AH39" s="212"/>
      <c r="AI39" s="20"/>
      <c r="AJ39" s="20"/>
      <c r="AK39" s="20"/>
      <c r="AL39" s="20"/>
      <c r="AM39" s="20"/>
      <c r="AN39" s="20"/>
      <c r="AO39" s="20"/>
      <c r="AP39" s="20"/>
      <c r="AQ39" s="20"/>
      <c r="AR39" s="20"/>
      <c r="AS39" s="20"/>
      <c r="AT39" s="20"/>
      <c r="AU39" s="20"/>
      <c r="AV39" s="20"/>
    </row>
    <row r="40" spans="1:48" ht="18" customHeight="1">
      <c r="A40" s="411"/>
      <c r="B40" s="295"/>
      <c r="C40" s="442"/>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45"/>
      <c r="AH40" s="211"/>
      <c r="AI40" s="20"/>
      <c r="AJ40" s="20"/>
      <c r="AK40" s="20"/>
      <c r="AL40" s="20"/>
      <c r="AM40" s="20"/>
      <c r="AN40" s="20"/>
      <c r="AO40" s="20"/>
      <c r="AP40" s="20"/>
      <c r="AQ40" s="20"/>
      <c r="AR40" s="20"/>
      <c r="AS40" s="20"/>
      <c r="AT40" s="20"/>
      <c r="AU40" s="20"/>
      <c r="AV40" s="20"/>
    </row>
    <row r="41" spans="1:48" ht="18" customHeight="1">
      <c r="A41" s="411"/>
      <c r="B41" s="295" t="s">
        <v>61</v>
      </c>
      <c r="C41" s="442"/>
      <c r="D41" s="439"/>
      <c r="E41" s="439"/>
      <c r="F41" s="439"/>
      <c r="G41" s="439"/>
      <c r="H41" s="439"/>
      <c r="I41" s="439"/>
      <c r="J41" s="439"/>
      <c r="K41" s="439"/>
      <c r="L41" s="439"/>
      <c r="M41" s="439"/>
      <c r="N41" s="439"/>
      <c r="O41" s="439"/>
      <c r="P41" s="439"/>
      <c r="Q41" s="439"/>
      <c r="R41" s="439"/>
      <c r="S41" s="439"/>
      <c r="T41" s="439"/>
      <c r="U41" s="439"/>
      <c r="V41" s="439"/>
      <c r="W41" s="439"/>
      <c r="X41" s="439"/>
      <c r="Y41" s="439"/>
      <c r="Z41" s="439"/>
      <c r="AA41" s="439"/>
      <c r="AB41" s="439"/>
      <c r="AC41" s="439"/>
      <c r="AD41" s="439"/>
      <c r="AE41" s="439"/>
      <c r="AF41" s="439"/>
      <c r="AG41" s="445"/>
      <c r="AH41" s="211"/>
      <c r="AI41" s="20"/>
      <c r="AJ41" s="20"/>
      <c r="AK41" s="20"/>
      <c r="AL41" s="20"/>
      <c r="AM41" s="20"/>
      <c r="AN41" s="20"/>
      <c r="AO41" s="20"/>
      <c r="AP41" s="20"/>
      <c r="AQ41" s="20"/>
      <c r="AR41" s="20"/>
      <c r="AS41" s="20"/>
      <c r="AT41" s="20"/>
      <c r="AU41" s="20"/>
      <c r="AV41" s="20"/>
    </row>
    <row r="42" spans="1:48" ht="18" customHeight="1">
      <c r="A42" s="411"/>
      <c r="B42" s="295"/>
      <c r="C42" s="442"/>
      <c r="D42" s="439"/>
      <c r="E42" s="439"/>
      <c r="F42" s="439"/>
      <c r="G42" s="439"/>
      <c r="H42" s="439"/>
      <c r="I42" s="439"/>
      <c r="J42" s="439"/>
      <c r="K42" s="439"/>
      <c r="L42" s="439"/>
      <c r="M42" s="439"/>
      <c r="N42" s="439"/>
      <c r="O42" s="439"/>
      <c r="P42" s="439"/>
      <c r="Q42" s="439"/>
      <c r="R42" s="439"/>
      <c r="S42" s="439"/>
      <c r="T42" s="439"/>
      <c r="U42" s="439"/>
      <c r="V42" s="439"/>
      <c r="W42" s="439"/>
      <c r="X42" s="439"/>
      <c r="Y42" s="439"/>
      <c r="Z42" s="439"/>
      <c r="AA42" s="439"/>
      <c r="AB42" s="439"/>
      <c r="AC42" s="439"/>
      <c r="AD42" s="439"/>
      <c r="AE42" s="439"/>
      <c r="AF42" s="439"/>
      <c r="AG42" s="445"/>
      <c r="AH42" s="211"/>
      <c r="AI42" s="20"/>
      <c r="AJ42" s="20"/>
      <c r="AK42" s="20"/>
      <c r="AL42" s="20"/>
      <c r="AM42" s="20"/>
      <c r="AN42" s="20"/>
      <c r="AO42" s="20"/>
      <c r="AP42" s="20"/>
      <c r="AQ42" s="20"/>
      <c r="AR42" s="20"/>
      <c r="AS42" s="20"/>
      <c r="AT42" s="20"/>
      <c r="AU42" s="20"/>
      <c r="AV42" s="20"/>
    </row>
    <row r="43" spans="1:48" ht="18" customHeight="1">
      <c r="A43" s="411"/>
      <c r="B43" s="295"/>
      <c r="C43" s="443"/>
      <c r="D43" s="440"/>
      <c r="E43" s="440"/>
      <c r="F43" s="440"/>
      <c r="G43" s="440"/>
      <c r="H43" s="440"/>
      <c r="I43" s="440"/>
      <c r="J43" s="440"/>
      <c r="K43" s="440"/>
      <c r="L43" s="440"/>
      <c r="M43" s="440"/>
      <c r="N43" s="440"/>
      <c r="O43" s="440"/>
      <c r="P43" s="440"/>
      <c r="Q43" s="440"/>
      <c r="R43" s="440"/>
      <c r="S43" s="440"/>
      <c r="T43" s="440"/>
      <c r="U43" s="440"/>
      <c r="V43" s="440"/>
      <c r="W43" s="440"/>
      <c r="X43" s="440"/>
      <c r="Y43" s="440"/>
      <c r="Z43" s="440"/>
      <c r="AA43" s="440"/>
      <c r="AB43" s="440"/>
      <c r="AC43" s="440"/>
      <c r="AD43" s="440"/>
      <c r="AE43" s="440"/>
      <c r="AF43" s="440"/>
      <c r="AG43" s="446"/>
      <c r="AH43" s="211"/>
      <c r="AI43" s="20"/>
      <c r="AJ43" s="20"/>
      <c r="AK43" s="20"/>
      <c r="AL43" s="20"/>
      <c r="AM43" s="20"/>
      <c r="AN43" s="20"/>
      <c r="AO43" s="20"/>
      <c r="AP43" s="20"/>
      <c r="AQ43" s="20"/>
      <c r="AR43" s="20"/>
      <c r="AS43" s="20"/>
      <c r="AT43" s="20"/>
      <c r="AU43" s="20"/>
      <c r="AV43" s="20"/>
    </row>
    <row r="44" spans="1:48" ht="20.100000000000001" hidden="1" customHeight="1">
      <c r="A44" s="35"/>
      <c r="B44" s="296" t="s">
        <v>62</v>
      </c>
      <c r="C44" s="297"/>
      <c r="D44" s="298"/>
      <c r="E44" s="298"/>
      <c r="F44" s="298"/>
      <c r="G44" s="298"/>
      <c r="H44" s="298"/>
      <c r="I44" s="298"/>
      <c r="J44" s="298"/>
      <c r="K44" s="298"/>
      <c r="L44" s="298"/>
      <c r="M44" s="298"/>
      <c r="N44" s="298"/>
      <c r="O44" s="299"/>
      <c r="P44" s="299"/>
      <c r="Q44" s="299"/>
      <c r="R44" s="299"/>
      <c r="S44" s="299"/>
      <c r="T44" s="299"/>
      <c r="U44" s="299"/>
      <c r="V44" s="299"/>
      <c r="W44" s="299"/>
      <c r="X44" s="299"/>
      <c r="Y44" s="299"/>
      <c r="Z44" s="299"/>
      <c r="AA44" s="299"/>
      <c r="AB44" s="299"/>
      <c r="AC44" s="299"/>
      <c r="AD44" s="299"/>
      <c r="AE44" s="299"/>
      <c r="AF44" s="299"/>
      <c r="AG44" s="300"/>
      <c r="AH44" s="47"/>
      <c r="AI44" s="130"/>
      <c r="AJ44" s="131"/>
      <c r="AK44" s="20"/>
      <c r="AL44" s="20"/>
      <c r="AM44" s="20"/>
      <c r="AN44" s="20"/>
      <c r="AO44" s="20"/>
      <c r="AP44" s="20"/>
      <c r="AQ44" s="20"/>
      <c r="AR44" s="20"/>
      <c r="AS44" s="20"/>
      <c r="AT44" s="20"/>
      <c r="AU44" s="20"/>
      <c r="AV44" s="20"/>
    </row>
    <row r="45" spans="1:48" ht="18" customHeight="1">
      <c r="A45" s="35"/>
      <c r="B45" s="301" t="s">
        <v>63</v>
      </c>
      <c r="C45" s="297"/>
      <c r="D45" s="298" t="s">
        <v>64</v>
      </c>
      <c r="E45" s="298"/>
      <c r="F45" s="298"/>
      <c r="G45" s="298"/>
      <c r="H45" s="302"/>
      <c r="I45" s="302"/>
      <c r="J45" s="298"/>
      <c r="K45" s="298"/>
      <c r="L45" s="298"/>
      <c r="M45" s="298"/>
      <c r="N45" s="298"/>
      <c r="O45" s="302"/>
      <c r="P45" s="302"/>
      <c r="Q45" s="298"/>
      <c r="R45" s="298"/>
      <c r="S45" s="298"/>
      <c r="T45" s="302"/>
      <c r="U45" s="302"/>
      <c r="V45" s="302"/>
      <c r="W45" s="302"/>
      <c r="X45" s="298"/>
      <c r="Y45" s="298"/>
      <c r="Z45" s="298"/>
      <c r="AA45" s="298"/>
      <c r="AB45" s="302"/>
      <c r="AC45" s="302"/>
      <c r="AD45" s="298"/>
      <c r="AE45" s="298"/>
      <c r="AF45" s="298"/>
      <c r="AG45" s="303"/>
      <c r="AH45" s="132"/>
      <c r="AI45" s="405"/>
      <c r="AJ45" s="405"/>
      <c r="AK45" s="26"/>
      <c r="AL45" s="26"/>
      <c r="AM45" s="26"/>
      <c r="AN45" s="26"/>
      <c r="AO45" s="26"/>
      <c r="AP45" s="20"/>
      <c r="AQ45" s="20"/>
      <c r="AR45" s="20"/>
      <c r="AS45" s="20"/>
      <c r="AT45" s="20"/>
      <c r="AU45" s="20"/>
      <c r="AV45" s="20"/>
    </row>
    <row r="46" spans="1:48" ht="18" customHeight="1">
      <c r="A46" s="35"/>
      <c r="B46" s="304" t="s">
        <v>65</v>
      </c>
      <c r="C46" s="305"/>
      <c r="D46" s="306"/>
      <c r="E46" s="306"/>
      <c r="F46" s="306"/>
      <c r="G46" s="306"/>
      <c r="H46" s="307"/>
      <c r="I46" s="307"/>
      <c r="J46" s="306"/>
      <c r="K46" s="306"/>
      <c r="L46" s="306"/>
      <c r="M46" s="306"/>
      <c r="N46" s="306"/>
      <c r="O46" s="307"/>
      <c r="P46" s="307"/>
      <c r="Q46" s="306"/>
      <c r="R46" s="306"/>
      <c r="S46" s="306"/>
      <c r="T46" s="307"/>
      <c r="U46" s="307"/>
      <c r="V46" s="307"/>
      <c r="W46" s="307"/>
      <c r="X46" s="306"/>
      <c r="Y46" s="306"/>
      <c r="Z46" s="306"/>
      <c r="AA46" s="306"/>
      <c r="AB46" s="307"/>
      <c r="AC46" s="307"/>
      <c r="AD46" s="306"/>
      <c r="AE46" s="306"/>
      <c r="AF46" s="306"/>
      <c r="AG46" s="308"/>
      <c r="AH46" s="132"/>
      <c r="AI46" s="418"/>
      <c r="AJ46" s="418"/>
      <c r="AK46" s="70"/>
      <c r="AL46" s="70"/>
      <c r="AM46" s="70"/>
      <c r="AN46" s="70"/>
      <c r="AO46" s="70"/>
      <c r="AP46" s="20"/>
      <c r="AQ46" s="20"/>
      <c r="AR46" s="20"/>
      <c r="AS46" s="20"/>
      <c r="AT46" s="20"/>
      <c r="AU46" s="20"/>
      <c r="AV46" s="20"/>
    </row>
    <row r="47" spans="1:48" ht="18" customHeight="1">
      <c r="A47" s="35"/>
      <c r="B47" s="447" t="s">
        <v>66</v>
      </c>
      <c r="C47" s="309">
        <v>6</v>
      </c>
      <c r="D47" s="310">
        <v>6</v>
      </c>
      <c r="E47" s="310"/>
      <c r="F47" s="310"/>
      <c r="G47" s="310">
        <v>6</v>
      </c>
      <c r="H47" s="310"/>
      <c r="I47" s="310">
        <v>6</v>
      </c>
      <c r="J47" s="310">
        <v>6</v>
      </c>
      <c r="K47" s="310"/>
      <c r="L47" s="310"/>
      <c r="M47" s="310"/>
      <c r="N47" s="310">
        <v>6</v>
      </c>
      <c r="O47" s="310"/>
      <c r="P47" s="310"/>
      <c r="Q47" s="310">
        <v>6</v>
      </c>
      <c r="R47" s="310">
        <v>6</v>
      </c>
      <c r="S47" s="310"/>
      <c r="T47" s="310"/>
      <c r="U47" s="310">
        <v>6</v>
      </c>
      <c r="V47" s="310"/>
      <c r="W47" s="310">
        <v>6</v>
      </c>
      <c r="X47" s="310">
        <v>6</v>
      </c>
      <c r="Y47" s="310">
        <v>6</v>
      </c>
      <c r="Z47" s="310"/>
      <c r="AA47" s="310"/>
      <c r="AB47" s="310">
        <v>6</v>
      </c>
      <c r="AC47" s="310"/>
      <c r="AD47" s="310">
        <v>6</v>
      </c>
      <c r="AE47" s="310">
        <v>6</v>
      </c>
      <c r="AF47" s="310">
        <v>6</v>
      </c>
      <c r="AG47" s="311"/>
      <c r="AH47" s="212"/>
      <c r="AI47" s="26"/>
      <c r="AJ47" s="26"/>
      <c r="AK47" s="26"/>
      <c r="AL47" s="26"/>
      <c r="AM47" s="20"/>
      <c r="AN47" s="20"/>
      <c r="AO47" s="20"/>
      <c r="AP47" s="20"/>
      <c r="AQ47" s="20"/>
      <c r="AR47" s="20"/>
      <c r="AS47" s="20"/>
      <c r="AT47" s="20"/>
      <c r="AU47" s="20"/>
      <c r="AV47" s="20"/>
    </row>
    <row r="48" spans="1:48" ht="18" hidden="1" customHeight="1">
      <c r="A48" s="35"/>
      <c r="B48" s="448"/>
      <c r="C48" s="312"/>
      <c r="D48" s="313"/>
      <c r="E48" s="313"/>
      <c r="F48" s="313"/>
      <c r="G48" s="313"/>
      <c r="H48" s="313"/>
      <c r="I48" s="313"/>
      <c r="J48" s="313"/>
      <c r="K48" s="313"/>
      <c r="L48" s="313"/>
      <c r="M48" s="313"/>
      <c r="N48" s="313"/>
      <c r="O48" s="313"/>
      <c r="P48" s="313"/>
      <c r="Q48" s="313"/>
      <c r="R48" s="313"/>
      <c r="S48" s="313"/>
      <c r="T48" s="313"/>
      <c r="U48" s="313"/>
      <c r="V48" s="313"/>
      <c r="W48" s="313"/>
      <c r="X48" s="313"/>
      <c r="Y48" s="313"/>
      <c r="Z48" s="313"/>
      <c r="AA48" s="313"/>
      <c r="AB48" s="313"/>
      <c r="AC48" s="313"/>
      <c r="AD48" s="313"/>
      <c r="AE48" s="313"/>
      <c r="AF48" s="313"/>
      <c r="AG48" s="314"/>
      <c r="AH48" s="213"/>
      <c r="AI48" s="26"/>
      <c r="AJ48" s="26"/>
      <c r="AK48" s="26"/>
      <c r="AL48" s="26"/>
      <c r="AM48" s="20"/>
      <c r="AN48" s="20"/>
      <c r="AO48" s="20"/>
      <c r="AP48" s="20"/>
      <c r="AQ48" s="20"/>
      <c r="AR48" s="20"/>
      <c r="AS48" s="20"/>
      <c r="AT48" s="20"/>
      <c r="AU48" s="20"/>
      <c r="AV48" s="20"/>
    </row>
    <row r="49" spans="1:48" ht="18" customHeight="1">
      <c r="A49" s="63"/>
      <c r="B49" s="44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c r="AI49" s="410"/>
      <c r="AJ49" s="410"/>
      <c r="AK49" s="69"/>
      <c r="AL49" s="69"/>
      <c r="AM49" s="64"/>
      <c r="AN49" s="20"/>
      <c r="AO49" s="20"/>
      <c r="AP49" s="20"/>
      <c r="AQ49" s="20"/>
      <c r="AR49" s="20"/>
      <c r="AS49" s="20"/>
      <c r="AT49" s="20"/>
      <c r="AU49" s="20"/>
      <c r="AV49" s="20"/>
    </row>
    <row r="50" spans="1:48" ht="14.4">
      <c r="A50" s="15"/>
      <c r="B50" s="15"/>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19"/>
      <c r="AI50" s="20"/>
      <c r="AJ50" s="20"/>
      <c r="AK50" s="20"/>
      <c r="AL50" s="20"/>
      <c r="AM50" s="20"/>
      <c r="AN50" s="20"/>
      <c r="AO50" s="20"/>
      <c r="AP50" s="20"/>
      <c r="AQ50" s="20"/>
      <c r="AR50" s="20"/>
      <c r="AS50" s="20"/>
      <c r="AT50" s="20"/>
      <c r="AU50" s="20"/>
      <c r="AV50" s="20"/>
    </row>
    <row r="51" spans="1:48" ht="18" customHeight="1">
      <c r="A51" s="30"/>
      <c r="B51" s="31"/>
      <c r="C51" s="288">
        <f>IF(OR(C29="",COUNTIF(C28:AG28,"修了日")=1),"",EDATE(C29,1))</f>
        <v>46194</v>
      </c>
      <c r="D51" s="289">
        <f t="shared" ref="D51:AD51" si="6">IF(OR(C51="",C50="修了日"),"",C51+1)</f>
        <v>46195</v>
      </c>
      <c r="E51" s="289">
        <f t="shared" si="6"/>
        <v>46196</v>
      </c>
      <c r="F51" s="289">
        <f t="shared" si="6"/>
        <v>46197</v>
      </c>
      <c r="G51" s="289">
        <f t="shared" si="6"/>
        <v>46198</v>
      </c>
      <c r="H51" s="289">
        <f t="shared" si="6"/>
        <v>46199</v>
      </c>
      <c r="I51" s="289">
        <f t="shared" si="6"/>
        <v>46200</v>
      </c>
      <c r="J51" s="289">
        <f t="shared" si="6"/>
        <v>46201</v>
      </c>
      <c r="K51" s="289">
        <f t="shared" si="6"/>
        <v>46202</v>
      </c>
      <c r="L51" s="289">
        <f t="shared" si="6"/>
        <v>46203</v>
      </c>
      <c r="M51" s="289">
        <f t="shared" si="6"/>
        <v>46204</v>
      </c>
      <c r="N51" s="289">
        <f t="shared" si="6"/>
        <v>46205</v>
      </c>
      <c r="O51" s="289">
        <f t="shared" si="6"/>
        <v>46206</v>
      </c>
      <c r="P51" s="289">
        <f t="shared" si="6"/>
        <v>46207</v>
      </c>
      <c r="Q51" s="289">
        <f t="shared" si="6"/>
        <v>46208</v>
      </c>
      <c r="R51" s="289">
        <f t="shared" si="6"/>
        <v>46209</v>
      </c>
      <c r="S51" s="289">
        <f t="shared" si="6"/>
        <v>46210</v>
      </c>
      <c r="T51" s="289">
        <f t="shared" si="6"/>
        <v>46211</v>
      </c>
      <c r="U51" s="289">
        <f t="shared" si="6"/>
        <v>46212</v>
      </c>
      <c r="V51" s="289">
        <f t="shared" si="6"/>
        <v>46213</v>
      </c>
      <c r="W51" s="289">
        <f t="shared" si="6"/>
        <v>46214</v>
      </c>
      <c r="X51" s="289">
        <f t="shared" si="6"/>
        <v>46215</v>
      </c>
      <c r="Y51" s="289">
        <f t="shared" si="6"/>
        <v>46216</v>
      </c>
      <c r="Z51" s="289">
        <f t="shared" si="6"/>
        <v>46217</v>
      </c>
      <c r="AA51" s="289">
        <f t="shared" si="6"/>
        <v>46218</v>
      </c>
      <c r="AB51" s="289">
        <f t="shared" si="6"/>
        <v>46219</v>
      </c>
      <c r="AC51" s="289">
        <f t="shared" si="6"/>
        <v>46220</v>
      </c>
      <c r="AD51" s="289">
        <f t="shared" si="6"/>
        <v>46221</v>
      </c>
      <c r="AE51" s="289">
        <f>IF(OR(AD51="",AD50="修了日"),"",IF(AND(DAY(DATE(YEAR(C51),2,29))=29,MONTH(C51)=2),AD51+1,IF(MONTH(C51)=2,"",AD51+1)))</f>
        <v>46222</v>
      </c>
      <c r="AF51" s="289">
        <f>IF(OR(AE51="",AE50="修了日"),"",IF(MONTH(C51)=2,"",AE51+1))</f>
        <v>46223</v>
      </c>
      <c r="AG51" s="315" t="str">
        <f>IF(OR(AF51="",AF50="修了日"),"",IF(OR(MONTH(C51)=2,MONTH(C51)=4,MONTH(C51)=6,MONTH(C51)=9,MONTH(C51)=11),"",AF51+1))</f>
        <v/>
      </c>
      <c r="AH51" s="19"/>
      <c r="AI51" s="20"/>
      <c r="AJ51" s="20"/>
      <c r="AK51" s="20"/>
      <c r="AL51" s="20"/>
      <c r="AM51" s="20"/>
      <c r="AN51" s="20"/>
      <c r="AO51" s="20"/>
      <c r="AP51" s="20"/>
      <c r="AQ51" s="20"/>
      <c r="AR51" s="20"/>
      <c r="AS51" s="20"/>
      <c r="AT51" s="20"/>
      <c r="AU51" s="20"/>
      <c r="AV51" s="20"/>
    </row>
    <row r="52" spans="1:48" ht="18" customHeight="1">
      <c r="A52" s="35"/>
      <c r="B52" s="31"/>
      <c r="C52" s="316">
        <f>+C51</f>
        <v>46194</v>
      </c>
      <c r="D52" s="316">
        <f t="shared" ref="D52:AG53" si="7">IF(D51="","",+D51)</f>
        <v>46195</v>
      </c>
      <c r="E52" s="316">
        <f t="shared" si="7"/>
        <v>46196</v>
      </c>
      <c r="F52" s="316">
        <f t="shared" si="7"/>
        <v>46197</v>
      </c>
      <c r="G52" s="316">
        <f t="shared" si="7"/>
        <v>46198</v>
      </c>
      <c r="H52" s="316">
        <f t="shared" si="7"/>
        <v>46199</v>
      </c>
      <c r="I52" s="316">
        <f t="shared" si="7"/>
        <v>46200</v>
      </c>
      <c r="J52" s="316">
        <f t="shared" si="7"/>
        <v>46201</v>
      </c>
      <c r="K52" s="316">
        <f t="shared" si="7"/>
        <v>46202</v>
      </c>
      <c r="L52" s="316">
        <f t="shared" si="7"/>
        <v>46203</v>
      </c>
      <c r="M52" s="316">
        <f t="shared" si="7"/>
        <v>46204</v>
      </c>
      <c r="N52" s="316">
        <f t="shared" si="7"/>
        <v>46205</v>
      </c>
      <c r="O52" s="316">
        <f t="shared" si="7"/>
        <v>46206</v>
      </c>
      <c r="P52" s="316">
        <f t="shared" si="7"/>
        <v>46207</v>
      </c>
      <c r="Q52" s="316">
        <f t="shared" si="7"/>
        <v>46208</v>
      </c>
      <c r="R52" s="316">
        <f t="shared" si="7"/>
        <v>46209</v>
      </c>
      <c r="S52" s="316">
        <f t="shared" si="7"/>
        <v>46210</v>
      </c>
      <c r="T52" s="316">
        <f t="shared" si="7"/>
        <v>46211</v>
      </c>
      <c r="U52" s="316">
        <f t="shared" si="7"/>
        <v>46212</v>
      </c>
      <c r="V52" s="316">
        <f t="shared" si="7"/>
        <v>46213</v>
      </c>
      <c r="W52" s="316">
        <f t="shared" si="7"/>
        <v>46214</v>
      </c>
      <c r="X52" s="316">
        <f t="shared" si="7"/>
        <v>46215</v>
      </c>
      <c r="Y52" s="316">
        <f t="shared" si="7"/>
        <v>46216</v>
      </c>
      <c r="Z52" s="316">
        <f t="shared" si="7"/>
        <v>46217</v>
      </c>
      <c r="AA52" s="316">
        <f t="shared" si="7"/>
        <v>46218</v>
      </c>
      <c r="AB52" s="316">
        <f t="shared" si="7"/>
        <v>46219</v>
      </c>
      <c r="AC52" s="316">
        <f t="shared" si="7"/>
        <v>46220</v>
      </c>
      <c r="AD52" s="316">
        <f t="shared" si="7"/>
        <v>46221</v>
      </c>
      <c r="AE52" s="316">
        <f t="shared" si="7"/>
        <v>46222</v>
      </c>
      <c r="AF52" s="316">
        <f t="shared" si="7"/>
        <v>46223</v>
      </c>
      <c r="AG52" s="292" t="str">
        <f t="shared" si="7"/>
        <v/>
      </c>
      <c r="AH52" s="19"/>
      <c r="AI52" s="20"/>
      <c r="AJ52" s="20"/>
      <c r="AK52" s="20"/>
      <c r="AL52" s="20"/>
      <c r="AM52" s="20"/>
      <c r="AN52" s="20"/>
      <c r="AO52" s="20"/>
      <c r="AP52" s="20"/>
      <c r="AQ52" s="20"/>
      <c r="AR52" s="20"/>
      <c r="AS52" s="20"/>
      <c r="AT52" s="20"/>
      <c r="AU52" s="20"/>
      <c r="AV52" s="20"/>
    </row>
    <row r="53" spans="1:48" ht="18" customHeight="1">
      <c r="A53" s="35"/>
      <c r="B53" s="31"/>
      <c r="C53" s="293">
        <f>+C52</f>
        <v>46194</v>
      </c>
      <c r="D53" s="293">
        <f t="shared" si="7"/>
        <v>46195</v>
      </c>
      <c r="E53" s="293">
        <f t="shared" si="7"/>
        <v>46196</v>
      </c>
      <c r="F53" s="293">
        <f t="shared" si="7"/>
        <v>46197</v>
      </c>
      <c r="G53" s="293">
        <f t="shared" si="7"/>
        <v>46198</v>
      </c>
      <c r="H53" s="293">
        <f t="shared" si="7"/>
        <v>46199</v>
      </c>
      <c r="I53" s="293">
        <f t="shared" si="7"/>
        <v>46200</v>
      </c>
      <c r="J53" s="293">
        <f t="shared" si="7"/>
        <v>46201</v>
      </c>
      <c r="K53" s="293">
        <f t="shared" si="7"/>
        <v>46202</v>
      </c>
      <c r="L53" s="293">
        <f t="shared" si="7"/>
        <v>46203</v>
      </c>
      <c r="M53" s="293">
        <f t="shared" si="7"/>
        <v>46204</v>
      </c>
      <c r="N53" s="293">
        <f t="shared" si="7"/>
        <v>46205</v>
      </c>
      <c r="O53" s="293">
        <f t="shared" si="7"/>
        <v>46206</v>
      </c>
      <c r="P53" s="293">
        <f t="shared" si="7"/>
        <v>46207</v>
      </c>
      <c r="Q53" s="293">
        <f t="shared" si="7"/>
        <v>46208</v>
      </c>
      <c r="R53" s="293">
        <f t="shared" si="7"/>
        <v>46209</v>
      </c>
      <c r="S53" s="293">
        <f t="shared" si="7"/>
        <v>46210</v>
      </c>
      <c r="T53" s="293">
        <f t="shared" si="7"/>
        <v>46211</v>
      </c>
      <c r="U53" s="293">
        <f t="shared" si="7"/>
        <v>46212</v>
      </c>
      <c r="V53" s="293">
        <f t="shared" si="7"/>
        <v>46213</v>
      </c>
      <c r="W53" s="293">
        <f t="shared" si="7"/>
        <v>46214</v>
      </c>
      <c r="X53" s="293">
        <f t="shared" si="7"/>
        <v>46215</v>
      </c>
      <c r="Y53" s="293">
        <f t="shared" si="7"/>
        <v>46216</v>
      </c>
      <c r="Z53" s="293">
        <f t="shared" si="7"/>
        <v>46217</v>
      </c>
      <c r="AA53" s="293">
        <f t="shared" si="7"/>
        <v>46218</v>
      </c>
      <c r="AB53" s="293">
        <f t="shared" si="7"/>
        <v>46219</v>
      </c>
      <c r="AC53" s="293">
        <f t="shared" si="7"/>
        <v>46220</v>
      </c>
      <c r="AD53" s="293">
        <f t="shared" si="7"/>
        <v>46221</v>
      </c>
      <c r="AE53" s="293">
        <f t="shared" si="7"/>
        <v>46222</v>
      </c>
      <c r="AF53" s="293">
        <f t="shared" si="7"/>
        <v>46223</v>
      </c>
      <c r="AG53" s="294" t="str">
        <f t="shared" si="7"/>
        <v/>
      </c>
      <c r="AH53" s="19"/>
      <c r="AI53" s="20"/>
      <c r="AJ53" s="20"/>
      <c r="AK53" s="20"/>
      <c r="AL53" s="20"/>
      <c r="AM53" s="20"/>
      <c r="AN53" s="20"/>
      <c r="AO53" s="20"/>
      <c r="AP53" s="20"/>
      <c r="AQ53" s="20"/>
      <c r="AR53" s="20"/>
      <c r="AS53" s="20"/>
      <c r="AT53" s="20"/>
      <c r="AU53" s="20"/>
      <c r="AV53" s="20"/>
    </row>
    <row r="54" spans="1:48" ht="18" customHeight="1">
      <c r="A54" s="411"/>
      <c r="B54" s="41"/>
      <c r="C54" s="441" t="str">
        <f t="shared" ref="C54:AG54" si="8">IF(C$53="","",IF(C$53=$K$151,"ハローワーク来所日②",""))</f>
        <v/>
      </c>
      <c r="D54" s="438" t="s">
        <v>420</v>
      </c>
      <c r="E54" s="438"/>
      <c r="F54" s="438"/>
      <c r="G54" s="438" t="s">
        <v>419</v>
      </c>
      <c r="H54" s="438" t="s">
        <v>420</v>
      </c>
      <c r="I54" s="438" t="s">
        <v>67</v>
      </c>
      <c r="J54" s="438"/>
      <c r="K54" s="438" t="s">
        <v>420</v>
      </c>
      <c r="L54" s="438" t="s">
        <v>420</v>
      </c>
      <c r="M54" s="438"/>
      <c r="N54" s="438" t="s">
        <v>419</v>
      </c>
      <c r="O54" s="438" t="s">
        <v>215</v>
      </c>
      <c r="P54" s="438" t="s">
        <v>107</v>
      </c>
      <c r="Q54" s="438" t="str">
        <f t="shared" si="8"/>
        <v/>
      </c>
      <c r="R54" s="438" t="s">
        <v>420</v>
      </c>
      <c r="S54" s="438" t="str">
        <f t="shared" si="8"/>
        <v/>
      </c>
      <c r="T54" s="438" t="s">
        <v>419</v>
      </c>
      <c r="U54" s="438" t="s">
        <v>420</v>
      </c>
      <c r="V54" s="438" t="s">
        <v>420</v>
      </c>
      <c r="W54" s="438"/>
      <c r="X54" s="438" t="str">
        <f t="shared" si="8"/>
        <v/>
      </c>
      <c r="Y54" s="438" t="s">
        <v>204</v>
      </c>
      <c r="Z54" s="438"/>
      <c r="AA54" s="438"/>
      <c r="AB54" s="438" t="s">
        <v>421</v>
      </c>
      <c r="AC54" s="438" t="s">
        <v>419</v>
      </c>
      <c r="AD54" s="438" t="str">
        <f t="shared" si="8"/>
        <v/>
      </c>
      <c r="AE54" s="438" t="str">
        <f t="shared" si="8"/>
        <v/>
      </c>
      <c r="AF54" s="438" t="str">
        <f t="shared" si="8"/>
        <v/>
      </c>
      <c r="AG54" s="444" t="str">
        <f t="shared" si="8"/>
        <v/>
      </c>
      <c r="AH54" s="211"/>
      <c r="AI54" s="20"/>
      <c r="AJ54" s="20"/>
      <c r="AK54" s="20"/>
      <c r="AL54" s="20"/>
      <c r="AM54" s="20"/>
      <c r="AN54" s="20"/>
      <c r="AO54" s="20"/>
      <c r="AP54" s="20"/>
      <c r="AQ54" s="20"/>
      <c r="AR54" s="20"/>
      <c r="AS54" s="20"/>
      <c r="AT54" s="20"/>
      <c r="AU54" s="20"/>
      <c r="AV54" s="20"/>
    </row>
    <row r="55" spans="1:48" ht="18" customHeight="1">
      <c r="A55" s="411"/>
      <c r="B55" s="41"/>
      <c r="C55" s="442"/>
      <c r="D55" s="439"/>
      <c r="E55" s="439"/>
      <c r="F55" s="439"/>
      <c r="G55" s="439"/>
      <c r="H55" s="439"/>
      <c r="I55" s="439"/>
      <c r="J55" s="439"/>
      <c r="K55" s="439"/>
      <c r="L55" s="439"/>
      <c r="M55" s="439"/>
      <c r="N55" s="439"/>
      <c r="O55" s="439"/>
      <c r="P55" s="439"/>
      <c r="Q55" s="439"/>
      <c r="R55" s="439"/>
      <c r="S55" s="439"/>
      <c r="T55" s="439"/>
      <c r="U55" s="439"/>
      <c r="V55" s="439"/>
      <c r="W55" s="439"/>
      <c r="X55" s="439"/>
      <c r="Y55" s="439"/>
      <c r="Z55" s="439"/>
      <c r="AA55" s="439"/>
      <c r="AB55" s="439"/>
      <c r="AC55" s="439"/>
      <c r="AD55" s="439"/>
      <c r="AE55" s="439"/>
      <c r="AF55" s="439"/>
      <c r="AG55" s="445"/>
      <c r="AH55" s="211"/>
      <c r="AI55" s="20"/>
      <c r="AJ55" s="20"/>
      <c r="AK55" s="20"/>
      <c r="AL55" s="20"/>
      <c r="AM55" s="20"/>
      <c r="AN55" s="20"/>
      <c r="AO55" s="20"/>
      <c r="AP55" s="20"/>
      <c r="AQ55" s="20"/>
      <c r="AR55" s="20"/>
      <c r="AS55" s="20"/>
      <c r="AT55" s="20"/>
      <c r="AU55" s="20"/>
      <c r="AV55" s="20"/>
    </row>
    <row r="56" spans="1:48" ht="18" customHeight="1">
      <c r="A56" s="411"/>
      <c r="B56" s="41"/>
      <c r="C56" s="442"/>
      <c r="D56" s="439"/>
      <c r="E56" s="439"/>
      <c r="F56" s="439"/>
      <c r="G56" s="439"/>
      <c r="H56" s="439"/>
      <c r="I56" s="439"/>
      <c r="J56" s="439"/>
      <c r="K56" s="439"/>
      <c r="L56" s="439"/>
      <c r="M56" s="439"/>
      <c r="N56" s="439"/>
      <c r="O56" s="439"/>
      <c r="P56" s="439"/>
      <c r="Q56" s="439"/>
      <c r="R56" s="439"/>
      <c r="S56" s="439"/>
      <c r="T56" s="439"/>
      <c r="U56" s="439"/>
      <c r="V56" s="439"/>
      <c r="W56" s="439"/>
      <c r="X56" s="439"/>
      <c r="Y56" s="439"/>
      <c r="Z56" s="439"/>
      <c r="AA56" s="439"/>
      <c r="AB56" s="439"/>
      <c r="AC56" s="439"/>
      <c r="AD56" s="439"/>
      <c r="AE56" s="439"/>
      <c r="AF56" s="439"/>
      <c r="AG56" s="445"/>
      <c r="AH56" s="211"/>
      <c r="AI56" s="20"/>
      <c r="AJ56" s="20"/>
      <c r="AK56" s="20"/>
      <c r="AL56" s="20"/>
      <c r="AM56" s="20"/>
      <c r="AN56" s="20"/>
      <c r="AO56" s="20"/>
      <c r="AP56" s="20"/>
      <c r="AQ56" s="20"/>
      <c r="AR56" s="20"/>
      <c r="AS56" s="20"/>
      <c r="AT56" s="20"/>
      <c r="AU56" s="20"/>
      <c r="AV56" s="20"/>
    </row>
    <row r="57" spans="1:48" ht="18" customHeight="1">
      <c r="A57" s="411"/>
      <c r="B57" s="41"/>
      <c r="C57" s="442"/>
      <c r="D57" s="439"/>
      <c r="E57" s="439"/>
      <c r="F57" s="439"/>
      <c r="G57" s="439"/>
      <c r="H57" s="439"/>
      <c r="I57" s="439"/>
      <c r="J57" s="439"/>
      <c r="K57" s="439"/>
      <c r="L57" s="439"/>
      <c r="M57" s="439"/>
      <c r="N57" s="439"/>
      <c r="O57" s="439"/>
      <c r="P57" s="439"/>
      <c r="Q57" s="439"/>
      <c r="R57" s="439"/>
      <c r="S57" s="439"/>
      <c r="T57" s="439"/>
      <c r="U57" s="439"/>
      <c r="V57" s="439"/>
      <c r="W57" s="439"/>
      <c r="X57" s="439"/>
      <c r="Y57" s="439"/>
      <c r="Z57" s="439"/>
      <c r="AA57" s="439"/>
      <c r="AB57" s="439"/>
      <c r="AC57" s="439"/>
      <c r="AD57" s="439"/>
      <c r="AE57" s="439"/>
      <c r="AF57" s="439"/>
      <c r="AG57" s="445"/>
      <c r="AH57" s="211"/>
      <c r="AI57" s="20"/>
      <c r="AJ57" s="20"/>
      <c r="AK57" s="20"/>
      <c r="AL57" s="20"/>
      <c r="AM57" s="20"/>
      <c r="AN57" s="20"/>
      <c r="AO57" s="20"/>
      <c r="AP57" s="20"/>
      <c r="AQ57" s="20"/>
      <c r="AR57" s="20"/>
      <c r="AS57" s="20"/>
      <c r="AT57" s="20"/>
      <c r="AU57" s="20"/>
      <c r="AV57" s="20"/>
    </row>
    <row r="58" spans="1:48" ht="18" customHeight="1">
      <c r="A58" s="411"/>
      <c r="B58" s="41"/>
      <c r="C58" s="442"/>
      <c r="D58" s="439"/>
      <c r="E58" s="439"/>
      <c r="F58" s="439"/>
      <c r="G58" s="439"/>
      <c r="H58" s="439"/>
      <c r="I58" s="439"/>
      <c r="J58" s="439"/>
      <c r="K58" s="439"/>
      <c r="L58" s="439"/>
      <c r="M58" s="439"/>
      <c r="N58" s="439"/>
      <c r="O58" s="439"/>
      <c r="P58" s="439"/>
      <c r="Q58" s="439"/>
      <c r="R58" s="439"/>
      <c r="S58" s="439"/>
      <c r="T58" s="439"/>
      <c r="U58" s="439"/>
      <c r="V58" s="439"/>
      <c r="W58" s="439"/>
      <c r="X58" s="439"/>
      <c r="Y58" s="439"/>
      <c r="Z58" s="439"/>
      <c r="AA58" s="439"/>
      <c r="AB58" s="439"/>
      <c r="AC58" s="439"/>
      <c r="AD58" s="439"/>
      <c r="AE58" s="439"/>
      <c r="AF58" s="439"/>
      <c r="AG58" s="445"/>
      <c r="AH58" s="211"/>
      <c r="AI58" s="20"/>
      <c r="AJ58" s="20"/>
      <c r="AK58" s="20"/>
      <c r="AL58" s="20"/>
      <c r="AM58" s="20"/>
      <c r="AN58" s="20"/>
      <c r="AO58" s="20"/>
      <c r="AP58" s="20"/>
      <c r="AQ58" s="20"/>
      <c r="AR58" s="20"/>
      <c r="AS58" s="20"/>
      <c r="AT58" s="20"/>
      <c r="AU58" s="20"/>
      <c r="AV58" s="20"/>
    </row>
    <row r="59" spans="1:48" ht="18" customHeight="1">
      <c r="A59" s="411"/>
      <c r="B59" s="41"/>
      <c r="C59" s="442"/>
      <c r="D59" s="439"/>
      <c r="E59" s="439"/>
      <c r="F59" s="439"/>
      <c r="G59" s="439"/>
      <c r="H59" s="439"/>
      <c r="I59" s="439"/>
      <c r="J59" s="439"/>
      <c r="K59" s="439"/>
      <c r="L59" s="439"/>
      <c r="M59" s="439"/>
      <c r="N59" s="439"/>
      <c r="O59" s="439"/>
      <c r="P59" s="439"/>
      <c r="Q59" s="439"/>
      <c r="R59" s="439"/>
      <c r="S59" s="439"/>
      <c r="T59" s="439"/>
      <c r="U59" s="439"/>
      <c r="V59" s="439"/>
      <c r="W59" s="439"/>
      <c r="X59" s="439"/>
      <c r="Y59" s="439"/>
      <c r="Z59" s="439"/>
      <c r="AA59" s="439"/>
      <c r="AB59" s="439"/>
      <c r="AC59" s="439"/>
      <c r="AD59" s="439"/>
      <c r="AE59" s="439"/>
      <c r="AF59" s="439"/>
      <c r="AG59" s="445"/>
      <c r="AH59" s="212"/>
      <c r="AI59" s="20"/>
      <c r="AJ59" s="20"/>
      <c r="AK59" s="20"/>
      <c r="AL59" s="20"/>
      <c r="AM59" s="20"/>
      <c r="AN59" s="20"/>
      <c r="AO59" s="20"/>
      <c r="AP59" s="20"/>
      <c r="AQ59" s="20"/>
      <c r="AR59" s="20"/>
      <c r="AS59" s="20"/>
      <c r="AT59" s="20"/>
      <c r="AU59" s="20"/>
      <c r="AV59" s="20"/>
    </row>
    <row r="60" spans="1:48" ht="18" hidden="1" customHeight="1">
      <c r="A60" s="411"/>
      <c r="B60" s="41"/>
      <c r="C60" s="442"/>
      <c r="D60" s="439"/>
      <c r="E60" s="439"/>
      <c r="F60" s="439"/>
      <c r="G60" s="439"/>
      <c r="H60" s="439"/>
      <c r="I60" s="439"/>
      <c r="J60" s="439"/>
      <c r="K60" s="439"/>
      <c r="L60" s="439"/>
      <c r="M60" s="439"/>
      <c r="N60" s="439"/>
      <c r="O60" s="439"/>
      <c r="P60" s="439"/>
      <c r="Q60" s="439"/>
      <c r="R60" s="439"/>
      <c r="S60" s="439"/>
      <c r="T60" s="439"/>
      <c r="U60" s="439"/>
      <c r="V60" s="439"/>
      <c r="W60" s="439"/>
      <c r="X60" s="439"/>
      <c r="Y60" s="439"/>
      <c r="Z60" s="439"/>
      <c r="AA60" s="439"/>
      <c r="AB60" s="439"/>
      <c r="AC60" s="439"/>
      <c r="AD60" s="439"/>
      <c r="AE60" s="439"/>
      <c r="AF60" s="439"/>
      <c r="AG60" s="445"/>
      <c r="AH60" s="213"/>
      <c r="AI60" s="20"/>
      <c r="AJ60" s="20"/>
      <c r="AK60" s="20"/>
      <c r="AL60" s="20"/>
      <c r="AM60" s="20"/>
      <c r="AN60" s="20"/>
      <c r="AO60" s="20"/>
      <c r="AP60" s="20"/>
      <c r="AQ60" s="20"/>
      <c r="AR60" s="20"/>
      <c r="AS60" s="20"/>
      <c r="AT60" s="20"/>
      <c r="AU60" s="20"/>
      <c r="AV60" s="20"/>
    </row>
    <row r="61" spans="1:48" ht="18" customHeight="1">
      <c r="A61" s="411"/>
      <c r="B61" s="41"/>
      <c r="C61" s="442"/>
      <c r="D61" s="439"/>
      <c r="E61" s="439"/>
      <c r="F61" s="439"/>
      <c r="G61" s="439"/>
      <c r="H61" s="439"/>
      <c r="I61" s="439"/>
      <c r="J61" s="439"/>
      <c r="K61" s="439"/>
      <c r="L61" s="439"/>
      <c r="M61" s="439"/>
      <c r="N61" s="439"/>
      <c r="O61" s="439"/>
      <c r="P61" s="439"/>
      <c r="Q61" s="439"/>
      <c r="R61" s="439"/>
      <c r="S61" s="439"/>
      <c r="T61" s="439"/>
      <c r="U61" s="439"/>
      <c r="V61" s="439"/>
      <c r="W61" s="439"/>
      <c r="X61" s="439"/>
      <c r="Y61" s="439"/>
      <c r="Z61" s="439"/>
      <c r="AA61" s="439"/>
      <c r="AB61" s="439"/>
      <c r="AC61" s="439"/>
      <c r="AD61" s="439"/>
      <c r="AE61" s="439"/>
      <c r="AF61" s="439"/>
      <c r="AG61" s="445"/>
      <c r="AH61" s="212"/>
      <c r="AI61" s="20"/>
      <c r="AJ61" s="20"/>
      <c r="AK61" s="20"/>
      <c r="AL61" s="20"/>
      <c r="AM61" s="20"/>
      <c r="AN61" s="20"/>
      <c r="AO61" s="20"/>
      <c r="AP61" s="20"/>
      <c r="AQ61" s="20"/>
      <c r="AR61" s="20"/>
      <c r="AS61" s="20"/>
      <c r="AT61" s="20"/>
      <c r="AU61" s="20"/>
      <c r="AV61" s="20"/>
    </row>
    <row r="62" spans="1:48" ht="18" customHeight="1">
      <c r="A62" s="411"/>
      <c r="B62" s="41"/>
      <c r="C62" s="442"/>
      <c r="D62" s="439"/>
      <c r="E62" s="439"/>
      <c r="F62" s="439"/>
      <c r="G62" s="439"/>
      <c r="H62" s="439"/>
      <c r="I62" s="439"/>
      <c r="J62" s="439"/>
      <c r="K62" s="439"/>
      <c r="L62" s="439"/>
      <c r="M62" s="439"/>
      <c r="N62" s="439"/>
      <c r="O62" s="439"/>
      <c r="P62" s="439"/>
      <c r="Q62" s="439"/>
      <c r="R62" s="439"/>
      <c r="S62" s="439"/>
      <c r="T62" s="439"/>
      <c r="U62" s="439"/>
      <c r="V62" s="439"/>
      <c r="W62" s="439"/>
      <c r="X62" s="439"/>
      <c r="Y62" s="439"/>
      <c r="Z62" s="439"/>
      <c r="AA62" s="439"/>
      <c r="AB62" s="439"/>
      <c r="AC62" s="439"/>
      <c r="AD62" s="439"/>
      <c r="AE62" s="439"/>
      <c r="AF62" s="439"/>
      <c r="AG62" s="445"/>
      <c r="AH62" s="211"/>
      <c r="AI62" s="20"/>
      <c r="AJ62" s="20"/>
      <c r="AK62" s="20"/>
      <c r="AL62" s="20"/>
      <c r="AM62" s="20"/>
      <c r="AN62" s="20"/>
      <c r="AO62" s="20"/>
      <c r="AP62" s="20"/>
      <c r="AQ62" s="20"/>
      <c r="AR62" s="20"/>
      <c r="AS62" s="20"/>
      <c r="AT62" s="20"/>
      <c r="AU62" s="20"/>
      <c r="AV62" s="20"/>
    </row>
    <row r="63" spans="1:48" ht="18" customHeight="1">
      <c r="A63" s="411"/>
      <c r="B63" s="41"/>
      <c r="C63" s="442"/>
      <c r="D63" s="439"/>
      <c r="E63" s="439"/>
      <c r="F63" s="439"/>
      <c r="G63" s="439"/>
      <c r="H63" s="439"/>
      <c r="I63" s="439"/>
      <c r="J63" s="439"/>
      <c r="K63" s="439"/>
      <c r="L63" s="439"/>
      <c r="M63" s="439"/>
      <c r="N63" s="439"/>
      <c r="O63" s="439"/>
      <c r="P63" s="439"/>
      <c r="Q63" s="439"/>
      <c r="R63" s="439"/>
      <c r="S63" s="439"/>
      <c r="T63" s="439"/>
      <c r="U63" s="439"/>
      <c r="V63" s="439"/>
      <c r="W63" s="439"/>
      <c r="X63" s="439"/>
      <c r="Y63" s="439"/>
      <c r="Z63" s="439"/>
      <c r="AA63" s="439"/>
      <c r="AB63" s="439"/>
      <c r="AC63" s="439"/>
      <c r="AD63" s="439"/>
      <c r="AE63" s="439"/>
      <c r="AF63" s="439"/>
      <c r="AG63" s="445"/>
      <c r="AH63" s="211"/>
      <c r="AI63" s="20"/>
      <c r="AJ63" s="20"/>
      <c r="AK63" s="20"/>
      <c r="AL63" s="20"/>
      <c r="AM63" s="20"/>
      <c r="AN63" s="20"/>
      <c r="AO63" s="20"/>
      <c r="AP63" s="20"/>
      <c r="AQ63" s="20"/>
      <c r="AR63" s="20"/>
      <c r="AS63" s="20"/>
      <c r="AT63" s="20"/>
      <c r="AU63" s="20"/>
      <c r="AV63" s="20"/>
    </row>
    <row r="64" spans="1:48" ht="18" customHeight="1">
      <c r="A64" s="411"/>
      <c r="B64" s="41"/>
      <c r="C64" s="442"/>
      <c r="D64" s="439"/>
      <c r="E64" s="439"/>
      <c r="F64" s="439"/>
      <c r="G64" s="439"/>
      <c r="H64" s="439"/>
      <c r="I64" s="439"/>
      <c r="J64" s="439"/>
      <c r="K64" s="439"/>
      <c r="L64" s="439"/>
      <c r="M64" s="439"/>
      <c r="N64" s="439"/>
      <c r="O64" s="439"/>
      <c r="P64" s="439"/>
      <c r="Q64" s="439"/>
      <c r="R64" s="439"/>
      <c r="S64" s="439"/>
      <c r="T64" s="439"/>
      <c r="U64" s="439"/>
      <c r="V64" s="439"/>
      <c r="W64" s="439"/>
      <c r="X64" s="439"/>
      <c r="Y64" s="439"/>
      <c r="Z64" s="439"/>
      <c r="AA64" s="439"/>
      <c r="AB64" s="439"/>
      <c r="AC64" s="439"/>
      <c r="AD64" s="439"/>
      <c r="AE64" s="439"/>
      <c r="AF64" s="439"/>
      <c r="AG64" s="445"/>
      <c r="AH64" s="211"/>
      <c r="AI64" s="20"/>
      <c r="AJ64" s="20"/>
      <c r="AK64" s="20"/>
      <c r="AL64" s="20"/>
      <c r="AM64" s="20"/>
      <c r="AN64" s="20"/>
      <c r="AO64" s="20"/>
      <c r="AP64" s="20"/>
      <c r="AQ64" s="20"/>
      <c r="AR64" s="20"/>
      <c r="AS64" s="20"/>
      <c r="AT64" s="20"/>
      <c r="AU64" s="20"/>
      <c r="AV64" s="20"/>
    </row>
    <row r="65" spans="1:48" ht="18" customHeight="1">
      <c r="A65" s="411"/>
      <c r="B65" s="41"/>
      <c r="C65" s="443"/>
      <c r="D65" s="440"/>
      <c r="E65" s="440"/>
      <c r="F65" s="440"/>
      <c r="G65" s="440"/>
      <c r="H65" s="440"/>
      <c r="I65" s="440"/>
      <c r="J65" s="440"/>
      <c r="K65" s="440"/>
      <c r="L65" s="440"/>
      <c r="M65" s="440"/>
      <c r="N65" s="440"/>
      <c r="O65" s="440"/>
      <c r="P65" s="440"/>
      <c r="Q65" s="440"/>
      <c r="R65" s="440"/>
      <c r="S65" s="440"/>
      <c r="T65" s="440"/>
      <c r="U65" s="440"/>
      <c r="V65" s="440"/>
      <c r="W65" s="440"/>
      <c r="X65" s="440"/>
      <c r="Y65" s="440"/>
      <c r="Z65" s="440"/>
      <c r="AA65" s="440"/>
      <c r="AB65" s="440"/>
      <c r="AC65" s="440"/>
      <c r="AD65" s="440"/>
      <c r="AE65" s="440"/>
      <c r="AF65" s="440"/>
      <c r="AG65" s="446"/>
      <c r="AH65" s="211"/>
      <c r="AI65" s="20"/>
      <c r="AJ65" s="20"/>
      <c r="AK65" s="20"/>
      <c r="AL65" s="20"/>
      <c r="AM65" s="20"/>
      <c r="AN65" s="20"/>
      <c r="AO65" s="20"/>
      <c r="AP65" s="20"/>
      <c r="AQ65" s="20"/>
      <c r="AR65" s="20"/>
      <c r="AS65" s="20"/>
      <c r="AT65" s="20"/>
      <c r="AU65" s="20"/>
      <c r="AV65" s="20"/>
    </row>
    <row r="66" spans="1:48" ht="20.100000000000001" hidden="1" customHeight="1">
      <c r="A66" s="35"/>
      <c r="B66" s="42"/>
      <c r="C66" s="297"/>
      <c r="D66" s="298"/>
      <c r="E66" s="298"/>
      <c r="F66" s="298"/>
      <c r="G66" s="298"/>
      <c r="H66" s="298"/>
      <c r="I66" s="299"/>
      <c r="J66" s="298"/>
      <c r="K66" s="298"/>
      <c r="L66" s="298"/>
      <c r="M66" s="298"/>
      <c r="N66" s="298"/>
      <c r="O66" s="299"/>
      <c r="P66" s="299"/>
      <c r="Q66" s="299"/>
      <c r="R66" s="299"/>
      <c r="S66" s="299"/>
      <c r="T66" s="299"/>
      <c r="U66" s="299"/>
      <c r="V66" s="299"/>
      <c r="W66" s="299"/>
      <c r="X66" s="299"/>
      <c r="Y66" s="299"/>
      <c r="Z66" s="299"/>
      <c r="AA66" s="299"/>
      <c r="AB66" s="299"/>
      <c r="AC66" s="299"/>
      <c r="AD66" s="299"/>
      <c r="AE66" s="299"/>
      <c r="AF66" s="299"/>
      <c r="AG66" s="300"/>
      <c r="AH66" s="47"/>
      <c r="AI66" s="130"/>
      <c r="AJ66" s="131"/>
      <c r="AK66" s="20"/>
      <c r="AL66" s="20"/>
      <c r="AM66" s="20"/>
      <c r="AN66" s="20"/>
      <c r="AO66" s="20"/>
      <c r="AP66" s="20"/>
      <c r="AQ66" s="20"/>
      <c r="AR66" s="20"/>
      <c r="AS66" s="20"/>
      <c r="AT66" s="20"/>
      <c r="AU66" s="20"/>
      <c r="AV66" s="20"/>
    </row>
    <row r="67" spans="1:48" ht="18" customHeight="1">
      <c r="A67" s="35"/>
      <c r="B67" s="48"/>
      <c r="C67" s="297"/>
      <c r="D67" s="298"/>
      <c r="E67" s="298"/>
      <c r="F67" s="298"/>
      <c r="G67" s="298"/>
      <c r="H67" s="302"/>
      <c r="I67" s="302"/>
      <c r="J67" s="298"/>
      <c r="K67" s="298"/>
      <c r="L67" s="298"/>
      <c r="M67" s="298"/>
      <c r="N67" s="298"/>
      <c r="O67" s="302"/>
      <c r="P67" s="302"/>
      <c r="Q67" s="298"/>
      <c r="R67" s="298"/>
      <c r="S67" s="298"/>
      <c r="T67" s="302"/>
      <c r="U67" s="302"/>
      <c r="V67" s="302" t="s">
        <v>64</v>
      </c>
      <c r="W67" s="302"/>
      <c r="X67" s="298"/>
      <c r="Y67" s="298"/>
      <c r="Z67" s="298"/>
      <c r="AA67" s="298"/>
      <c r="AB67" s="302"/>
      <c r="AC67" s="302"/>
      <c r="AD67" s="298"/>
      <c r="AE67" s="298"/>
      <c r="AF67" s="298"/>
      <c r="AG67" s="303"/>
      <c r="AH67" s="132"/>
      <c r="AI67" s="415"/>
      <c r="AJ67" s="415"/>
      <c r="AK67" s="20"/>
      <c r="AL67" s="26"/>
      <c r="AM67" s="20"/>
      <c r="AN67" s="20"/>
      <c r="AO67" s="20"/>
      <c r="AP67" s="20"/>
      <c r="AQ67" s="20"/>
      <c r="AR67" s="20"/>
      <c r="AS67" s="20"/>
      <c r="AT67" s="20"/>
      <c r="AU67" s="20"/>
      <c r="AV67" s="20"/>
    </row>
    <row r="68" spans="1:48" ht="18" customHeight="1">
      <c r="A68" s="35"/>
      <c r="B68" s="51"/>
      <c r="C68" s="305"/>
      <c r="D68" s="306"/>
      <c r="E68" s="306"/>
      <c r="F68" s="306"/>
      <c r="G68" s="306"/>
      <c r="H68" s="307"/>
      <c r="I68" s="307"/>
      <c r="J68" s="306"/>
      <c r="K68" s="306"/>
      <c r="L68" s="306"/>
      <c r="M68" s="306"/>
      <c r="N68" s="306"/>
      <c r="O68" s="307"/>
      <c r="P68" s="307"/>
      <c r="Q68" s="306"/>
      <c r="R68" s="306"/>
      <c r="S68" s="306"/>
      <c r="T68" s="307"/>
      <c r="U68" s="307"/>
      <c r="V68" s="307"/>
      <c r="W68" s="307"/>
      <c r="X68" s="306"/>
      <c r="Y68" s="306"/>
      <c r="Z68" s="306"/>
      <c r="AA68" s="306"/>
      <c r="AB68" s="307"/>
      <c r="AC68" s="307"/>
      <c r="AD68" s="306"/>
      <c r="AE68" s="306"/>
      <c r="AF68" s="306"/>
      <c r="AG68" s="318"/>
      <c r="AH68" s="132"/>
      <c r="AI68" s="416"/>
      <c r="AJ68" s="416"/>
      <c r="AK68" s="72"/>
      <c r="AL68" s="70"/>
      <c r="AM68" s="72"/>
      <c r="AN68" s="72"/>
      <c r="AO68" s="72"/>
      <c r="AP68" s="20"/>
      <c r="AQ68" s="20"/>
      <c r="AR68" s="20"/>
      <c r="AS68" s="20"/>
      <c r="AT68" s="20"/>
      <c r="AU68" s="20"/>
      <c r="AV68" s="20"/>
    </row>
    <row r="69" spans="1:48" ht="18" customHeight="1">
      <c r="A69" s="35"/>
      <c r="B69" s="407"/>
      <c r="C69" s="309"/>
      <c r="D69" s="310">
        <v>6</v>
      </c>
      <c r="E69" s="310"/>
      <c r="F69" s="310"/>
      <c r="G69" s="310">
        <v>6</v>
      </c>
      <c r="H69" s="310">
        <v>6</v>
      </c>
      <c r="I69" s="310">
        <v>0</v>
      </c>
      <c r="J69" s="310"/>
      <c r="K69" s="310">
        <v>6</v>
      </c>
      <c r="L69" s="310">
        <v>6</v>
      </c>
      <c r="M69" s="310"/>
      <c r="N69" s="310">
        <v>6</v>
      </c>
      <c r="O69" s="310">
        <v>6</v>
      </c>
      <c r="P69" s="310">
        <v>0</v>
      </c>
      <c r="Q69" s="310"/>
      <c r="R69" s="310">
        <v>6</v>
      </c>
      <c r="S69" s="310"/>
      <c r="T69" s="310">
        <v>6</v>
      </c>
      <c r="U69" s="310">
        <v>6</v>
      </c>
      <c r="V69" s="310">
        <v>6</v>
      </c>
      <c r="W69" s="310"/>
      <c r="X69" s="310"/>
      <c r="Y69" s="310">
        <v>6</v>
      </c>
      <c r="Z69" s="310"/>
      <c r="AA69" s="310"/>
      <c r="AB69" s="310">
        <v>6</v>
      </c>
      <c r="AC69" s="310">
        <v>6</v>
      </c>
      <c r="AD69" s="310"/>
      <c r="AE69" s="310"/>
      <c r="AF69" s="310"/>
      <c r="AG69" s="319"/>
      <c r="AH69" s="212"/>
      <c r="AI69" s="26"/>
      <c r="AJ69" s="26"/>
      <c r="AK69" s="26"/>
      <c r="AL69" s="26"/>
      <c r="AM69" s="20"/>
      <c r="AN69" s="20"/>
      <c r="AO69" s="20"/>
      <c r="AP69" s="20"/>
      <c r="AQ69" s="20"/>
      <c r="AR69" s="20"/>
      <c r="AS69" s="20"/>
      <c r="AT69" s="20"/>
      <c r="AU69" s="20"/>
      <c r="AV69" s="20"/>
    </row>
    <row r="70" spans="1:48" ht="18" hidden="1" customHeight="1">
      <c r="A70" s="35"/>
      <c r="B70" s="408"/>
      <c r="C70" s="312"/>
      <c r="D70" s="313"/>
      <c r="E70" s="313"/>
      <c r="F70" s="313"/>
      <c r="G70" s="313"/>
      <c r="H70" s="313"/>
      <c r="I70" s="313"/>
      <c r="J70" s="313"/>
      <c r="K70" s="313"/>
      <c r="L70" s="313"/>
      <c r="M70" s="313"/>
      <c r="N70" s="313"/>
      <c r="O70" s="313"/>
      <c r="P70" s="313"/>
      <c r="Q70" s="313"/>
      <c r="R70" s="313"/>
      <c r="S70" s="313"/>
      <c r="T70" s="313"/>
      <c r="U70" s="313"/>
      <c r="V70" s="313"/>
      <c r="W70" s="313"/>
      <c r="X70" s="313"/>
      <c r="Y70" s="313"/>
      <c r="Z70" s="313"/>
      <c r="AA70" s="313"/>
      <c r="AB70" s="313"/>
      <c r="AC70" s="313"/>
      <c r="AD70" s="313"/>
      <c r="AE70" s="313"/>
      <c r="AF70" s="313"/>
      <c r="AG70" s="320"/>
      <c r="AH70" s="213"/>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c r="AI71" s="410"/>
      <c r="AJ71" s="410"/>
      <c r="AK71" s="69"/>
      <c r="AL71" s="69"/>
      <c r="AM71" s="64"/>
      <c r="AN71" s="20"/>
      <c r="AO71" s="20"/>
      <c r="AP71" s="20"/>
      <c r="AQ71" s="20"/>
      <c r="AR71" s="20"/>
      <c r="AS71" s="20"/>
      <c r="AT71" s="20"/>
      <c r="AU71" s="20"/>
      <c r="AV71" s="20"/>
    </row>
    <row r="72" spans="1:48" ht="14.4">
      <c r="A72" s="15"/>
      <c r="B72" s="15"/>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19"/>
      <c r="AI72" s="20"/>
      <c r="AJ72" s="20"/>
      <c r="AK72" s="20"/>
      <c r="AL72" s="20"/>
      <c r="AM72" s="20"/>
      <c r="AN72" s="20"/>
      <c r="AO72" s="20"/>
      <c r="AP72" s="20"/>
      <c r="AQ72" s="20"/>
      <c r="AR72" s="20"/>
      <c r="AS72" s="20"/>
      <c r="AT72" s="20"/>
      <c r="AU72" s="20"/>
      <c r="AV72" s="20"/>
    </row>
    <row r="73" spans="1:48" ht="18.75" customHeight="1">
      <c r="A73" s="30"/>
      <c r="B73" s="31"/>
      <c r="C73" s="288">
        <f>IF(OR(C51="",COUNTIF(C50:AG50,"修了日")=1),"",EDATE(C51,1))</f>
        <v>46224</v>
      </c>
      <c r="D73" s="289">
        <f t="shared" ref="D73:AD73" si="9">IF(OR(C73="",C72="修了日"),"",C73+1)</f>
        <v>46225</v>
      </c>
      <c r="E73" s="289">
        <f t="shared" si="9"/>
        <v>46226</v>
      </c>
      <c r="F73" s="289">
        <f t="shared" si="9"/>
        <v>46227</v>
      </c>
      <c r="G73" s="289">
        <f t="shared" si="9"/>
        <v>46228</v>
      </c>
      <c r="H73" s="289">
        <f t="shared" si="9"/>
        <v>46229</v>
      </c>
      <c r="I73" s="289">
        <f t="shared" si="9"/>
        <v>46230</v>
      </c>
      <c r="J73" s="289">
        <f t="shared" si="9"/>
        <v>46231</v>
      </c>
      <c r="K73" s="289">
        <f t="shared" si="9"/>
        <v>46232</v>
      </c>
      <c r="L73" s="289">
        <f t="shared" si="9"/>
        <v>46233</v>
      </c>
      <c r="M73" s="289">
        <f t="shared" si="9"/>
        <v>46234</v>
      </c>
      <c r="N73" s="289">
        <f t="shared" si="9"/>
        <v>46235</v>
      </c>
      <c r="O73" s="289">
        <f t="shared" si="9"/>
        <v>46236</v>
      </c>
      <c r="P73" s="289">
        <f t="shared" si="9"/>
        <v>46237</v>
      </c>
      <c r="Q73" s="289">
        <f t="shared" si="9"/>
        <v>46238</v>
      </c>
      <c r="R73" s="289">
        <f t="shared" si="9"/>
        <v>46239</v>
      </c>
      <c r="S73" s="289">
        <f t="shared" si="9"/>
        <v>46240</v>
      </c>
      <c r="T73" s="289">
        <f t="shared" si="9"/>
        <v>46241</v>
      </c>
      <c r="U73" s="289">
        <f t="shared" si="9"/>
        <v>46242</v>
      </c>
      <c r="V73" s="289">
        <f t="shared" si="9"/>
        <v>46243</v>
      </c>
      <c r="W73" s="289">
        <f t="shared" si="9"/>
        <v>46244</v>
      </c>
      <c r="X73" s="289">
        <f t="shared" si="9"/>
        <v>46245</v>
      </c>
      <c r="Y73" s="289">
        <f t="shared" si="9"/>
        <v>46246</v>
      </c>
      <c r="Z73" s="289">
        <f t="shared" si="9"/>
        <v>46247</v>
      </c>
      <c r="AA73" s="289">
        <f t="shared" si="9"/>
        <v>46248</v>
      </c>
      <c r="AB73" s="289">
        <f t="shared" si="9"/>
        <v>46249</v>
      </c>
      <c r="AC73" s="289">
        <f t="shared" si="9"/>
        <v>46250</v>
      </c>
      <c r="AD73" s="289">
        <f t="shared" si="9"/>
        <v>46251</v>
      </c>
      <c r="AE73" s="289">
        <f>IF(OR(AD73="",AD72="修了日"),"",IF(AND(DAY(DATE(YEAR(C73),2,29))=29,MONTH(C73)=2),AD73+1,IF(MONTH(C73)=2,"",AD73+1)))</f>
        <v>46252</v>
      </c>
      <c r="AF73" s="289">
        <f>IF(OR(AE73="",AE72="修了日"),"",IF(MONTH(C73)=2,"",AE73+1))</f>
        <v>46253</v>
      </c>
      <c r="AG73" s="315">
        <f>IF(OR(AF73="",AF72="修了日"),"",IF(OR(MONTH(C73)=2,MONTH(C73)=4,MONTH(C73)=6,MONTH(C73)=9,MONTH(C73)=11),"",AF73+1))</f>
        <v>46254</v>
      </c>
      <c r="AH73" s="19"/>
      <c r="AI73" s="20"/>
      <c r="AJ73" s="20"/>
      <c r="AK73" s="20"/>
      <c r="AL73" s="20"/>
      <c r="AM73" s="20"/>
      <c r="AN73" s="20"/>
      <c r="AO73" s="20"/>
      <c r="AP73" s="20"/>
      <c r="AQ73" s="20"/>
      <c r="AR73" s="20"/>
      <c r="AS73" s="20"/>
      <c r="AT73" s="20"/>
      <c r="AU73" s="20"/>
      <c r="AV73" s="20"/>
    </row>
    <row r="74" spans="1:48" ht="18.75" customHeight="1">
      <c r="A74" s="35"/>
      <c r="B74" s="31"/>
      <c r="C74" s="316">
        <f>+C73</f>
        <v>46224</v>
      </c>
      <c r="D74" s="316">
        <f t="shared" ref="D74:AG75" si="10">IF(D73="","",+D73)</f>
        <v>46225</v>
      </c>
      <c r="E74" s="316">
        <f t="shared" si="10"/>
        <v>46226</v>
      </c>
      <c r="F74" s="316">
        <f t="shared" si="10"/>
        <v>46227</v>
      </c>
      <c r="G74" s="316">
        <f t="shared" si="10"/>
        <v>46228</v>
      </c>
      <c r="H74" s="316">
        <f t="shared" si="10"/>
        <v>46229</v>
      </c>
      <c r="I74" s="316">
        <f t="shared" si="10"/>
        <v>46230</v>
      </c>
      <c r="J74" s="316">
        <f t="shared" si="10"/>
        <v>46231</v>
      </c>
      <c r="K74" s="316">
        <f t="shared" si="10"/>
        <v>46232</v>
      </c>
      <c r="L74" s="316">
        <f t="shared" si="10"/>
        <v>46233</v>
      </c>
      <c r="M74" s="316">
        <f t="shared" si="10"/>
        <v>46234</v>
      </c>
      <c r="N74" s="316">
        <f t="shared" si="10"/>
        <v>46235</v>
      </c>
      <c r="O74" s="316">
        <f t="shared" si="10"/>
        <v>46236</v>
      </c>
      <c r="P74" s="316">
        <f t="shared" si="10"/>
        <v>46237</v>
      </c>
      <c r="Q74" s="316">
        <f t="shared" si="10"/>
        <v>46238</v>
      </c>
      <c r="R74" s="316">
        <f t="shared" si="10"/>
        <v>46239</v>
      </c>
      <c r="S74" s="316">
        <f t="shared" si="10"/>
        <v>46240</v>
      </c>
      <c r="T74" s="316">
        <f t="shared" si="10"/>
        <v>46241</v>
      </c>
      <c r="U74" s="316">
        <f t="shared" si="10"/>
        <v>46242</v>
      </c>
      <c r="V74" s="316">
        <f t="shared" si="10"/>
        <v>46243</v>
      </c>
      <c r="W74" s="316">
        <f t="shared" si="10"/>
        <v>46244</v>
      </c>
      <c r="X74" s="316">
        <f t="shared" si="10"/>
        <v>46245</v>
      </c>
      <c r="Y74" s="316">
        <f t="shared" si="10"/>
        <v>46246</v>
      </c>
      <c r="Z74" s="316">
        <f t="shared" si="10"/>
        <v>46247</v>
      </c>
      <c r="AA74" s="316">
        <f t="shared" si="10"/>
        <v>46248</v>
      </c>
      <c r="AB74" s="316">
        <f t="shared" si="10"/>
        <v>46249</v>
      </c>
      <c r="AC74" s="316">
        <f t="shared" si="10"/>
        <v>46250</v>
      </c>
      <c r="AD74" s="316">
        <f t="shared" si="10"/>
        <v>46251</v>
      </c>
      <c r="AE74" s="316">
        <f t="shared" si="10"/>
        <v>46252</v>
      </c>
      <c r="AF74" s="316">
        <f t="shared" si="10"/>
        <v>46253</v>
      </c>
      <c r="AG74" s="292">
        <f t="shared" si="10"/>
        <v>46254</v>
      </c>
      <c r="AH74" s="19"/>
      <c r="AI74" s="20"/>
      <c r="AJ74" s="20"/>
      <c r="AK74" s="20"/>
      <c r="AL74" s="20"/>
      <c r="AM74" s="20"/>
      <c r="AN74" s="20"/>
      <c r="AO74" s="20"/>
      <c r="AP74" s="20"/>
      <c r="AQ74" s="20"/>
      <c r="AR74" s="20"/>
      <c r="AS74" s="20"/>
      <c r="AT74" s="20"/>
      <c r="AU74" s="20"/>
      <c r="AV74" s="20"/>
    </row>
    <row r="75" spans="1:48" ht="18.75" customHeight="1">
      <c r="A75" s="35"/>
      <c r="B75" s="31"/>
      <c r="C75" s="293">
        <f>+C74</f>
        <v>46224</v>
      </c>
      <c r="D75" s="293">
        <f t="shared" si="10"/>
        <v>46225</v>
      </c>
      <c r="E75" s="293">
        <f t="shared" si="10"/>
        <v>46226</v>
      </c>
      <c r="F75" s="293">
        <f t="shared" si="10"/>
        <v>46227</v>
      </c>
      <c r="G75" s="293">
        <f t="shared" si="10"/>
        <v>46228</v>
      </c>
      <c r="H75" s="293">
        <f t="shared" si="10"/>
        <v>46229</v>
      </c>
      <c r="I75" s="293">
        <f t="shared" si="10"/>
        <v>46230</v>
      </c>
      <c r="J75" s="293">
        <f t="shared" si="10"/>
        <v>46231</v>
      </c>
      <c r="K75" s="293">
        <f t="shared" si="10"/>
        <v>46232</v>
      </c>
      <c r="L75" s="293">
        <f t="shared" si="10"/>
        <v>46233</v>
      </c>
      <c r="M75" s="293">
        <f t="shared" si="10"/>
        <v>46234</v>
      </c>
      <c r="N75" s="293">
        <f t="shared" si="10"/>
        <v>46235</v>
      </c>
      <c r="O75" s="293">
        <f t="shared" si="10"/>
        <v>46236</v>
      </c>
      <c r="P75" s="293">
        <f t="shared" si="10"/>
        <v>46237</v>
      </c>
      <c r="Q75" s="293">
        <f t="shared" si="10"/>
        <v>46238</v>
      </c>
      <c r="R75" s="293">
        <f t="shared" si="10"/>
        <v>46239</v>
      </c>
      <c r="S75" s="293">
        <f t="shared" si="10"/>
        <v>46240</v>
      </c>
      <c r="T75" s="293">
        <f t="shared" si="10"/>
        <v>46241</v>
      </c>
      <c r="U75" s="293">
        <f t="shared" si="10"/>
        <v>46242</v>
      </c>
      <c r="V75" s="293">
        <f t="shared" si="10"/>
        <v>46243</v>
      </c>
      <c r="W75" s="293">
        <f t="shared" si="10"/>
        <v>46244</v>
      </c>
      <c r="X75" s="293">
        <f t="shared" si="10"/>
        <v>46245</v>
      </c>
      <c r="Y75" s="293">
        <f t="shared" si="10"/>
        <v>46246</v>
      </c>
      <c r="Z75" s="293">
        <f t="shared" si="10"/>
        <v>46247</v>
      </c>
      <c r="AA75" s="293">
        <f t="shared" si="10"/>
        <v>46248</v>
      </c>
      <c r="AB75" s="293">
        <f t="shared" si="10"/>
        <v>46249</v>
      </c>
      <c r="AC75" s="293">
        <f t="shared" si="10"/>
        <v>46250</v>
      </c>
      <c r="AD75" s="293">
        <f t="shared" si="10"/>
        <v>46251</v>
      </c>
      <c r="AE75" s="293">
        <f t="shared" si="10"/>
        <v>46252</v>
      </c>
      <c r="AF75" s="293">
        <f t="shared" si="10"/>
        <v>46253</v>
      </c>
      <c r="AG75" s="294">
        <f t="shared" si="10"/>
        <v>46254</v>
      </c>
      <c r="AH75" s="19"/>
      <c r="AI75" s="20"/>
      <c r="AJ75" s="20"/>
      <c r="AK75" s="20"/>
      <c r="AL75" s="20"/>
      <c r="AM75" s="20"/>
      <c r="AN75" s="20"/>
      <c r="AO75" s="20"/>
      <c r="AP75" s="20"/>
      <c r="AQ75" s="20"/>
      <c r="AR75" s="20"/>
      <c r="AS75" s="20"/>
      <c r="AT75" s="20"/>
      <c r="AU75" s="20"/>
      <c r="AV75" s="20"/>
    </row>
    <row r="76" spans="1:48" ht="18" customHeight="1">
      <c r="A76" s="411"/>
      <c r="B76" s="41"/>
      <c r="C76" s="438" t="s">
        <v>419</v>
      </c>
      <c r="D76" s="438" t="s">
        <v>246</v>
      </c>
      <c r="E76" s="438" t="s">
        <v>419</v>
      </c>
      <c r="F76" s="438" t="s">
        <v>419</v>
      </c>
      <c r="G76" s="438" t="str">
        <f t="shared" ref="G76:V76" si="11">IF(G$75="","",IF(G$75=$K$152,"ハローワーク来所日③",""))</f>
        <v/>
      </c>
      <c r="H76" s="438" t="str">
        <f t="shared" si="11"/>
        <v/>
      </c>
      <c r="I76" s="438" t="s">
        <v>422</v>
      </c>
      <c r="J76" s="438" t="str">
        <f t="shared" si="11"/>
        <v/>
      </c>
      <c r="K76" s="438" t="s">
        <v>419</v>
      </c>
      <c r="L76" s="438" t="s">
        <v>419</v>
      </c>
      <c r="M76" s="438" t="s">
        <v>246</v>
      </c>
      <c r="N76" s="438"/>
      <c r="O76" s="438"/>
      <c r="P76" s="438" t="s">
        <v>419</v>
      </c>
      <c r="Q76" s="438"/>
      <c r="R76" s="438" t="s">
        <v>419</v>
      </c>
      <c r="S76" s="438" t="s">
        <v>419</v>
      </c>
      <c r="T76" s="438" t="str">
        <f t="shared" si="11"/>
        <v/>
      </c>
      <c r="U76" s="438" t="str">
        <f t="shared" si="11"/>
        <v/>
      </c>
      <c r="V76" s="438" t="str">
        <f t="shared" si="11"/>
        <v/>
      </c>
      <c r="W76" s="438" t="s">
        <v>419</v>
      </c>
      <c r="X76" s="438"/>
      <c r="Y76" s="438"/>
      <c r="Z76" s="438"/>
      <c r="AA76" s="438"/>
      <c r="AB76" s="438"/>
      <c r="AC76" s="438"/>
      <c r="AD76" s="438" t="s">
        <v>419</v>
      </c>
      <c r="AE76" s="438"/>
      <c r="AF76" s="438" t="s">
        <v>423</v>
      </c>
      <c r="AG76" s="444" t="s">
        <v>423</v>
      </c>
      <c r="AH76" s="211"/>
      <c r="AI76" s="20"/>
      <c r="AJ76" s="20"/>
      <c r="AK76" s="20"/>
      <c r="AL76" s="20"/>
      <c r="AM76" s="20"/>
      <c r="AN76" s="20"/>
      <c r="AO76" s="20"/>
      <c r="AP76" s="20"/>
      <c r="AQ76" s="20"/>
      <c r="AR76" s="20"/>
      <c r="AS76" s="20"/>
      <c r="AT76" s="20"/>
      <c r="AU76" s="20"/>
      <c r="AV76" s="20"/>
    </row>
    <row r="77" spans="1:48" ht="18" customHeight="1">
      <c r="A77" s="411"/>
      <c r="B77" s="41"/>
      <c r="C77" s="439"/>
      <c r="D77" s="439"/>
      <c r="E77" s="439"/>
      <c r="F77" s="439"/>
      <c r="G77" s="439"/>
      <c r="H77" s="439"/>
      <c r="I77" s="439"/>
      <c r="J77" s="439"/>
      <c r="K77" s="439"/>
      <c r="L77" s="439"/>
      <c r="M77" s="439"/>
      <c r="N77" s="439"/>
      <c r="O77" s="439"/>
      <c r="P77" s="439"/>
      <c r="Q77" s="439"/>
      <c r="R77" s="439"/>
      <c r="S77" s="439"/>
      <c r="T77" s="439"/>
      <c r="U77" s="439"/>
      <c r="V77" s="439"/>
      <c r="W77" s="439"/>
      <c r="X77" s="439"/>
      <c r="Y77" s="439"/>
      <c r="Z77" s="439"/>
      <c r="AA77" s="439"/>
      <c r="AB77" s="439"/>
      <c r="AC77" s="439"/>
      <c r="AD77" s="439"/>
      <c r="AE77" s="439"/>
      <c r="AF77" s="439"/>
      <c r="AG77" s="445"/>
      <c r="AH77" s="211"/>
      <c r="AI77" s="20"/>
      <c r="AJ77" s="20"/>
      <c r="AK77" s="20"/>
      <c r="AL77" s="20"/>
      <c r="AM77" s="20"/>
      <c r="AN77" s="20"/>
      <c r="AO77" s="20"/>
      <c r="AP77" s="20"/>
      <c r="AQ77" s="20"/>
      <c r="AR77" s="20"/>
      <c r="AS77" s="20"/>
      <c r="AT77" s="20"/>
      <c r="AU77" s="20"/>
      <c r="AV77" s="20"/>
    </row>
    <row r="78" spans="1:48" ht="18" customHeight="1">
      <c r="A78" s="411"/>
      <c r="B78" s="41"/>
      <c r="C78" s="439"/>
      <c r="D78" s="439"/>
      <c r="E78" s="439"/>
      <c r="F78" s="439"/>
      <c r="G78" s="439"/>
      <c r="H78" s="439"/>
      <c r="I78" s="439"/>
      <c r="J78" s="439"/>
      <c r="K78" s="439"/>
      <c r="L78" s="439"/>
      <c r="M78" s="439"/>
      <c r="N78" s="439"/>
      <c r="O78" s="439"/>
      <c r="P78" s="439"/>
      <c r="Q78" s="439"/>
      <c r="R78" s="439"/>
      <c r="S78" s="439"/>
      <c r="T78" s="439"/>
      <c r="U78" s="439"/>
      <c r="V78" s="439"/>
      <c r="W78" s="439"/>
      <c r="X78" s="439"/>
      <c r="Y78" s="439"/>
      <c r="Z78" s="439"/>
      <c r="AA78" s="439"/>
      <c r="AB78" s="439"/>
      <c r="AC78" s="439"/>
      <c r="AD78" s="439"/>
      <c r="AE78" s="439"/>
      <c r="AF78" s="439"/>
      <c r="AG78" s="445"/>
      <c r="AH78" s="211"/>
      <c r="AI78" s="20"/>
      <c r="AJ78" s="20"/>
      <c r="AK78" s="20"/>
      <c r="AL78" s="20"/>
      <c r="AM78" s="20"/>
      <c r="AN78" s="20"/>
      <c r="AO78" s="20"/>
      <c r="AP78" s="20"/>
      <c r="AQ78" s="20"/>
      <c r="AR78" s="20"/>
      <c r="AS78" s="20"/>
      <c r="AT78" s="20"/>
      <c r="AU78" s="20"/>
      <c r="AV78" s="20"/>
    </row>
    <row r="79" spans="1:48" ht="18" customHeight="1">
      <c r="A79" s="411"/>
      <c r="B79" s="41"/>
      <c r="C79" s="439"/>
      <c r="D79" s="439"/>
      <c r="E79" s="439"/>
      <c r="F79" s="439"/>
      <c r="G79" s="439"/>
      <c r="H79" s="439"/>
      <c r="I79" s="439"/>
      <c r="J79" s="439"/>
      <c r="K79" s="439"/>
      <c r="L79" s="439"/>
      <c r="M79" s="439"/>
      <c r="N79" s="439"/>
      <c r="O79" s="439"/>
      <c r="P79" s="439"/>
      <c r="Q79" s="439"/>
      <c r="R79" s="439"/>
      <c r="S79" s="439"/>
      <c r="T79" s="439"/>
      <c r="U79" s="439"/>
      <c r="V79" s="439"/>
      <c r="W79" s="439"/>
      <c r="X79" s="439"/>
      <c r="Y79" s="439"/>
      <c r="Z79" s="439"/>
      <c r="AA79" s="439"/>
      <c r="AB79" s="439"/>
      <c r="AC79" s="439"/>
      <c r="AD79" s="439"/>
      <c r="AE79" s="439"/>
      <c r="AF79" s="439"/>
      <c r="AG79" s="445"/>
      <c r="AH79" s="211"/>
      <c r="AI79" s="20"/>
      <c r="AJ79" s="20"/>
      <c r="AK79" s="20"/>
      <c r="AL79" s="20"/>
      <c r="AM79" s="20"/>
      <c r="AN79" s="20"/>
      <c r="AO79" s="20"/>
      <c r="AP79" s="20"/>
      <c r="AQ79" s="20"/>
      <c r="AR79" s="20"/>
      <c r="AS79" s="20"/>
      <c r="AT79" s="20"/>
      <c r="AU79" s="20"/>
      <c r="AV79" s="20"/>
    </row>
    <row r="80" spans="1:48" ht="18" customHeight="1">
      <c r="A80" s="411"/>
      <c r="B80" s="41"/>
      <c r="C80" s="439"/>
      <c r="D80" s="439"/>
      <c r="E80" s="439"/>
      <c r="F80" s="439"/>
      <c r="G80" s="439"/>
      <c r="H80" s="439"/>
      <c r="I80" s="439"/>
      <c r="J80" s="439"/>
      <c r="K80" s="439"/>
      <c r="L80" s="439"/>
      <c r="M80" s="439"/>
      <c r="N80" s="439"/>
      <c r="O80" s="439"/>
      <c r="P80" s="439"/>
      <c r="Q80" s="439"/>
      <c r="R80" s="439"/>
      <c r="S80" s="439"/>
      <c r="T80" s="439"/>
      <c r="U80" s="439"/>
      <c r="V80" s="439"/>
      <c r="W80" s="439"/>
      <c r="X80" s="439"/>
      <c r="Y80" s="439"/>
      <c r="Z80" s="439"/>
      <c r="AA80" s="439"/>
      <c r="AB80" s="439"/>
      <c r="AC80" s="439"/>
      <c r="AD80" s="439"/>
      <c r="AE80" s="439"/>
      <c r="AF80" s="439"/>
      <c r="AG80" s="445"/>
      <c r="AH80" s="211"/>
      <c r="AI80" s="20"/>
      <c r="AJ80" s="20"/>
      <c r="AK80" s="20"/>
      <c r="AL80" s="20"/>
      <c r="AM80" s="20"/>
      <c r="AN80" s="20"/>
      <c r="AO80" s="20"/>
      <c r="AP80" s="20"/>
      <c r="AQ80" s="20"/>
      <c r="AR80" s="20"/>
      <c r="AS80" s="20"/>
      <c r="AT80" s="20"/>
      <c r="AU80" s="20"/>
      <c r="AV80" s="20"/>
    </row>
    <row r="81" spans="1:48" ht="18" customHeight="1">
      <c r="A81" s="411"/>
      <c r="B81" s="41"/>
      <c r="C81" s="439"/>
      <c r="D81" s="439"/>
      <c r="E81" s="439"/>
      <c r="F81" s="439"/>
      <c r="G81" s="439"/>
      <c r="H81" s="439"/>
      <c r="I81" s="439"/>
      <c r="J81" s="439"/>
      <c r="K81" s="439"/>
      <c r="L81" s="439"/>
      <c r="M81" s="439"/>
      <c r="N81" s="439"/>
      <c r="O81" s="439"/>
      <c r="P81" s="439"/>
      <c r="Q81" s="439"/>
      <c r="R81" s="439"/>
      <c r="S81" s="439"/>
      <c r="T81" s="439"/>
      <c r="U81" s="439"/>
      <c r="V81" s="439"/>
      <c r="W81" s="439"/>
      <c r="X81" s="439"/>
      <c r="Y81" s="439"/>
      <c r="Z81" s="439"/>
      <c r="AA81" s="439"/>
      <c r="AB81" s="439"/>
      <c r="AC81" s="439"/>
      <c r="AD81" s="439"/>
      <c r="AE81" s="439"/>
      <c r="AF81" s="439"/>
      <c r="AG81" s="445"/>
      <c r="AH81" s="212"/>
      <c r="AI81" s="20"/>
      <c r="AJ81" s="20"/>
      <c r="AK81" s="20"/>
      <c r="AL81" s="20"/>
      <c r="AM81" s="20"/>
      <c r="AN81" s="20"/>
      <c r="AO81" s="20"/>
      <c r="AP81" s="20"/>
      <c r="AQ81" s="20"/>
      <c r="AR81" s="20"/>
      <c r="AS81" s="20"/>
      <c r="AT81" s="20"/>
      <c r="AU81" s="20"/>
      <c r="AV81" s="20"/>
    </row>
    <row r="82" spans="1:48" ht="18" hidden="1" customHeight="1">
      <c r="A82" s="411"/>
      <c r="B82" s="41"/>
      <c r="C82" s="439"/>
      <c r="D82" s="439"/>
      <c r="E82" s="439"/>
      <c r="F82" s="439"/>
      <c r="G82" s="439"/>
      <c r="H82" s="439"/>
      <c r="I82" s="439"/>
      <c r="J82" s="439"/>
      <c r="K82" s="439"/>
      <c r="L82" s="439"/>
      <c r="M82" s="439"/>
      <c r="N82" s="439"/>
      <c r="O82" s="439"/>
      <c r="P82" s="439"/>
      <c r="Q82" s="439"/>
      <c r="R82" s="439"/>
      <c r="S82" s="439"/>
      <c r="T82" s="439"/>
      <c r="U82" s="439"/>
      <c r="V82" s="439"/>
      <c r="W82" s="439"/>
      <c r="X82" s="439"/>
      <c r="Y82" s="439"/>
      <c r="Z82" s="439"/>
      <c r="AA82" s="439"/>
      <c r="AB82" s="439"/>
      <c r="AC82" s="439"/>
      <c r="AD82" s="439"/>
      <c r="AE82" s="439"/>
      <c r="AF82" s="439"/>
      <c r="AG82" s="445"/>
      <c r="AH82" s="213"/>
      <c r="AI82" s="20"/>
      <c r="AJ82" s="20"/>
      <c r="AK82" s="20"/>
      <c r="AL82" s="20"/>
      <c r="AM82" s="20"/>
      <c r="AN82" s="20"/>
      <c r="AO82" s="20"/>
      <c r="AP82" s="20"/>
      <c r="AQ82" s="20"/>
      <c r="AR82" s="20"/>
      <c r="AS82" s="20"/>
      <c r="AT82" s="20"/>
      <c r="AU82" s="20"/>
      <c r="AV82" s="20"/>
    </row>
    <row r="83" spans="1:48" ht="18" customHeight="1">
      <c r="A83" s="411"/>
      <c r="B83" s="41"/>
      <c r="C83" s="439"/>
      <c r="D83" s="439"/>
      <c r="E83" s="439"/>
      <c r="F83" s="439"/>
      <c r="G83" s="439"/>
      <c r="H83" s="439"/>
      <c r="I83" s="439"/>
      <c r="J83" s="439"/>
      <c r="K83" s="439"/>
      <c r="L83" s="439"/>
      <c r="M83" s="439"/>
      <c r="N83" s="439"/>
      <c r="O83" s="439"/>
      <c r="P83" s="439"/>
      <c r="Q83" s="439"/>
      <c r="R83" s="439"/>
      <c r="S83" s="439"/>
      <c r="T83" s="439"/>
      <c r="U83" s="439"/>
      <c r="V83" s="439"/>
      <c r="W83" s="439"/>
      <c r="X83" s="439"/>
      <c r="Y83" s="439"/>
      <c r="Z83" s="439"/>
      <c r="AA83" s="439"/>
      <c r="AB83" s="439"/>
      <c r="AC83" s="439"/>
      <c r="AD83" s="439"/>
      <c r="AE83" s="439"/>
      <c r="AF83" s="439"/>
      <c r="AG83" s="445"/>
      <c r="AH83" s="212"/>
      <c r="AI83" s="20"/>
      <c r="AJ83" s="20"/>
      <c r="AK83" s="20"/>
      <c r="AL83" s="20"/>
      <c r="AM83" s="20"/>
      <c r="AN83" s="20"/>
      <c r="AO83" s="20"/>
      <c r="AP83" s="20"/>
      <c r="AQ83" s="20"/>
      <c r="AR83" s="20"/>
      <c r="AS83" s="20"/>
      <c r="AT83" s="20"/>
      <c r="AU83" s="20"/>
      <c r="AV83" s="20"/>
    </row>
    <row r="84" spans="1:48" ht="18" customHeight="1">
      <c r="A84" s="411"/>
      <c r="B84" s="41"/>
      <c r="C84" s="439"/>
      <c r="D84" s="439"/>
      <c r="E84" s="439"/>
      <c r="F84" s="439"/>
      <c r="G84" s="439"/>
      <c r="H84" s="439"/>
      <c r="I84" s="439"/>
      <c r="J84" s="439"/>
      <c r="K84" s="439"/>
      <c r="L84" s="439"/>
      <c r="M84" s="439"/>
      <c r="N84" s="439"/>
      <c r="O84" s="439"/>
      <c r="P84" s="439"/>
      <c r="Q84" s="439"/>
      <c r="R84" s="439"/>
      <c r="S84" s="439"/>
      <c r="T84" s="439"/>
      <c r="U84" s="439"/>
      <c r="V84" s="439"/>
      <c r="W84" s="439"/>
      <c r="X84" s="439"/>
      <c r="Y84" s="439"/>
      <c r="Z84" s="439"/>
      <c r="AA84" s="439"/>
      <c r="AB84" s="439"/>
      <c r="AC84" s="439"/>
      <c r="AD84" s="439"/>
      <c r="AE84" s="439"/>
      <c r="AF84" s="439"/>
      <c r="AG84" s="445"/>
      <c r="AH84" s="211"/>
      <c r="AI84" s="20"/>
      <c r="AJ84" s="20"/>
      <c r="AK84" s="20"/>
      <c r="AL84" s="20"/>
      <c r="AM84" s="20"/>
      <c r="AN84" s="20"/>
      <c r="AO84" s="20"/>
      <c r="AP84" s="20"/>
      <c r="AQ84" s="20"/>
      <c r="AR84" s="20"/>
      <c r="AS84" s="20"/>
      <c r="AT84" s="20"/>
      <c r="AU84" s="20"/>
      <c r="AV84" s="20"/>
    </row>
    <row r="85" spans="1:48" ht="18" customHeight="1">
      <c r="A85" s="411"/>
      <c r="B85" s="41"/>
      <c r="C85" s="439"/>
      <c r="D85" s="439"/>
      <c r="E85" s="439"/>
      <c r="F85" s="439"/>
      <c r="G85" s="439"/>
      <c r="H85" s="439"/>
      <c r="I85" s="439"/>
      <c r="J85" s="439"/>
      <c r="K85" s="439"/>
      <c r="L85" s="439"/>
      <c r="M85" s="439"/>
      <c r="N85" s="439"/>
      <c r="O85" s="439"/>
      <c r="P85" s="439"/>
      <c r="Q85" s="439"/>
      <c r="R85" s="439"/>
      <c r="S85" s="439"/>
      <c r="T85" s="439"/>
      <c r="U85" s="439"/>
      <c r="V85" s="439"/>
      <c r="W85" s="439"/>
      <c r="X85" s="439"/>
      <c r="Y85" s="439"/>
      <c r="Z85" s="439"/>
      <c r="AA85" s="439"/>
      <c r="AB85" s="439"/>
      <c r="AC85" s="439"/>
      <c r="AD85" s="439"/>
      <c r="AE85" s="439"/>
      <c r="AF85" s="439"/>
      <c r="AG85" s="445"/>
      <c r="AH85" s="211"/>
      <c r="AI85" s="20"/>
      <c r="AJ85" s="20"/>
      <c r="AK85" s="20"/>
      <c r="AL85" s="20"/>
      <c r="AM85" s="20"/>
      <c r="AN85" s="20"/>
      <c r="AO85" s="20"/>
      <c r="AP85" s="20"/>
      <c r="AQ85" s="20"/>
      <c r="AR85" s="20"/>
      <c r="AS85" s="20"/>
      <c r="AT85" s="20"/>
      <c r="AU85" s="20"/>
      <c r="AV85" s="20"/>
    </row>
    <row r="86" spans="1:48" ht="18" customHeight="1">
      <c r="A86" s="411"/>
      <c r="B86" s="41"/>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45"/>
      <c r="AH86" s="211"/>
      <c r="AI86" s="20"/>
      <c r="AJ86" s="20"/>
      <c r="AK86" s="20"/>
      <c r="AL86" s="20"/>
      <c r="AM86" s="20"/>
      <c r="AN86" s="20"/>
      <c r="AO86" s="20"/>
      <c r="AP86" s="20"/>
      <c r="AQ86" s="20"/>
      <c r="AR86" s="20"/>
      <c r="AS86" s="20"/>
      <c r="AT86" s="20"/>
      <c r="AU86" s="20"/>
      <c r="AV86" s="20"/>
    </row>
    <row r="87" spans="1:48" ht="18" customHeight="1">
      <c r="A87" s="411"/>
      <c r="B87" s="41"/>
      <c r="C87" s="440"/>
      <c r="D87" s="440"/>
      <c r="E87" s="440"/>
      <c r="F87" s="440"/>
      <c r="G87" s="440"/>
      <c r="H87" s="440"/>
      <c r="I87" s="440"/>
      <c r="J87" s="440"/>
      <c r="K87" s="440"/>
      <c r="L87" s="440"/>
      <c r="M87" s="440"/>
      <c r="N87" s="440"/>
      <c r="O87" s="440"/>
      <c r="P87" s="440"/>
      <c r="Q87" s="440"/>
      <c r="R87" s="440"/>
      <c r="S87" s="440"/>
      <c r="T87" s="440"/>
      <c r="U87" s="440"/>
      <c r="V87" s="440"/>
      <c r="W87" s="440"/>
      <c r="X87" s="440"/>
      <c r="Y87" s="440"/>
      <c r="Z87" s="440"/>
      <c r="AA87" s="440"/>
      <c r="AB87" s="440"/>
      <c r="AC87" s="440"/>
      <c r="AD87" s="440"/>
      <c r="AE87" s="440"/>
      <c r="AF87" s="440"/>
      <c r="AG87" s="446"/>
      <c r="AH87" s="211"/>
      <c r="AI87" s="20"/>
      <c r="AJ87" s="20"/>
      <c r="AK87" s="20"/>
      <c r="AL87" s="20"/>
      <c r="AM87" s="20"/>
      <c r="AN87" s="20"/>
      <c r="AO87" s="20"/>
      <c r="AP87" s="20"/>
      <c r="AQ87" s="20"/>
      <c r="AR87" s="20"/>
      <c r="AS87" s="20"/>
      <c r="AT87" s="20"/>
      <c r="AU87" s="20"/>
      <c r="AV87" s="20"/>
    </row>
    <row r="88" spans="1:48" ht="20.100000000000001" hidden="1" customHeight="1">
      <c r="A88" s="35"/>
      <c r="B88" s="42"/>
      <c r="C88" s="297"/>
      <c r="D88" s="298"/>
      <c r="E88" s="298"/>
      <c r="F88" s="298"/>
      <c r="G88" s="298"/>
      <c r="H88" s="298"/>
      <c r="I88" s="298"/>
      <c r="J88" s="298"/>
      <c r="K88" s="298"/>
      <c r="L88" s="298"/>
      <c r="M88" s="298"/>
      <c r="N88" s="298"/>
      <c r="O88" s="299"/>
      <c r="P88" s="299"/>
      <c r="Q88" s="299"/>
      <c r="R88" s="299"/>
      <c r="S88" s="299"/>
      <c r="T88" s="299"/>
      <c r="U88" s="299"/>
      <c r="V88" s="299"/>
      <c r="W88" s="299"/>
      <c r="X88" s="299"/>
      <c r="Y88" s="299"/>
      <c r="Z88" s="299"/>
      <c r="AA88" s="299"/>
      <c r="AB88" s="299"/>
      <c r="AC88" s="299"/>
      <c r="AD88" s="299"/>
      <c r="AE88" s="299"/>
      <c r="AF88" s="299"/>
      <c r="AG88" s="300"/>
      <c r="AH88" s="47"/>
      <c r="AI88" s="130"/>
      <c r="AJ88" s="131"/>
      <c r="AK88" s="20"/>
      <c r="AL88" s="20"/>
      <c r="AM88" s="20"/>
      <c r="AN88" s="20"/>
      <c r="AO88" s="20"/>
      <c r="AP88" s="20"/>
      <c r="AQ88" s="20"/>
      <c r="AR88" s="20"/>
      <c r="AS88" s="20"/>
      <c r="AT88" s="20"/>
      <c r="AU88" s="20"/>
      <c r="AV88" s="20"/>
    </row>
    <row r="89" spans="1:48" ht="18" customHeight="1">
      <c r="A89" s="35"/>
      <c r="B89" s="48"/>
      <c r="C89" s="297"/>
      <c r="D89" s="298"/>
      <c r="E89" s="298"/>
      <c r="F89" s="298"/>
      <c r="G89" s="298"/>
      <c r="H89" s="302"/>
      <c r="I89" s="302"/>
      <c r="J89" s="298"/>
      <c r="K89" s="298"/>
      <c r="L89" s="298"/>
      <c r="M89" s="298"/>
      <c r="N89" s="298"/>
      <c r="O89" s="302"/>
      <c r="P89" s="302"/>
      <c r="Q89" s="298"/>
      <c r="R89" s="298"/>
      <c r="S89" s="298"/>
      <c r="T89" s="302"/>
      <c r="U89" s="302"/>
      <c r="V89" s="302"/>
      <c r="W89" s="302"/>
      <c r="X89" s="298"/>
      <c r="Y89" s="298"/>
      <c r="Z89" s="298"/>
      <c r="AA89" s="298"/>
      <c r="AB89" s="302"/>
      <c r="AC89" s="302"/>
      <c r="AD89" s="298" t="s">
        <v>64</v>
      </c>
      <c r="AE89" s="298"/>
      <c r="AF89" s="298"/>
      <c r="AG89" s="303"/>
      <c r="AH89" s="132"/>
      <c r="AI89" s="415"/>
      <c r="AJ89" s="415"/>
      <c r="AK89" s="20"/>
      <c r="AL89" s="26"/>
      <c r="AM89" s="20"/>
      <c r="AN89" s="20"/>
      <c r="AO89" s="20"/>
      <c r="AP89" s="20"/>
      <c r="AQ89" s="20"/>
      <c r="AR89" s="20"/>
      <c r="AS89" s="20"/>
      <c r="AT89" s="20"/>
      <c r="AU89" s="20"/>
      <c r="AV89" s="20"/>
    </row>
    <row r="90" spans="1:48" ht="18" customHeight="1">
      <c r="A90" s="35"/>
      <c r="B90" s="51"/>
      <c r="C90" s="305"/>
      <c r="D90" s="306"/>
      <c r="E90" s="306"/>
      <c r="F90" s="306"/>
      <c r="G90" s="306"/>
      <c r="H90" s="307"/>
      <c r="I90" s="307"/>
      <c r="J90" s="306"/>
      <c r="K90" s="306"/>
      <c r="L90" s="306"/>
      <c r="M90" s="306"/>
      <c r="N90" s="306"/>
      <c r="O90" s="307"/>
      <c r="P90" s="307"/>
      <c r="Q90" s="306"/>
      <c r="R90" s="306"/>
      <c r="S90" s="306"/>
      <c r="T90" s="307"/>
      <c r="U90" s="307"/>
      <c r="V90" s="307"/>
      <c r="W90" s="307"/>
      <c r="X90" s="306"/>
      <c r="Y90" s="306"/>
      <c r="Z90" s="306"/>
      <c r="AA90" s="306"/>
      <c r="AB90" s="307"/>
      <c r="AC90" s="307"/>
      <c r="AD90" s="306"/>
      <c r="AE90" s="306"/>
      <c r="AF90" s="306"/>
      <c r="AG90" s="318"/>
      <c r="AH90" s="132"/>
      <c r="AI90" s="417"/>
      <c r="AJ90" s="417"/>
      <c r="AK90" s="72"/>
      <c r="AL90" s="70"/>
      <c r="AM90" s="72"/>
      <c r="AN90" s="72"/>
      <c r="AO90" s="72"/>
      <c r="AP90" s="20"/>
      <c r="AQ90" s="20"/>
      <c r="AR90" s="20"/>
      <c r="AS90" s="20"/>
      <c r="AT90" s="20"/>
      <c r="AU90" s="20"/>
      <c r="AV90" s="20"/>
    </row>
    <row r="91" spans="1:48" ht="18" customHeight="1">
      <c r="A91" s="35"/>
      <c r="B91" s="407"/>
      <c r="C91" s="309">
        <v>6</v>
      </c>
      <c r="D91" s="310">
        <v>6</v>
      </c>
      <c r="E91" s="310">
        <v>6</v>
      </c>
      <c r="F91" s="310">
        <v>6</v>
      </c>
      <c r="G91" s="310"/>
      <c r="H91" s="310"/>
      <c r="I91" s="310">
        <v>6</v>
      </c>
      <c r="J91" s="310"/>
      <c r="K91" s="310">
        <v>6</v>
      </c>
      <c r="L91" s="310">
        <v>6</v>
      </c>
      <c r="M91" s="310">
        <v>6</v>
      </c>
      <c r="N91" s="310"/>
      <c r="O91" s="310"/>
      <c r="P91" s="310">
        <v>6</v>
      </c>
      <c r="Q91" s="310"/>
      <c r="R91" s="310">
        <v>6</v>
      </c>
      <c r="S91" s="310">
        <v>6</v>
      </c>
      <c r="T91" s="310"/>
      <c r="U91" s="310"/>
      <c r="V91" s="310"/>
      <c r="W91" s="310">
        <v>6</v>
      </c>
      <c r="X91" s="310"/>
      <c r="Y91" s="310"/>
      <c r="Z91" s="310"/>
      <c r="AA91" s="310"/>
      <c r="AB91" s="310"/>
      <c r="AC91" s="310"/>
      <c r="AD91" s="310">
        <v>6</v>
      </c>
      <c r="AE91" s="310"/>
      <c r="AF91" s="310">
        <v>6</v>
      </c>
      <c r="AG91" s="319">
        <v>6</v>
      </c>
      <c r="AH91" s="212"/>
      <c r="AI91" s="26"/>
      <c r="AJ91" s="26"/>
      <c r="AK91" s="26"/>
      <c r="AL91" s="26"/>
      <c r="AM91" s="20"/>
      <c r="AN91" s="20"/>
      <c r="AO91" s="20"/>
      <c r="AP91" s="20"/>
      <c r="AQ91" s="20"/>
      <c r="AR91" s="20"/>
      <c r="AS91" s="20"/>
      <c r="AT91" s="20"/>
      <c r="AU91" s="20"/>
      <c r="AV91" s="20"/>
    </row>
    <row r="92" spans="1:48" ht="18" hidden="1" customHeight="1">
      <c r="A92" s="35"/>
      <c r="B92" s="408"/>
      <c r="C92" s="312"/>
      <c r="D92" s="313"/>
      <c r="E92" s="313"/>
      <c r="F92" s="313"/>
      <c r="G92" s="313"/>
      <c r="H92" s="313"/>
      <c r="I92" s="313"/>
      <c r="J92" s="313"/>
      <c r="K92" s="313"/>
      <c r="L92" s="313"/>
      <c r="M92" s="313"/>
      <c r="N92" s="313"/>
      <c r="O92" s="313"/>
      <c r="P92" s="313"/>
      <c r="Q92" s="313"/>
      <c r="R92" s="313"/>
      <c r="S92" s="313"/>
      <c r="T92" s="313"/>
      <c r="U92" s="313"/>
      <c r="V92" s="313"/>
      <c r="W92" s="313"/>
      <c r="X92" s="313"/>
      <c r="Y92" s="313"/>
      <c r="Z92" s="313"/>
      <c r="AA92" s="313"/>
      <c r="AB92" s="313"/>
      <c r="AC92" s="313"/>
      <c r="AD92" s="313"/>
      <c r="AE92" s="313"/>
      <c r="AF92" s="313"/>
      <c r="AG92" s="320"/>
      <c r="AH92" s="213"/>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c r="AI93" s="410"/>
      <c r="AJ93" s="410"/>
      <c r="AK93" s="69"/>
      <c r="AL93" s="69"/>
      <c r="AM93" s="64"/>
      <c r="AN93" s="20"/>
      <c r="AO93" s="20"/>
      <c r="AP93" s="20"/>
      <c r="AQ93" s="20"/>
      <c r="AR93" s="20"/>
      <c r="AS93" s="20"/>
      <c r="AT93" s="20"/>
      <c r="AU93" s="20"/>
      <c r="AV93" s="20"/>
    </row>
    <row r="94" spans="1:48" ht="14.4">
      <c r="A94" s="76"/>
      <c r="B94" s="15"/>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19"/>
      <c r="AI94" s="20"/>
      <c r="AJ94" s="20"/>
      <c r="AK94" s="20"/>
      <c r="AL94" s="20"/>
      <c r="AM94" s="20"/>
      <c r="AN94" s="20"/>
      <c r="AO94" s="20"/>
      <c r="AP94" s="20"/>
      <c r="AQ94" s="20"/>
      <c r="AR94" s="20"/>
      <c r="AS94" s="20"/>
      <c r="AT94" s="20"/>
      <c r="AU94" s="20"/>
      <c r="AV94" s="20"/>
    </row>
    <row r="95" spans="1:48" ht="18" customHeight="1">
      <c r="A95" s="77"/>
      <c r="B95" s="78"/>
      <c r="C95" s="288">
        <f>IF(C73="","",IF(COUNTIF(C72:AG72,"修了日")=1,"",EDATE(C73,1)))</f>
        <v>46255</v>
      </c>
      <c r="D95" s="289">
        <f t="shared" ref="D95:AD95" si="12">IF(OR(C95="",C94="修了日"),"",C95+1)</f>
        <v>46256</v>
      </c>
      <c r="E95" s="289">
        <f t="shared" si="12"/>
        <v>46257</v>
      </c>
      <c r="F95" s="289">
        <f t="shared" si="12"/>
        <v>46258</v>
      </c>
      <c r="G95" s="289">
        <f t="shared" si="12"/>
        <v>46259</v>
      </c>
      <c r="H95" s="289">
        <f t="shared" si="12"/>
        <v>46260</v>
      </c>
      <c r="I95" s="289">
        <f t="shared" si="12"/>
        <v>46261</v>
      </c>
      <c r="J95" s="289">
        <f t="shared" si="12"/>
        <v>46262</v>
      </c>
      <c r="K95" s="289">
        <f t="shared" si="12"/>
        <v>46263</v>
      </c>
      <c r="L95" s="289">
        <f t="shared" si="12"/>
        <v>46264</v>
      </c>
      <c r="M95" s="289">
        <f t="shared" si="12"/>
        <v>46265</v>
      </c>
      <c r="N95" s="289">
        <f t="shared" si="12"/>
        <v>46266</v>
      </c>
      <c r="O95" s="289">
        <f t="shared" si="12"/>
        <v>46267</v>
      </c>
      <c r="P95" s="289">
        <f t="shared" si="12"/>
        <v>46268</v>
      </c>
      <c r="Q95" s="289">
        <f t="shared" si="12"/>
        <v>46269</v>
      </c>
      <c r="R95" s="289">
        <f t="shared" si="12"/>
        <v>46270</v>
      </c>
      <c r="S95" s="289">
        <f t="shared" si="12"/>
        <v>46271</v>
      </c>
      <c r="T95" s="289">
        <f t="shared" si="12"/>
        <v>46272</v>
      </c>
      <c r="U95" s="289">
        <f t="shared" si="12"/>
        <v>46273</v>
      </c>
      <c r="V95" s="289">
        <f t="shared" si="12"/>
        <v>46274</v>
      </c>
      <c r="W95" s="289">
        <f t="shared" si="12"/>
        <v>46275</v>
      </c>
      <c r="X95" s="289">
        <f t="shared" si="12"/>
        <v>46276</v>
      </c>
      <c r="Y95" s="289">
        <f t="shared" si="12"/>
        <v>46277</v>
      </c>
      <c r="Z95" s="289">
        <f t="shared" si="12"/>
        <v>46278</v>
      </c>
      <c r="AA95" s="289">
        <f t="shared" si="12"/>
        <v>46279</v>
      </c>
      <c r="AB95" s="289">
        <f t="shared" si="12"/>
        <v>46280</v>
      </c>
      <c r="AC95" s="289">
        <f t="shared" si="12"/>
        <v>46281</v>
      </c>
      <c r="AD95" s="289">
        <f t="shared" si="12"/>
        <v>46282</v>
      </c>
      <c r="AE95" s="289">
        <f>IF(OR(AD95="",AD94="修了日"),"",IF(AND(DAY(DATE(YEAR(C95),2,29))=29,MONTH(C95)=2),AD95+1,IF(MONTH(C95)=2,"",AD95+1)))</f>
        <v>46283</v>
      </c>
      <c r="AF95" s="289">
        <f>IF(OR(AE95="",AE94="修了日"),"",IF(MONTH(C95)=2,"",AE95+1))</f>
        <v>46284</v>
      </c>
      <c r="AG95" s="315">
        <f>IF(OR(AF95="",AF94="修了日"),"",IF(OR(MONTH(C95)=2,MONTH(C95)=4,MONTH(C95)=6,MONTH(C95)=9,MONTH(C95)=11),"",AF95+1))</f>
        <v>46285</v>
      </c>
      <c r="AH95" s="19"/>
      <c r="AI95" s="20"/>
      <c r="AJ95" s="20"/>
      <c r="AK95" s="20"/>
      <c r="AL95" s="20"/>
      <c r="AM95" s="20"/>
      <c r="AN95" s="20"/>
      <c r="AO95" s="20"/>
      <c r="AP95" s="20"/>
      <c r="AQ95" s="20"/>
      <c r="AR95" s="20"/>
      <c r="AS95" s="20"/>
      <c r="AT95" s="20"/>
      <c r="AU95" s="20"/>
      <c r="AV95" s="20"/>
    </row>
    <row r="96" spans="1:48" ht="18" customHeight="1">
      <c r="A96" s="35"/>
      <c r="B96" s="79"/>
      <c r="C96" s="290">
        <f>+C95</f>
        <v>46255</v>
      </c>
      <c r="D96" s="316">
        <f t="shared" ref="D96:AG97" si="13">IF(D95="","",+D95)</f>
        <v>46256</v>
      </c>
      <c r="E96" s="316">
        <f t="shared" si="13"/>
        <v>46257</v>
      </c>
      <c r="F96" s="316">
        <f t="shared" si="13"/>
        <v>46258</v>
      </c>
      <c r="G96" s="316">
        <f t="shared" si="13"/>
        <v>46259</v>
      </c>
      <c r="H96" s="316">
        <f t="shared" si="13"/>
        <v>46260</v>
      </c>
      <c r="I96" s="316">
        <f t="shared" si="13"/>
        <v>46261</v>
      </c>
      <c r="J96" s="316">
        <f t="shared" si="13"/>
        <v>46262</v>
      </c>
      <c r="K96" s="316">
        <f t="shared" si="13"/>
        <v>46263</v>
      </c>
      <c r="L96" s="316">
        <f t="shared" si="13"/>
        <v>46264</v>
      </c>
      <c r="M96" s="316">
        <f t="shared" si="13"/>
        <v>46265</v>
      </c>
      <c r="N96" s="316">
        <f t="shared" si="13"/>
        <v>46266</v>
      </c>
      <c r="O96" s="316">
        <f t="shared" si="13"/>
        <v>46267</v>
      </c>
      <c r="P96" s="316">
        <f t="shared" si="13"/>
        <v>46268</v>
      </c>
      <c r="Q96" s="316">
        <f t="shared" si="13"/>
        <v>46269</v>
      </c>
      <c r="R96" s="316">
        <f t="shared" si="13"/>
        <v>46270</v>
      </c>
      <c r="S96" s="316">
        <f t="shared" si="13"/>
        <v>46271</v>
      </c>
      <c r="T96" s="316">
        <f t="shared" si="13"/>
        <v>46272</v>
      </c>
      <c r="U96" s="316">
        <f t="shared" si="13"/>
        <v>46273</v>
      </c>
      <c r="V96" s="316">
        <f t="shared" si="13"/>
        <v>46274</v>
      </c>
      <c r="W96" s="316">
        <f t="shared" si="13"/>
        <v>46275</v>
      </c>
      <c r="X96" s="316">
        <f t="shared" si="13"/>
        <v>46276</v>
      </c>
      <c r="Y96" s="316">
        <f t="shared" si="13"/>
        <v>46277</v>
      </c>
      <c r="Z96" s="316">
        <f t="shared" si="13"/>
        <v>46278</v>
      </c>
      <c r="AA96" s="316">
        <f t="shared" si="13"/>
        <v>46279</v>
      </c>
      <c r="AB96" s="316">
        <f t="shared" si="13"/>
        <v>46280</v>
      </c>
      <c r="AC96" s="316">
        <f t="shared" si="13"/>
        <v>46281</v>
      </c>
      <c r="AD96" s="316">
        <f t="shared" si="13"/>
        <v>46282</v>
      </c>
      <c r="AE96" s="316">
        <f t="shared" si="13"/>
        <v>46283</v>
      </c>
      <c r="AF96" s="316">
        <f t="shared" si="13"/>
        <v>46284</v>
      </c>
      <c r="AG96" s="292">
        <f t="shared" si="13"/>
        <v>46285</v>
      </c>
      <c r="AH96" s="19"/>
      <c r="AI96" s="20"/>
      <c r="AJ96" s="20"/>
      <c r="AK96" s="20"/>
      <c r="AL96" s="20"/>
      <c r="AM96" s="20"/>
      <c r="AN96" s="20"/>
      <c r="AO96" s="20"/>
      <c r="AP96" s="20"/>
      <c r="AQ96" s="20"/>
      <c r="AR96" s="20"/>
      <c r="AS96" s="20"/>
      <c r="AT96" s="20"/>
      <c r="AU96" s="20"/>
      <c r="AV96" s="20"/>
    </row>
    <row r="97" spans="1:48" ht="18" customHeight="1">
      <c r="A97" s="35"/>
      <c r="B97" s="80"/>
      <c r="C97" s="321">
        <f>+C96</f>
        <v>46255</v>
      </c>
      <c r="D97" s="293">
        <f t="shared" si="13"/>
        <v>46256</v>
      </c>
      <c r="E97" s="293">
        <f t="shared" si="13"/>
        <v>46257</v>
      </c>
      <c r="F97" s="293">
        <f t="shared" si="13"/>
        <v>46258</v>
      </c>
      <c r="G97" s="293">
        <f t="shared" si="13"/>
        <v>46259</v>
      </c>
      <c r="H97" s="293">
        <f t="shared" si="13"/>
        <v>46260</v>
      </c>
      <c r="I97" s="293">
        <f t="shared" si="13"/>
        <v>46261</v>
      </c>
      <c r="J97" s="293">
        <f t="shared" si="13"/>
        <v>46262</v>
      </c>
      <c r="K97" s="293">
        <f t="shared" si="13"/>
        <v>46263</v>
      </c>
      <c r="L97" s="293">
        <f t="shared" si="13"/>
        <v>46264</v>
      </c>
      <c r="M97" s="293">
        <f t="shared" si="13"/>
        <v>46265</v>
      </c>
      <c r="N97" s="293">
        <f t="shared" si="13"/>
        <v>46266</v>
      </c>
      <c r="O97" s="293">
        <f t="shared" si="13"/>
        <v>46267</v>
      </c>
      <c r="P97" s="293">
        <f t="shared" si="13"/>
        <v>46268</v>
      </c>
      <c r="Q97" s="293">
        <f t="shared" si="13"/>
        <v>46269</v>
      </c>
      <c r="R97" s="293">
        <f t="shared" si="13"/>
        <v>46270</v>
      </c>
      <c r="S97" s="293">
        <f t="shared" si="13"/>
        <v>46271</v>
      </c>
      <c r="T97" s="293">
        <f t="shared" si="13"/>
        <v>46272</v>
      </c>
      <c r="U97" s="293">
        <f t="shared" si="13"/>
        <v>46273</v>
      </c>
      <c r="V97" s="293">
        <f t="shared" si="13"/>
        <v>46274</v>
      </c>
      <c r="W97" s="293">
        <f t="shared" si="13"/>
        <v>46275</v>
      </c>
      <c r="X97" s="293">
        <f t="shared" si="13"/>
        <v>46276</v>
      </c>
      <c r="Y97" s="293">
        <f t="shared" si="13"/>
        <v>46277</v>
      </c>
      <c r="Z97" s="293">
        <f t="shared" si="13"/>
        <v>46278</v>
      </c>
      <c r="AA97" s="293">
        <f t="shared" si="13"/>
        <v>46279</v>
      </c>
      <c r="AB97" s="293">
        <f t="shared" si="13"/>
        <v>46280</v>
      </c>
      <c r="AC97" s="293">
        <f t="shared" si="13"/>
        <v>46281</v>
      </c>
      <c r="AD97" s="293">
        <f t="shared" si="13"/>
        <v>46282</v>
      </c>
      <c r="AE97" s="293">
        <f t="shared" si="13"/>
        <v>46283</v>
      </c>
      <c r="AF97" s="293">
        <f t="shared" si="13"/>
        <v>46284</v>
      </c>
      <c r="AG97" s="294">
        <f t="shared" si="13"/>
        <v>46285</v>
      </c>
      <c r="AH97" s="19"/>
      <c r="AI97" s="20"/>
      <c r="AJ97" s="20"/>
      <c r="AK97" s="20"/>
      <c r="AL97" s="20"/>
      <c r="AM97" s="20"/>
      <c r="AN97" s="20"/>
      <c r="AO97" s="20"/>
      <c r="AP97" s="20"/>
      <c r="AQ97" s="20"/>
      <c r="AR97" s="20"/>
      <c r="AS97" s="20"/>
      <c r="AT97" s="20"/>
      <c r="AU97" s="20"/>
      <c r="AV97" s="20"/>
    </row>
    <row r="98" spans="1:48" ht="18" customHeight="1">
      <c r="A98" s="411"/>
      <c r="B98" s="41"/>
      <c r="C98" s="441" t="s">
        <v>423</v>
      </c>
      <c r="D98" s="438"/>
      <c r="E98" s="438"/>
      <c r="F98" s="438" t="s">
        <v>204</v>
      </c>
      <c r="G98" s="438"/>
      <c r="H98" s="438"/>
      <c r="I98" s="438" t="s">
        <v>204</v>
      </c>
      <c r="J98" s="438" t="s">
        <v>203</v>
      </c>
      <c r="K98" s="438"/>
      <c r="L98" s="438"/>
      <c r="M98" s="438" t="s">
        <v>246</v>
      </c>
      <c r="N98" s="438"/>
      <c r="O98" s="438" t="str">
        <f t="shared" ref="O98:AG98" si="14">IF(O$97="","",IF(O$97=$K$153,"ハローワーク来所日④",""))</f>
        <v/>
      </c>
      <c r="P98" s="438" t="s">
        <v>246</v>
      </c>
      <c r="Q98" s="438" t="s">
        <v>246</v>
      </c>
      <c r="R98" s="438" t="str">
        <f t="shared" si="14"/>
        <v/>
      </c>
      <c r="S98" s="438" t="str">
        <f t="shared" si="14"/>
        <v/>
      </c>
      <c r="T98" s="438" t="s">
        <v>246</v>
      </c>
      <c r="U98" s="438" t="str">
        <f t="shared" si="14"/>
        <v/>
      </c>
      <c r="V98" s="438" t="s">
        <v>246</v>
      </c>
      <c r="W98" s="438" t="s">
        <v>246</v>
      </c>
      <c r="X98" s="438" t="s">
        <v>246</v>
      </c>
      <c r="Y98" s="438" t="str">
        <f t="shared" si="14"/>
        <v/>
      </c>
      <c r="Z98" s="438" t="str">
        <f t="shared" si="14"/>
        <v/>
      </c>
      <c r="AA98" s="438" t="s">
        <v>424</v>
      </c>
      <c r="AB98" s="438" t="str">
        <f t="shared" si="14"/>
        <v/>
      </c>
      <c r="AC98" s="438" t="s">
        <v>304</v>
      </c>
      <c r="AD98" s="438"/>
      <c r="AE98" s="438" t="s">
        <v>304</v>
      </c>
      <c r="AF98" s="438" t="str">
        <f t="shared" si="14"/>
        <v/>
      </c>
      <c r="AG98" s="444" t="str">
        <f t="shared" si="14"/>
        <v/>
      </c>
      <c r="AH98" s="211"/>
      <c r="AI98" s="20"/>
      <c r="AJ98" s="20"/>
      <c r="AK98" s="20"/>
      <c r="AL98" s="20"/>
      <c r="AM98" s="20"/>
      <c r="AN98" s="20"/>
      <c r="AO98" s="20"/>
      <c r="AP98" s="20"/>
      <c r="AQ98" s="20"/>
      <c r="AR98" s="20"/>
      <c r="AS98" s="20"/>
      <c r="AT98" s="20"/>
      <c r="AU98" s="20"/>
      <c r="AV98" s="20"/>
    </row>
    <row r="99" spans="1:48" ht="18" customHeight="1">
      <c r="A99" s="411"/>
      <c r="B99" s="41"/>
      <c r="C99" s="442"/>
      <c r="D99" s="439"/>
      <c r="E99" s="439"/>
      <c r="F99" s="439"/>
      <c r="G99" s="439"/>
      <c r="H99" s="439"/>
      <c r="I99" s="439"/>
      <c r="J99" s="439"/>
      <c r="K99" s="439"/>
      <c r="L99" s="439"/>
      <c r="M99" s="439"/>
      <c r="N99" s="439"/>
      <c r="O99" s="439"/>
      <c r="P99" s="439"/>
      <c r="Q99" s="439"/>
      <c r="R99" s="439"/>
      <c r="S99" s="439"/>
      <c r="T99" s="439"/>
      <c r="U99" s="439"/>
      <c r="V99" s="439"/>
      <c r="W99" s="439"/>
      <c r="X99" s="439"/>
      <c r="Y99" s="439"/>
      <c r="Z99" s="439"/>
      <c r="AA99" s="439"/>
      <c r="AB99" s="439"/>
      <c r="AC99" s="439"/>
      <c r="AD99" s="439"/>
      <c r="AE99" s="439"/>
      <c r="AF99" s="439"/>
      <c r="AG99" s="445"/>
      <c r="AH99" s="211"/>
      <c r="AI99" s="20"/>
      <c r="AJ99" s="20"/>
      <c r="AK99" s="20"/>
      <c r="AL99" s="20"/>
      <c r="AM99" s="20"/>
      <c r="AN99" s="20"/>
      <c r="AO99" s="20"/>
      <c r="AP99" s="20"/>
      <c r="AQ99" s="20"/>
      <c r="AR99" s="20"/>
      <c r="AS99" s="20"/>
      <c r="AT99" s="20"/>
      <c r="AU99" s="20"/>
      <c r="AV99" s="20"/>
    </row>
    <row r="100" spans="1:48" ht="18" customHeight="1">
      <c r="A100" s="411"/>
      <c r="B100" s="41"/>
      <c r="C100" s="442"/>
      <c r="D100" s="439"/>
      <c r="E100" s="439"/>
      <c r="F100" s="439"/>
      <c r="G100" s="439"/>
      <c r="H100" s="439"/>
      <c r="I100" s="439"/>
      <c r="J100" s="439"/>
      <c r="K100" s="439"/>
      <c r="L100" s="439"/>
      <c r="M100" s="439"/>
      <c r="N100" s="439"/>
      <c r="O100" s="439"/>
      <c r="P100" s="439"/>
      <c r="Q100" s="439"/>
      <c r="R100" s="439"/>
      <c r="S100" s="439"/>
      <c r="T100" s="439"/>
      <c r="U100" s="439"/>
      <c r="V100" s="439"/>
      <c r="W100" s="439"/>
      <c r="X100" s="439"/>
      <c r="Y100" s="439"/>
      <c r="Z100" s="439"/>
      <c r="AA100" s="439"/>
      <c r="AB100" s="439"/>
      <c r="AC100" s="439"/>
      <c r="AD100" s="439"/>
      <c r="AE100" s="439"/>
      <c r="AF100" s="439"/>
      <c r="AG100" s="445"/>
      <c r="AH100" s="211"/>
      <c r="AI100" s="20"/>
      <c r="AJ100" s="20"/>
      <c r="AK100" s="20"/>
      <c r="AL100" s="20"/>
      <c r="AM100" s="20"/>
      <c r="AN100" s="20"/>
      <c r="AO100" s="20"/>
      <c r="AP100" s="20"/>
      <c r="AQ100" s="20"/>
      <c r="AR100" s="20"/>
      <c r="AS100" s="20"/>
      <c r="AT100" s="20"/>
      <c r="AU100" s="20"/>
      <c r="AV100" s="20"/>
    </row>
    <row r="101" spans="1:48" ht="18" customHeight="1">
      <c r="A101" s="411"/>
      <c r="B101" s="41"/>
      <c r="C101" s="442"/>
      <c r="D101" s="439"/>
      <c r="E101" s="439"/>
      <c r="F101" s="439"/>
      <c r="G101" s="439"/>
      <c r="H101" s="439"/>
      <c r="I101" s="439"/>
      <c r="J101" s="439"/>
      <c r="K101" s="439"/>
      <c r="L101" s="439"/>
      <c r="M101" s="439"/>
      <c r="N101" s="439"/>
      <c r="O101" s="439"/>
      <c r="P101" s="439"/>
      <c r="Q101" s="439"/>
      <c r="R101" s="439"/>
      <c r="S101" s="439"/>
      <c r="T101" s="439"/>
      <c r="U101" s="439"/>
      <c r="V101" s="439"/>
      <c r="W101" s="439"/>
      <c r="X101" s="439"/>
      <c r="Y101" s="439"/>
      <c r="Z101" s="439"/>
      <c r="AA101" s="439"/>
      <c r="AB101" s="439"/>
      <c r="AC101" s="439"/>
      <c r="AD101" s="439"/>
      <c r="AE101" s="439"/>
      <c r="AF101" s="439"/>
      <c r="AG101" s="445"/>
      <c r="AH101" s="211"/>
      <c r="AI101" s="20"/>
      <c r="AJ101" s="20"/>
      <c r="AK101" s="20"/>
      <c r="AL101" s="20"/>
      <c r="AM101" s="20"/>
      <c r="AN101" s="20"/>
      <c r="AO101" s="20"/>
      <c r="AP101" s="20"/>
      <c r="AQ101" s="20"/>
      <c r="AR101" s="20"/>
      <c r="AS101" s="20"/>
      <c r="AT101" s="20"/>
      <c r="AU101" s="20"/>
      <c r="AV101" s="20"/>
    </row>
    <row r="102" spans="1:48" ht="18" customHeight="1">
      <c r="A102" s="411"/>
      <c r="B102" s="41"/>
      <c r="C102" s="442"/>
      <c r="D102" s="439"/>
      <c r="E102" s="439"/>
      <c r="F102" s="439"/>
      <c r="G102" s="439"/>
      <c r="H102" s="439"/>
      <c r="I102" s="439"/>
      <c r="J102" s="439"/>
      <c r="K102" s="439"/>
      <c r="L102" s="439"/>
      <c r="M102" s="439"/>
      <c r="N102" s="439"/>
      <c r="O102" s="439"/>
      <c r="P102" s="439"/>
      <c r="Q102" s="439"/>
      <c r="R102" s="439"/>
      <c r="S102" s="439"/>
      <c r="T102" s="439"/>
      <c r="U102" s="439"/>
      <c r="V102" s="439"/>
      <c r="W102" s="439"/>
      <c r="X102" s="439"/>
      <c r="Y102" s="439"/>
      <c r="Z102" s="439"/>
      <c r="AA102" s="439"/>
      <c r="AB102" s="439"/>
      <c r="AC102" s="439"/>
      <c r="AD102" s="439"/>
      <c r="AE102" s="439"/>
      <c r="AF102" s="439"/>
      <c r="AG102" s="445"/>
      <c r="AH102" s="211"/>
      <c r="AI102" s="20"/>
      <c r="AJ102" s="20"/>
      <c r="AK102" s="20"/>
      <c r="AL102" s="20"/>
      <c r="AM102" s="20"/>
      <c r="AN102" s="20"/>
      <c r="AO102" s="20"/>
      <c r="AP102" s="20"/>
      <c r="AQ102" s="20"/>
      <c r="AR102" s="20"/>
      <c r="AS102" s="20"/>
      <c r="AT102" s="20"/>
      <c r="AU102" s="20"/>
      <c r="AV102" s="20"/>
    </row>
    <row r="103" spans="1:48" ht="18" customHeight="1">
      <c r="A103" s="411"/>
      <c r="B103" s="41"/>
      <c r="C103" s="442"/>
      <c r="D103" s="439"/>
      <c r="E103" s="439"/>
      <c r="F103" s="439"/>
      <c r="G103" s="439"/>
      <c r="H103" s="439"/>
      <c r="I103" s="439"/>
      <c r="J103" s="439"/>
      <c r="K103" s="439"/>
      <c r="L103" s="439"/>
      <c r="M103" s="439"/>
      <c r="N103" s="439"/>
      <c r="O103" s="439"/>
      <c r="P103" s="439"/>
      <c r="Q103" s="439"/>
      <c r="R103" s="439"/>
      <c r="S103" s="439"/>
      <c r="T103" s="439"/>
      <c r="U103" s="439"/>
      <c r="V103" s="439"/>
      <c r="W103" s="439"/>
      <c r="X103" s="439"/>
      <c r="Y103" s="439"/>
      <c r="Z103" s="439"/>
      <c r="AA103" s="439"/>
      <c r="AB103" s="439"/>
      <c r="AC103" s="439"/>
      <c r="AD103" s="439"/>
      <c r="AE103" s="439"/>
      <c r="AF103" s="439"/>
      <c r="AG103" s="445"/>
      <c r="AH103" s="212"/>
      <c r="AI103" s="20"/>
      <c r="AJ103" s="20"/>
      <c r="AK103" s="20"/>
      <c r="AL103" s="20"/>
      <c r="AM103" s="20"/>
      <c r="AN103" s="20"/>
      <c r="AO103" s="20"/>
      <c r="AP103" s="20"/>
      <c r="AQ103" s="20"/>
      <c r="AR103" s="20"/>
      <c r="AS103" s="20"/>
      <c r="AT103" s="20"/>
      <c r="AU103" s="20"/>
      <c r="AV103" s="20"/>
    </row>
    <row r="104" spans="1:48" ht="18" hidden="1" customHeight="1">
      <c r="A104" s="411"/>
      <c r="B104" s="41"/>
      <c r="C104" s="442"/>
      <c r="D104" s="439"/>
      <c r="E104" s="439"/>
      <c r="F104" s="439"/>
      <c r="G104" s="439"/>
      <c r="H104" s="439"/>
      <c r="I104" s="439"/>
      <c r="J104" s="439"/>
      <c r="K104" s="439"/>
      <c r="L104" s="439"/>
      <c r="M104" s="439"/>
      <c r="N104" s="439"/>
      <c r="O104" s="439"/>
      <c r="P104" s="439"/>
      <c r="Q104" s="439"/>
      <c r="R104" s="439"/>
      <c r="S104" s="439"/>
      <c r="T104" s="439"/>
      <c r="U104" s="439"/>
      <c r="V104" s="439"/>
      <c r="W104" s="439"/>
      <c r="X104" s="439"/>
      <c r="Y104" s="439"/>
      <c r="Z104" s="439"/>
      <c r="AA104" s="439"/>
      <c r="AB104" s="439"/>
      <c r="AC104" s="439"/>
      <c r="AD104" s="439"/>
      <c r="AE104" s="439"/>
      <c r="AF104" s="439"/>
      <c r="AG104" s="445"/>
      <c r="AH104" s="213"/>
      <c r="AI104" s="20"/>
      <c r="AJ104" s="20"/>
      <c r="AK104" s="20"/>
      <c r="AL104" s="20"/>
      <c r="AM104" s="20"/>
      <c r="AN104" s="20"/>
      <c r="AO104" s="20"/>
      <c r="AP104" s="20"/>
      <c r="AQ104" s="20"/>
      <c r="AR104" s="20"/>
      <c r="AS104" s="20"/>
      <c r="AT104" s="20"/>
      <c r="AU104" s="20"/>
      <c r="AV104" s="20"/>
    </row>
    <row r="105" spans="1:48" ht="18" customHeight="1">
      <c r="A105" s="411"/>
      <c r="B105" s="41"/>
      <c r="C105" s="442"/>
      <c r="D105" s="439"/>
      <c r="E105" s="439"/>
      <c r="F105" s="439"/>
      <c r="G105" s="439"/>
      <c r="H105" s="439"/>
      <c r="I105" s="439"/>
      <c r="J105" s="439"/>
      <c r="K105" s="439"/>
      <c r="L105" s="439"/>
      <c r="M105" s="439"/>
      <c r="N105" s="439"/>
      <c r="O105" s="439"/>
      <c r="P105" s="439"/>
      <c r="Q105" s="439"/>
      <c r="R105" s="439"/>
      <c r="S105" s="439"/>
      <c r="T105" s="439"/>
      <c r="U105" s="439"/>
      <c r="V105" s="439"/>
      <c r="W105" s="439"/>
      <c r="X105" s="439"/>
      <c r="Y105" s="439"/>
      <c r="Z105" s="439"/>
      <c r="AA105" s="439"/>
      <c r="AB105" s="439"/>
      <c r="AC105" s="439"/>
      <c r="AD105" s="439"/>
      <c r="AE105" s="439"/>
      <c r="AF105" s="439"/>
      <c r="AG105" s="445"/>
      <c r="AH105" s="212"/>
      <c r="AI105" s="20"/>
      <c r="AJ105" s="20"/>
      <c r="AK105" s="20"/>
      <c r="AL105" s="20"/>
      <c r="AM105" s="20"/>
      <c r="AN105" s="20"/>
      <c r="AO105" s="20"/>
      <c r="AP105" s="20"/>
      <c r="AQ105" s="20"/>
      <c r="AR105" s="20"/>
      <c r="AS105" s="20"/>
      <c r="AT105" s="20"/>
      <c r="AU105" s="20"/>
      <c r="AV105" s="20"/>
    </row>
    <row r="106" spans="1:48" ht="18" customHeight="1">
      <c r="A106" s="411"/>
      <c r="B106" s="41"/>
      <c r="C106" s="442"/>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439"/>
      <c r="AF106" s="439"/>
      <c r="AG106" s="445"/>
      <c r="AH106" s="211"/>
      <c r="AI106" s="20"/>
      <c r="AJ106" s="20"/>
      <c r="AK106" s="20"/>
      <c r="AL106" s="20"/>
      <c r="AM106" s="20"/>
      <c r="AN106" s="20"/>
      <c r="AO106" s="20"/>
      <c r="AP106" s="20"/>
      <c r="AQ106" s="20"/>
      <c r="AR106" s="20"/>
      <c r="AS106" s="20"/>
      <c r="AT106" s="20"/>
      <c r="AU106" s="20"/>
      <c r="AV106" s="20"/>
    </row>
    <row r="107" spans="1:48" ht="18" customHeight="1">
      <c r="A107" s="411"/>
      <c r="B107" s="41"/>
      <c r="C107" s="442"/>
      <c r="D107" s="439"/>
      <c r="E107" s="439"/>
      <c r="F107" s="439"/>
      <c r="G107" s="439"/>
      <c r="H107" s="439"/>
      <c r="I107" s="439"/>
      <c r="J107" s="439"/>
      <c r="K107" s="439"/>
      <c r="L107" s="439"/>
      <c r="M107" s="439"/>
      <c r="N107" s="439"/>
      <c r="O107" s="439"/>
      <c r="P107" s="439"/>
      <c r="Q107" s="439"/>
      <c r="R107" s="439"/>
      <c r="S107" s="439"/>
      <c r="T107" s="439"/>
      <c r="U107" s="439"/>
      <c r="V107" s="439"/>
      <c r="W107" s="439"/>
      <c r="X107" s="439"/>
      <c r="Y107" s="439"/>
      <c r="Z107" s="439"/>
      <c r="AA107" s="439"/>
      <c r="AB107" s="439"/>
      <c r="AC107" s="439"/>
      <c r="AD107" s="439"/>
      <c r="AE107" s="439"/>
      <c r="AF107" s="439"/>
      <c r="AG107" s="445"/>
      <c r="AH107" s="211"/>
      <c r="AI107" s="20"/>
      <c r="AJ107" s="20"/>
      <c r="AK107" s="20"/>
      <c r="AL107" s="20"/>
      <c r="AM107" s="20"/>
      <c r="AN107" s="20"/>
      <c r="AO107" s="20"/>
      <c r="AP107" s="20"/>
      <c r="AQ107" s="20"/>
      <c r="AR107" s="20"/>
      <c r="AS107" s="20"/>
      <c r="AT107" s="20"/>
      <c r="AU107" s="20"/>
      <c r="AV107" s="20"/>
    </row>
    <row r="108" spans="1:48" ht="18" customHeight="1">
      <c r="A108" s="411"/>
      <c r="B108" s="41"/>
      <c r="C108" s="442"/>
      <c r="D108" s="439"/>
      <c r="E108" s="439"/>
      <c r="F108" s="439"/>
      <c r="G108" s="439"/>
      <c r="H108" s="439"/>
      <c r="I108" s="439"/>
      <c r="J108" s="439"/>
      <c r="K108" s="439"/>
      <c r="L108" s="439"/>
      <c r="M108" s="439"/>
      <c r="N108" s="439"/>
      <c r="O108" s="439"/>
      <c r="P108" s="439"/>
      <c r="Q108" s="439"/>
      <c r="R108" s="439"/>
      <c r="S108" s="439"/>
      <c r="T108" s="439"/>
      <c r="U108" s="439"/>
      <c r="V108" s="439"/>
      <c r="W108" s="439"/>
      <c r="X108" s="439"/>
      <c r="Y108" s="439"/>
      <c r="Z108" s="439"/>
      <c r="AA108" s="439"/>
      <c r="AB108" s="439"/>
      <c r="AC108" s="439"/>
      <c r="AD108" s="439"/>
      <c r="AE108" s="439"/>
      <c r="AF108" s="439"/>
      <c r="AG108" s="445"/>
      <c r="AH108" s="211"/>
      <c r="AI108" s="20"/>
      <c r="AJ108" s="20"/>
      <c r="AK108" s="20"/>
      <c r="AL108" s="20"/>
      <c r="AM108" s="20"/>
      <c r="AN108" s="20"/>
      <c r="AO108" s="20"/>
      <c r="AP108" s="20"/>
      <c r="AQ108" s="20"/>
      <c r="AR108" s="20"/>
      <c r="AS108" s="20"/>
      <c r="AT108" s="20"/>
      <c r="AU108" s="20"/>
      <c r="AV108" s="20"/>
    </row>
    <row r="109" spans="1:48" ht="18" customHeight="1">
      <c r="A109" s="411"/>
      <c r="B109" s="41"/>
      <c r="C109" s="443"/>
      <c r="D109" s="440"/>
      <c r="E109" s="440"/>
      <c r="F109" s="440"/>
      <c r="G109" s="440"/>
      <c r="H109" s="440"/>
      <c r="I109" s="440"/>
      <c r="J109" s="440"/>
      <c r="K109" s="440"/>
      <c r="L109" s="440"/>
      <c r="M109" s="440"/>
      <c r="N109" s="440"/>
      <c r="O109" s="440"/>
      <c r="P109" s="440"/>
      <c r="Q109" s="440"/>
      <c r="R109" s="440"/>
      <c r="S109" s="440"/>
      <c r="T109" s="440"/>
      <c r="U109" s="440"/>
      <c r="V109" s="440"/>
      <c r="W109" s="440"/>
      <c r="X109" s="440"/>
      <c r="Y109" s="440"/>
      <c r="Z109" s="440"/>
      <c r="AA109" s="440"/>
      <c r="AB109" s="440"/>
      <c r="AC109" s="440"/>
      <c r="AD109" s="440"/>
      <c r="AE109" s="440"/>
      <c r="AF109" s="440"/>
      <c r="AG109" s="446"/>
      <c r="AH109" s="211"/>
      <c r="AI109" s="20"/>
      <c r="AJ109" s="20"/>
      <c r="AK109" s="20"/>
      <c r="AL109" s="20"/>
      <c r="AM109" s="20"/>
      <c r="AN109" s="20"/>
      <c r="AO109" s="20"/>
      <c r="AP109" s="20"/>
      <c r="AQ109" s="20"/>
      <c r="AR109" s="20"/>
      <c r="AS109" s="20"/>
      <c r="AT109" s="20"/>
      <c r="AU109" s="20"/>
      <c r="AV109" s="20"/>
    </row>
    <row r="110" spans="1:48" ht="18" customHeight="1">
      <c r="A110" s="35"/>
      <c r="B110" s="48"/>
      <c r="C110" s="297"/>
      <c r="D110" s="298"/>
      <c r="E110" s="298"/>
      <c r="F110" s="298"/>
      <c r="G110" s="298"/>
      <c r="H110" s="302"/>
      <c r="I110" s="302" t="s">
        <v>64</v>
      </c>
      <c r="J110" s="298"/>
      <c r="K110" s="298"/>
      <c r="L110" s="298"/>
      <c r="M110" s="298"/>
      <c r="N110" s="298"/>
      <c r="O110" s="302"/>
      <c r="P110" s="302"/>
      <c r="Q110" s="298"/>
      <c r="R110" s="298"/>
      <c r="S110" s="298"/>
      <c r="T110" s="302"/>
      <c r="U110" s="302"/>
      <c r="V110" s="302"/>
      <c r="W110" s="302"/>
      <c r="X110" s="298"/>
      <c r="Y110" s="298"/>
      <c r="Z110" s="298"/>
      <c r="AA110" s="298"/>
      <c r="AB110" s="302"/>
      <c r="AC110" s="298"/>
      <c r="AD110" s="298"/>
      <c r="AE110" s="298"/>
      <c r="AF110" s="298"/>
      <c r="AG110" s="303"/>
      <c r="AH110" s="132"/>
      <c r="AI110" s="415"/>
      <c r="AJ110" s="415"/>
      <c r="AK110" s="20"/>
      <c r="AL110" s="20"/>
      <c r="AM110" s="20"/>
      <c r="AN110" s="20"/>
      <c r="AO110" s="20"/>
      <c r="AP110" s="20"/>
      <c r="AQ110" s="20"/>
      <c r="AR110" s="20"/>
      <c r="AS110" s="20"/>
      <c r="AT110" s="20"/>
      <c r="AU110" s="20"/>
      <c r="AV110" s="20"/>
    </row>
    <row r="111" spans="1:48" ht="18" customHeight="1">
      <c r="A111" s="35"/>
      <c r="B111" s="51"/>
      <c r="C111" s="305"/>
      <c r="D111" s="306"/>
      <c r="E111" s="306"/>
      <c r="F111" s="306"/>
      <c r="G111" s="306"/>
      <c r="H111" s="307"/>
      <c r="I111" s="307"/>
      <c r="J111" s="306"/>
      <c r="K111" s="306"/>
      <c r="L111" s="306"/>
      <c r="M111" s="306"/>
      <c r="N111" s="306"/>
      <c r="O111" s="307"/>
      <c r="P111" s="307"/>
      <c r="Q111" s="306"/>
      <c r="R111" s="306"/>
      <c r="S111" s="306"/>
      <c r="T111" s="307"/>
      <c r="U111" s="307"/>
      <c r="V111" s="307"/>
      <c r="W111" s="307"/>
      <c r="X111" s="306"/>
      <c r="Y111" s="306"/>
      <c r="Z111" s="306"/>
      <c r="AA111" s="306"/>
      <c r="AB111" s="307"/>
      <c r="AC111" s="306"/>
      <c r="AD111" s="306"/>
      <c r="AE111" s="306"/>
      <c r="AF111" s="306"/>
      <c r="AG111" s="318"/>
      <c r="AH111" s="132"/>
      <c r="AI111" s="416"/>
      <c r="AJ111" s="416"/>
      <c r="AK111" s="82"/>
      <c r="AL111" s="82"/>
      <c r="AM111" s="82"/>
      <c r="AN111" s="82"/>
      <c r="AO111" s="82"/>
      <c r="AP111" s="20"/>
      <c r="AQ111" s="20"/>
      <c r="AR111" s="20"/>
      <c r="AS111" s="20"/>
      <c r="AT111" s="20"/>
      <c r="AU111" s="20"/>
      <c r="AV111" s="20"/>
    </row>
    <row r="112" spans="1:48" ht="18" customHeight="1">
      <c r="A112" s="35"/>
      <c r="B112" s="407"/>
      <c r="C112" s="309">
        <v>6</v>
      </c>
      <c r="D112" s="310"/>
      <c r="E112" s="310"/>
      <c r="F112" s="310">
        <v>6</v>
      </c>
      <c r="G112" s="310"/>
      <c r="H112" s="310"/>
      <c r="I112" s="310">
        <v>6</v>
      </c>
      <c r="J112" s="310">
        <v>6</v>
      </c>
      <c r="K112" s="310"/>
      <c r="L112" s="310"/>
      <c r="M112" s="310">
        <v>6</v>
      </c>
      <c r="N112" s="310"/>
      <c r="O112" s="310"/>
      <c r="P112" s="310">
        <v>6</v>
      </c>
      <c r="Q112" s="310">
        <v>6</v>
      </c>
      <c r="R112" s="310"/>
      <c r="S112" s="310"/>
      <c r="T112" s="310">
        <v>6</v>
      </c>
      <c r="U112" s="310"/>
      <c r="V112" s="310">
        <v>6</v>
      </c>
      <c r="W112" s="310">
        <v>6</v>
      </c>
      <c r="X112" s="310">
        <v>6</v>
      </c>
      <c r="Y112" s="310"/>
      <c r="Z112" s="310"/>
      <c r="AA112" s="310">
        <v>6</v>
      </c>
      <c r="AB112" s="310"/>
      <c r="AC112" s="310">
        <v>6</v>
      </c>
      <c r="AD112" s="310"/>
      <c r="AE112" s="310">
        <v>6</v>
      </c>
      <c r="AF112" s="310"/>
      <c r="AG112" s="319"/>
      <c r="AH112" s="212"/>
      <c r="AI112" s="83"/>
      <c r="AJ112" s="83"/>
      <c r="AK112" s="83"/>
      <c r="AL112" s="83"/>
      <c r="AM112" s="83"/>
      <c r="AN112" s="20"/>
      <c r="AO112" s="20"/>
      <c r="AP112" s="20"/>
      <c r="AQ112" s="20"/>
      <c r="AR112" s="20"/>
      <c r="AS112" s="20"/>
      <c r="AT112" s="20"/>
      <c r="AU112" s="20"/>
      <c r="AV112" s="20"/>
    </row>
    <row r="113" spans="1:48" ht="18" hidden="1" customHeight="1">
      <c r="A113" s="35"/>
      <c r="B113" s="408"/>
      <c r="C113" s="312"/>
      <c r="D113" s="313"/>
      <c r="E113" s="313"/>
      <c r="F113" s="313"/>
      <c r="G113" s="313"/>
      <c r="H113" s="313"/>
      <c r="I113" s="313"/>
      <c r="J113" s="313"/>
      <c r="K113" s="313"/>
      <c r="L113" s="313"/>
      <c r="M113" s="313"/>
      <c r="N113" s="313"/>
      <c r="O113" s="313"/>
      <c r="P113" s="313"/>
      <c r="Q113" s="313"/>
      <c r="R113" s="313"/>
      <c r="S113" s="313"/>
      <c r="T113" s="313"/>
      <c r="U113" s="313"/>
      <c r="V113" s="313"/>
      <c r="W113" s="313"/>
      <c r="X113" s="313"/>
      <c r="Y113" s="313"/>
      <c r="Z113" s="313"/>
      <c r="AA113" s="313"/>
      <c r="AB113" s="313"/>
      <c r="AC113" s="313"/>
      <c r="AD113" s="313"/>
      <c r="AE113" s="313"/>
      <c r="AF113" s="313"/>
      <c r="AG113" s="320"/>
      <c r="AH113" s="213"/>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c r="AI114" s="410"/>
      <c r="AJ114" s="410"/>
      <c r="AK114" s="69"/>
      <c r="AL114" s="69"/>
      <c r="AM114" s="64"/>
      <c r="AN114" s="20"/>
      <c r="AO114" s="20"/>
      <c r="AP114" s="20"/>
      <c r="AQ114" s="20"/>
      <c r="AR114" s="20"/>
      <c r="AS114" s="20"/>
      <c r="AT114" s="20"/>
      <c r="AU114" s="20"/>
      <c r="AV114" s="20"/>
    </row>
    <row r="115" spans="1:48" ht="14.4">
      <c r="A115" s="85"/>
      <c r="B115" s="15"/>
      <c r="C115" s="28"/>
      <c r="D115" s="28"/>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19"/>
      <c r="AI115" s="86"/>
      <c r="AJ115" s="86"/>
      <c r="AK115" s="86"/>
      <c r="AL115" s="86"/>
      <c r="AM115" s="86"/>
      <c r="AN115" s="20"/>
      <c r="AO115" s="20"/>
      <c r="AP115" s="20"/>
      <c r="AQ115" s="20"/>
      <c r="AR115" s="20"/>
      <c r="AS115" s="20"/>
      <c r="AT115" s="20"/>
      <c r="AU115" s="20"/>
      <c r="AV115" s="20"/>
    </row>
    <row r="116" spans="1:48" ht="18" customHeight="1">
      <c r="A116" s="77"/>
      <c r="B116" s="31"/>
      <c r="C116" s="288">
        <f>IF(C95="","",IF(COUNTIF(C94:AG94,"修了日")=1,"",EDATE(C95,1)))</f>
        <v>46286</v>
      </c>
      <c r="D116" s="289">
        <f t="shared" ref="D116:AD116" si="15">IF(OR(C116="",C115="修了日"),"",C116+1)</f>
        <v>46287</v>
      </c>
      <c r="E116" s="289">
        <f t="shared" si="15"/>
        <v>46288</v>
      </c>
      <c r="F116" s="289">
        <f t="shared" si="15"/>
        <v>46289</v>
      </c>
      <c r="G116" s="289">
        <f t="shared" si="15"/>
        <v>46290</v>
      </c>
      <c r="H116" s="289">
        <f t="shared" si="15"/>
        <v>46291</v>
      </c>
      <c r="I116" s="289">
        <f t="shared" si="15"/>
        <v>46292</v>
      </c>
      <c r="J116" s="289">
        <f t="shared" si="15"/>
        <v>46293</v>
      </c>
      <c r="K116" s="289">
        <f t="shared" si="15"/>
        <v>46294</v>
      </c>
      <c r="L116" s="289">
        <f t="shared" si="15"/>
        <v>46295</v>
      </c>
      <c r="M116" s="289">
        <f t="shared" si="15"/>
        <v>46296</v>
      </c>
      <c r="N116" s="289">
        <f t="shared" si="15"/>
        <v>46297</v>
      </c>
      <c r="O116" s="289">
        <f t="shared" si="15"/>
        <v>46298</v>
      </c>
      <c r="P116" s="289">
        <f t="shared" si="15"/>
        <v>46299</v>
      </c>
      <c r="Q116" s="289">
        <f t="shared" si="15"/>
        <v>46300</v>
      </c>
      <c r="R116" s="289">
        <f t="shared" si="15"/>
        <v>46301</v>
      </c>
      <c r="S116" s="289">
        <f t="shared" si="15"/>
        <v>46302</v>
      </c>
      <c r="T116" s="289">
        <f t="shared" si="15"/>
        <v>46303</v>
      </c>
      <c r="U116" s="289">
        <f t="shared" si="15"/>
        <v>46304</v>
      </c>
      <c r="V116" s="289">
        <f t="shared" si="15"/>
        <v>46305</v>
      </c>
      <c r="W116" s="289">
        <f t="shared" si="15"/>
        <v>46306</v>
      </c>
      <c r="X116" s="289">
        <f t="shared" si="15"/>
        <v>46307</v>
      </c>
      <c r="Y116" s="289">
        <f t="shared" si="15"/>
        <v>46308</v>
      </c>
      <c r="Z116" s="289">
        <f t="shared" si="15"/>
        <v>46309</v>
      </c>
      <c r="AA116" s="289">
        <f t="shared" si="15"/>
        <v>46310</v>
      </c>
      <c r="AB116" s="289">
        <f t="shared" si="15"/>
        <v>46311</v>
      </c>
      <c r="AC116" s="289">
        <f t="shared" si="15"/>
        <v>46312</v>
      </c>
      <c r="AD116" s="289">
        <f t="shared" si="15"/>
        <v>46313</v>
      </c>
      <c r="AE116" s="289">
        <f>IF(OR(AD116="",AD115="修了日"),"",IF(AND(DAY(DATE(YEAR(C116),2,29))=29,MONTH(C116)=2),AD116+1,IF(MONTH(C116)=2,"",AD116+1)))</f>
        <v>46314</v>
      </c>
      <c r="AF116" s="289">
        <f>IF(OR(AE116="",AE115="修了日"),"",IF(MONTH(C116)=2,"",AE116+1))</f>
        <v>46315</v>
      </c>
      <c r="AG116" s="65"/>
      <c r="AH116" s="19"/>
      <c r="AI116" s="86"/>
      <c r="AJ116" s="86"/>
      <c r="AK116" s="86"/>
      <c r="AL116" s="86"/>
      <c r="AM116" s="86"/>
      <c r="AN116" s="20"/>
      <c r="AO116" s="20"/>
      <c r="AP116" s="20"/>
      <c r="AQ116" s="20"/>
      <c r="AR116" s="20"/>
      <c r="AS116" s="20"/>
      <c r="AT116" s="20"/>
      <c r="AU116" s="20"/>
      <c r="AV116" s="20"/>
    </row>
    <row r="117" spans="1:48" ht="18" customHeight="1">
      <c r="A117" s="35"/>
      <c r="B117" s="31"/>
      <c r="C117" s="316">
        <f>+C116</f>
        <v>46286</v>
      </c>
      <c r="D117" s="316">
        <f t="shared" ref="D117:AF118" si="16">IF(D116="","",+D116)</f>
        <v>46287</v>
      </c>
      <c r="E117" s="316">
        <f t="shared" si="16"/>
        <v>46288</v>
      </c>
      <c r="F117" s="316">
        <f t="shared" si="16"/>
        <v>46289</v>
      </c>
      <c r="G117" s="316">
        <f t="shared" si="16"/>
        <v>46290</v>
      </c>
      <c r="H117" s="316">
        <f t="shared" si="16"/>
        <v>46291</v>
      </c>
      <c r="I117" s="316">
        <f t="shared" si="16"/>
        <v>46292</v>
      </c>
      <c r="J117" s="316">
        <f t="shared" si="16"/>
        <v>46293</v>
      </c>
      <c r="K117" s="316">
        <f t="shared" si="16"/>
        <v>46294</v>
      </c>
      <c r="L117" s="316">
        <f t="shared" si="16"/>
        <v>46295</v>
      </c>
      <c r="M117" s="316">
        <f t="shared" si="16"/>
        <v>46296</v>
      </c>
      <c r="N117" s="316">
        <f t="shared" si="16"/>
        <v>46297</v>
      </c>
      <c r="O117" s="316">
        <f t="shared" si="16"/>
        <v>46298</v>
      </c>
      <c r="P117" s="316">
        <f t="shared" si="16"/>
        <v>46299</v>
      </c>
      <c r="Q117" s="316">
        <f t="shared" si="16"/>
        <v>46300</v>
      </c>
      <c r="R117" s="316">
        <f t="shared" si="16"/>
        <v>46301</v>
      </c>
      <c r="S117" s="316">
        <f t="shared" si="16"/>
        <v>46302</v>
      </c>
      <c r="T117" s="316">
        <f t="shared" si="16"/>
        <v>46303</v>
      </c>
      <c r="U117" s="316">
        <f t="shared" si="16"/>
        <v>46304</v>
      </c>
      <c r="V117" s="316">
        <f t="shared" si="16"/>
        <v>46305</v>
      </c>
      <c r="W117" s="316">
        <f t="shared" si="16"/>
        <v>46306</v>
      </c>
      <c r="X117" s="316">
        <f t="shared" si="16"/>
        <v>46307</v>
      </c>
      <c r="Y117" s="316">
        <f t="shared" si="16"/>
        <v>46308</v>
      </c>
      <c r="Z117" s="316">
        <f t="shared" si="16"/>
        <v>46309</v>
      </c>
      <c r="AA117" s="316">
        <f t="shared" si="16"/>
        <v>46310</v>
      </c>
      <c r="AB117" s="316">
        <f t="shared" si="16"/>
        <v>46311</v>
      </c>
      <c r="AC117" s="316">
        <f t="shared" si="16"/>
        <v>46312</v>
      </c>
      <c r="AD117" s="316">
        <f t="shared" si="16"/>
        <v>46313</v>
      </c>
      <c r="AE117" s="316">
        <f t="shared" si="16"/>
        <v>46314</v>
      </c>
      <c r="AF117" s="316">
        <f t="shared" si="16"/>
        <v>46315</v>
      </c>
      <c r="AG117" s="38"/>
      <c r="AH117" s="19"/>
      <c r="AI117" s="86"/>
      <c r="AJ117" s="86"/>
      <c r="AK117" s="86"/>
      <c r="AL117" s="86"/>
      <c r="AM117" s="86"/>
      <c r="AN117" s="20"/>
      <c r="AO117" s="20"/>
      <c r="AP117" s="20"/>
      <c r="AQ117" s="20"/>
      <c r="AR117" s="20"/>
      <c r="AS117" s="20"/>
      <c r="AT117" s="20"/>
      <c r="AU117" s="20"/>
      <c r="AV117" s="20"/>
    </row>
    <row r="118" spans="1:48" ht="18" customHeight="1">
      <c r="A118" s="35"/>
      <c r="B118" s="31"/>
      <c r="C118" s="293">
        <f>+C117</f>
        <v>46286</v>
      </c>
      <c r="D118" s="293">
        <f t="shared" si="16"/>
        <v>46287</v>
      </c>
      <c r="E118" s="293">
        <f t="shared" si="16"/>
        <v>46288</v>
      </c>
      <c r="F118" s="293">
        <f t="shared" si="16"/>
        <v>46289</v>
      </c>
      <c r="G118" s="293">
        <f t="shared" si="16"/>
        <v>46290</v>
      </c>
      <c r="H118" s="293">
        <f t="shared" si="16"/>
        <v>46291</v>
      </c>
      <c r="I118" s="293">
        <f t="shared" si="16"/>
        <v>46292</v>
      </c>
      <c r="J118" s="293">
        <f t="shared" si="16"/>
        <v>46293</v>
      </c>
      <c r="K118" s="293">
        <f t="shared" si="16"/>
        <v>46294</v>
      </c>
      <c r="L118" s="293">
        <f t="shared" si="16"/>
        <v>46295</v>
      </c>
      <c r="M118" s="293">
        <f t="shared" si="16"/>
        <v>46296</v>
      </c>
      <c r="N118" s="293">
        <f t="shared" si="16"/>
        <v>46297</v>
      </c>
      <c r="O118" s="293">
        <f t="shared" si="16"/>
        <v>46298</v>
      </c>
      <c r="P118" s="293">
        <f t="shared" si="16"/>
        <v>46299</v>
      </c>
      <c r="Q118" s="293">
        <f t="shared" si="16"/>
        <v>46300</v>
      </c>
      <c r="R118" s="293">
        <f t="shared" si="16"/>
        <v>46301</v>
      </c>
      <c r="S118" s="293">
        <f t="shared" si="16"/>
        <v>46302</v>
      </c>
      <c r="T118" s="293">
        <f t="shared" si="16"/>
        <v>46303</v>
      </c>
      <c r="U118" s="293">
        <f t="shared" si="16"/>
        <v>46304</v>
      </c>
      <c r="V118" s="293">
        <f t="shared" si="16"/>
        <v>46305</v>
      </c>
      <c r="W118" s="293">
        <f t="shared" si="16"/>
        <v>46306</v>
      </c>
      <c r="X118" s="293">
        <f t="shared" si="16"/>
        <v>46307</v>
      </c>
      <c r="Y118" s="293">
        <f t="shared" si="16"/>
        <v>46308</v>
      </c>
      <c r="Z118" s="293">
        <f t="shared" si="16"/>
        <v>46309</v>
      </c>
      <c r="AA118" s="293">
        <f t="shared" si="16"/>
        <v>46310</v>
      </c>
      <c r="AB118" s="293">
        <f t="shared" si="16"/>
        <v>46311</v>
      </c>
      <c r="AC118" s="293">
        <f t="shared" si="16"/>
        <v>46312</v>
      </c>
      <c r="AD118" s="293">
        <f t="shared" si="16"/>
        <v>46313</v>
      </c>
      <c r="AE118" s="293">
        <f t="shared" si="16"/>
        <v>46314</v>
      </c>
      <c r="AF118" s="293">
        <f t="shared" si="16"/>
        <v>46315</v>
      </c>
      <c r="AG118" s="40"/>
      <c r="AH118" s="19"/>
      <c r="AI118" s="86"/>
      <c r="AJ118" s="86"/>
      <c r="AK118" s="86"/>
      <c r="AL118" s="86"/>
      <c r="AM118" s="86"/>
      <c r="AN118" s="20"/>
      <c r="AO118" s="20"/>
      <c r="AP118" s="20"/>
      <c r="AQ118" s="20"/>
      <c r="AR118" s="20"/>
      <c r="AS118" s="20"/>
      <c r="AT118" s="20"/>
      <c r="AU118" s="20"/>
      <c r="AV118" s="20"/>
    </row>
    <row r="119" spans="1:48" ht="18" customHeight="1">
      <c r="A119" s="411"/>
      <c r="B119" s="41"/>
      <c r="C119" s="441" t="str">
        <f t="shared" ref="C119:AD119" si="17">IF(C$118="","",IF(C$118=$K$154,"ハローワーク来所日⑤",""))</f>
        <v/>
      </c>
      <c r="D119" s="438" t="str">
        <f t="shared" si="17"/>
        <v/>
      </c>
      <c r="E119" s="438" t="str">
        <f t="shared" si="17"/>
        <v/>
      </c>
      <c r="F119" s="438" t="s">
        <v>304</v>
      </c>
      <c r="G119" s="438" t="s">
        <v>304</v>
      </c>
      <c r="H119" s="438" t="str">
        <f t="shared" si="17"/>
        <v/>
      </c>
      <c r="I119" s="438" t="str">
        <f t="shared" si="17"/>
        <v/>
      </c>
      <c r="J119" s="438" t="s">
        <v>304</v>
      </c>
      <c r="K119" s="438" t="str">
        <f t="shared" si="17"/>
        <v/>
      </c>
      <c r="L119" s="438" t="s">
        <v>304</v>
      </c>
      <c r="M119" s="438" t="s">
        <v>304</v>
      </c>
      <c r="N119" s="438" t="str">
        <f t="shared" si="17"/>
        <v/>
      </c>
      <c r="O119" s="438" t="s">
        <v>108</v>
      </c>
      <c r="P119" s="438" t="str">
        <f t="shared" si="17"/>
        <v/>
      </c>
      <c r="Q119" s="438" t="s">
        <v>304</v>
      </c>
      <c r="R119" s="438" t="str">
        <f t="shared" si="17"/>
        <v/>
      </c>
      <c r="S119" s="438" t="s">
        <v>304</v>
      </c>
      <c r="T119" s="438" t="s">
        <v>304</v>
      </c>
      <c r="U119" s="438" t="s">
        <v>304</v>
      </c>
      <c r="V119" s="438" t="s">
        <v>108</v>
      </c>
      <c r="W119" s="438" t="str">
        <f t="shared" si="17"/>
        <v/>
      </c>
      <c r="X119" s="438" t="str">
        <f t="shared" si="17"/>
        <v/>
      </c>
      <c r="Y119" s="438" t="s">
        <v>304</v>
      </c>
      <c r="Z119" s="438" t="s">
        <v>304</v>
      </c>
      <c r="AA119" s="438" t="s">
        <v>304</v>
      </c>
      <c r="AB119" s="438" t="s">
        <v>304</v>
      </c>
      <c r="AC119" s="438" t="str">
        <f t="shared" si="17"/>
        <v/>
      </c>
      <c r="AD119" s="438" t="str">
        <f t="shared" si="17"/>
        <v/>
      </c>
      <c r="AE119" s="438" t="s">
        <v>286</v>
      </c>
      <c r="AF119" s="438" t="s">
        <v>425</v>
      </c>
      <c r="AG119" s="402"/>
      <c r="AH119" s="211"/>
      <c r="AI119" s="86"/>
      <c r="AJ119" s="86"/>
      <c r="AK119" s="86"/>
      <c r="AL119" s="86"/>
      <c r="AM119" s="86"/>
      <c r="AN119" s="20"/>
      <c r="AO119" s="20"/>
      <c r="AP119" s="20"/>
      <c r="AQ119" s="20"/>
      <c r="AR119" s="20"/>
      <c r="AS119" s="20"/>
      <c r="AT119" s="20"/>
      <c r="AU119" s="20"/>
      <c r="AV119" s="20"/>
    </row>
    <row r="120" spans="1:48" ht="18" customHeight="1">
      <c r="A120" s="411"/>
      <c r="B120" s="41"/>
      <c r="C120" s="442"/>
      <c r="D120" s="439"/>
      <c r="E120" s="439"/>
      <c r="F120" s="439"/>
      <c r="G120" s="439"/>
      <c r="H120" s="439"/>
      <c r="I120" s="439"/>
      <c r="J120" s="439"/>
      <c r="K120" s="439"/>
      <c r="L120" s="439"/>
      <c r="M120" s="439"/>
      <c r="N120" s="439"/>
      <c r="O120" s="439"/>
      <c r="P120" s="439"/>
      <c r="Q120" s="439"/>
      <c r="R120" s="439"/>
      <c r="S120" s="439"/>
      <c r="T120" s="439"/>
      <c r="U120" s="439"/>
      <c r="V120" s="439"/>
      <c r="W120" s="439"/>
      <c r="X120" s="439"/>
      <c r="Y120" s="439"/>
      <c r="Z120" s="439"/>
      <c r="AA120" s="439"/>
      <c r="AB120" s="439"/>
      <c r="AC120" s="439"/>
      <c r="AD120" s="439"/>
      <c r="AE120" s="439"/>
      <c r="AF120" s="439"/>
      <c r="AG120" s="403"/>
      <c r="AH120" s="211"/>
      <c r="AI120" s="86"/>
      <c r="AJ120" s="86"/>
      <c r="AK120" s="86"/>
      <c r="AL120" s="86"/>
      <c r="AM120" s="86"/>
      <c r="AN120" s="20"/>
      <c r="AO120" s="20"/>
      <c r="AP120" s="20"/>
      <c r="AQ120" s="20"/>
      <c r="AR120" s="20"/>
      <c r="AS120" s="20"/>
      <c r="AT120" s="20"/>
      <c r="AU120" s="20"/>
      <c r="AV120" s="20"/>
    </row>
    <row r="121" spans="1:48" ht="18" customHeight="1">
      <c r="A121" s="411"/>
      <c r="B121" s="41"/>
      <c r="C121" s="442"/>
      <c r="D121" s="439"/>
      <c r="E121" s="439"/>
      <c r="F121" s="439"/>
      <c r="G121" s="439"/>
      <c r="H121" s="439"/>
      <c r="I121" s="439"/>
      <c r="J121" s="439"/>
      <c r="K121" s="439"/>
      <c r="L121" s="439"/>
      <c r="M121" s="439"/>
      <c r="N121" s="439"/>
      <c r="O121" s="439"/>
      <c r="P121" s="439"/>
      <c r="Q121" s="439"/>
      <c r="R121" s="439"/>
      <c r="S121" s="439"/>
      <c r="T121" s="439"/>
      <c r="U121" s="439"/>
      <c r="V121" s="439"/>
      <c r="W121" s="439"/>
      <c r="X121" s="439"/>
      <c r="Y121" s="439"/>
      <c r="Z121" s="439"/>
      <c r="AA121" s="439"/>
      <c r="AB121" s="439"/>
      <c r="AC121" s="439"/>
      <c r="AD121" s="439"/>
      <c r="AE121" s="439"/>
      <c r="AF121" s="439"/>
      <c r="AG121" s="403"/>
      <c r="AH121" s="211"/>
      <c r="AI121" s="86"/>
      <c r="AJ121" s="86"/>
      <c r="AK121" s="86"/>
      <c r="AL121" s="86"/>
      <c r="AM121" s="86"/>
      <c r="AN121" s="20"/>
      <c r="AO121" s="20"/>
      <c r="AP121" s="20"/>
      <c r="AQ121" s="20"/>
      <c r="AR121" s="20"/>
      <c r="AS121" s="20"/>
      <c r="AT121" s="20"/>
      <c r="AU121" s="20"/>
      <c r="AV121" s="20"/>
    </row>
    <row r="122" spans="1:48" ht="18" customHeight="1">
      <c r="A122" s="411"/>
      <c r="B122" s="41"/>
      <c r="C122" s="442"/>
      <c r="D122" s="439"/>
      <c r="E122" s="439"/>
      <c r="F122" s="439"/>
      <c r="G122" s="439"/>
      <c r="H122" s="439"/>
      <c r="I122" s="439"/>
      <c r="J122" s="439"/>
      <c r="K122" s="439"/>
      <c r="L122" s="439"/>
      <c r="M122" s="439"/>
      <c r="N122" s="439"/>
      <c r="O122" s="439"/>
      <c r="P122" s="439"/>
      <c r="Q122" s="439"/>
      <c r="R122" s="439"/>
      <c r="S122" s="439"/>
      <c r="T122" s="439"/>
      <c r="U122" s="439"/>
      <c r="V122" s="439"/>
      <c r="W122" s="439"/>
      <c r="X122" s="439"/>
      <c r="Y122" s="439"/>
      <c r="Z122" s="439"/>
      <c r="AA122" s="439"/>
      <c r="AB122" s="439"/>
      <c r="AC122" s="439"/>
      <c r="AD122" s="439"/>
      <c r="AE122" s="439"/>
      <c r="AF122" s="439"/>
      <c r="AG122" s="403"/>
      <c r="AH122" s="211"/>
      <c r="AI122" s="86"/>
      <c r="AJ122" s="86"/>
      <c r="AK122" s="86"/>
      <c r="AL122" s="86"/>
      <c r="AM122" s="86"/>
      <c r="AN122" s="20"/>
      <c r="AO122" s="20"/>
      <c r="AP122" s="20"/>
      <c r="AQ122" s="20"/>
      <c r="AR122" s="20"/>
      <c r="AS122" s="20"/>
      <c r="AT122" s="20"/>
      <c r="AU122" s="20"/>
      <c r="AV122" s="20"/>
    </row>
    <row r="123" spans="1:48" ht="18" customHeight="1">
      <c r="A123" s="411"/>
      <c r="B123" s="41"/>
      <c r="C123" s="442"/>
      <c r="D123" s="439"/>
      <c r="E123" s="439"/>
      <c r="F123" s="439"/>
      <c r="G123" s="439"/>
      <c r="H123" s="439"/>
      <c r="I123" s="439"/>
      <c r="J123" s="439"/>
      <c r="K123" s="439"/>
      <c r="L123" s="439"/>
      <c r="M123" s="439"/>
      <c r="N123" s="439"/>
      <c r="O123" s="439"/>
      <c r="P123" s="439"/>
      <c r="Q123" s="439"/>
      <c r="R123" s="439"/>
      <c r="S123" s="439"/>
      <c r="T123" s="439"/>
      <c r="U123" s="439"/>
      <c r="V123" s="439"/>
      <c r="W123" s="439"/>
      <c r="X123" s="439"/>
      <c r="Y123" s="439"/>
      <c r="Z123" s="439"/>
      <c r="AA123" s="439"/>
      <c r="AB123" s="439"/>
      <c r="AC123" s="439"/>
      <c r="AD123" s="439"/>
      <c r="AE123" s="439"/>
      <c r="AF123" s="439"/>
      <c r="AG123" s="403"/>
      <c r="AH123" s="211"/>
      <c r="AI123" s="86"/>
      <c r="AJ123" s="86"/>
      <c r="AK123" s="86"/>
      <c r="AL123" s="86"/>
      <c r="AM123" s="86"/>
      <c r="AN123" s="20"/>
      <c r="AO123" s="20"/>
      <c r="AP123" s="20"/>
      <c r="AQ123" s="20"/>
      <c r="AR123" s="20"/>
      <c r="AS123" s="20"/>
      <c r="AT123" s="20"/>
      <c r="AU123" s="20"/>
      <c r="AV123" s="20"/>
    </row>
    <row r="124" spans="1:48" ht="18" customHeight="1">
      <c r="A124" s="411"/>
      <c r="B124" s="41"/>
      <c r="C124" s="442"/>
      <c r="D124" s="439"/>
      <c r="E124" s="439"/>
      <c r="F124" s="439"/>
      <c r="G124" s="439"/>
      <c r="H124" s="439"/>
      <c r="I124" s="439"/>
      <c r="J124" s="439"/>
      <c r="K124" s="439"/>
      <c r="L124" s="439"/>
      <c r="M124" s="439"/>
      <c r="N124" s="439"/>
      <c r="O124" s="439"/>
      <c r="P124" s="439"/>
      <c r="Q124" s="439"/>
      <c r="R124" s="439"/>
      <c r="S124" s="439"/>
      <c r="T124" s="439"/>
      <c r="U124" s="439"/>
      <c r="V124" s="439"/>
      <c r="W124" s="439"/>
      <c r="X124" s="439"/>
      <c r="Y124" s="439"/>
      <c r="Z124" s="439"/>
      <c r="AA124" s="439"/>
      <c r="AB124" s="439"/>
      <c r="AC124" s="439"/>
      <c r="AD124" s="439"/>
      <c r="AE124" s="439"/>
      <c r="AF124" s="439"/>
      <c r="AG124" s="403"/>
      <c r="AH124" s="212"/>
      <c r="AI124" s="86"/>
      <c r="AJ124" s="86"/>
      <c r="AK124" s="86"/>
      <c r="AL124" s="86"/>
      <c r="AM124" s="86"/>
      <c r="AN124" s="20"/>
      <c r="AO124" s="20"/>
      <c r="AP124" s="20"/>
      <c r="AQ124" s="20"/>
      <c r="AR124" s="20"/>
      <c r="AS124" s="20"/>
      <c r="AT124" s="20"/>
      <c r="AU124" s="20"/>
      <c r="AV124" s="20"/>
    </row>
    <row r="125" spans="1:48" ht="18" hidden="1" customHeight="1">
      <c r="A125" s="411"/>
      <c r="B125" s="41"/>
      <c r="C125" s="442"/>
      <c r="D125" s="439"/>
      <c r="E125" s="439"/>
      <c r="F125" s="439"/>
      <c r="G125" s="439"/>
      <c r="H125" s="439"/>
      <c r="I125" s="439"/>
      <c r="J125" s="439"/>
      <c r="K125" s="439"/>
      <c r="L125" s="439"/>
      <c r="M125" s="439"/>
      <c r="N125" s="439"/>
      <c r="O125" s="439"/>
      <c r="P125" s="439"/>
      <c r="Q125" s="439"/>
      <c r="R125" s="439"/>
      <c r="S125" s="439"/>
      <c r="T125" s="439"/>
      <c r="U125" s="439"/>
      <c r="V125" s="439"/>
      <c r="W125" s="439"/>
      <c r="X125" s="439"/>
      <c r="Y125" s="439"/>
      <c r="Z125" s="439"/>
      <c r="AA125" s="439"/>
      <c r="AB125" s="439"/>
      <c r="AC125" s="439"/>
      <c r="AD125" s="439"/>
      <c r="AE125" s="439"/>
      <c r="AF125" s="439"/>
      <c r="AG125" s="403"/>
      <c r="AH125" s="213"/>
      <c r="AI125" s="86"/>
      <c r="AJ125" s="86"/>
      <c r="AK125" s="86"/>
      <c r="AL125" s="86"/>
      <c r="AM125" s="86"/>
      <c r="AN125" s="20"/>
      <c r="AO125" s="20"/>
      <c r="AP125" s="20"/>
      <c r="AQ125" s="20"/>
      <c r="AR125" s="20"/>
      <c r="AS125" s="20"/>
      <c r="AT125" s="20"/>
      <c r="AU125" s="20"/>
      <c r="AV125" s="20"/>
    </row>
    <row r="126" spans="1:48" ht="18" customHeight="1">
      <c r="A126" s="411"/>
      <c r="B126" s="41"/>
      <c r="C126" s="442"/>
      <c r="D126" s="439"/>
      <c r="E126" s="439"/>
      <c r="F126" s="439"/>
      <c r="G126" s="439"/>
      <c r="H126" s="439"/>
      <c r="I126" s="439"/>
      <c r="J126" s="439"/>
      <c r="K126" s="439"/>
      <c r="L126" s="439"/>
      <c r="M126" s="439"/>
      <c r="N126" s="439"/>
      <c r="O126" s="439"/>
      <c r="P126" s="439"/>
      <c r="Q126" s="439"/>
      <c r="R126" s="439"/>
      <c r="S126" s="439"/>
      <c r="T126" s="439"/>
      <c r="U126" s="439"/>
      <c r="V126" s="439"/>
      <c r="W126" s="439"/>
      <c r="X126" s="439"/>
      <c r="Y126" s="439"/>
      <c r="Z126" s="439"/>
      <c r="AA126" s="439"/>
      <c r="AB126" s="439"/>
      <c r="AC126" s="439"/>
      <c r="AD126" s="439"/>
      <c r="AE126" s="439"/>
      <c r="AF126" s="439"/>
      <c r="AG126" s="403"/>
      <c r="AH126" s="212"/>
      <c r="AI126" s="86"/>
      <c r="AJ126" s="86"/>
      <c r="AK126" s="86"/>
      <c r="AL126" s="86"/>
      <c r="AM126" s="86"/>
      <c r="AN126" s="20"/>
      <c r="AO126" s="20"/>
      <c r="AP126" s="20"/>
      <c r="AQ126" s="20"/>
      <c r="AR126" s="20"/>
      <c r="AS126" s="20"/>
      <c r="AT126" s="20"/>
      <c r="AU126" s="20"/>
      <c r="AV126" s="20"/>
    </row>
    <row r="127" spans="1:48" ht="18" customHeight="1">
      <c r="A127" s="411"/>
      <c r="B127" s="41"/>
      <c r="C127" s="442"/>
      <c r="D127" s="439"/>
      <c r="E127" s="439"/>
      <c r="F127" s="439"/>
      <c r="G127" s="439"/>
      <c r="H127" s="439"/>
      <c r="I127" s="439"/>
      <c r="J127" s="439"/>
      <c r="K127" s="439"/>
      <c r="L127" s="439"/>
      <c r="M127" s="439"/>
      <c r="N127" s="439"/>
      <c r="O127" s="439"/>
      <c r="P127" s="439"/>
      <c r="Q127" s="439"/>
      <c r="R127" s="439"/>
      <c r="S127" s="439"/>
      <c r="T127" s="439"/>
      <c r="U127" s="439"/>
      <c r="V127" s="439"/>
      <c r="W127" s="439"/>
      <c r="X127" s="439"/>
      <c r="Y127" s="439"/>
      <c r="Z127" s="439"/>
      <c r="AA127" s="439"/>
      <c r="AB127" s="439"/>
      <c r="AC127" s="439"/>
      <c r="AD127" s="439"/>
      <c r="AE127" s="439"/>
      <c r="AF127" s="439"/>
      <c r="AG127" s="403"/>
      <c r="AH127" s="211"/>
      <c r="AI127" s="87"/>
      <c r="AJ127" s="87"/>
      <c r="AK127" s="87"/>
      <c r="AL127" s="87"/>
      <c r="AM127" s="87"/>
      <c r="AN127" s="20"/>
      <c r="AO127" s="20"/>
      <c r="AP127" s="20"/>
      <c r="AQ127" s="20"/>
      <c r="AR127" s="20"/>
      <c r="AS127" s="20"/>
      <c r="AT127" s="20"/>
      <c r="AU127" s="20"/>
      <c r="AV127" s="20"/>
    </row>
    <row r="128" spans="1:48" ht="18" customHeight="1">
      <c r="A128" s="411"/>
      <c r="B128" s="41"/>
      <c r="C128" s="442"/>
      <c r="D128" s="439"/>
      <c r="E128" s="439"/>
      <c r="F128" s="439"/>
      <c r="G128" s="439"/>
      <c r="H128" s="439"/>
      <c r="I128" s="439"/>
      <c r="J128" s="439"/>
      <c r="K128" s="439"/>
      <c r="L128" s="439"/>
      <c r="M128" s="439"/>
      <c r="N128" s="439"/>
      <c r="O128" s="439"/>
      <c r="P128" s="439"/>
      <c r="Q128" s="439"/>
      <c r="R128" s="439"/>
      <c r="S128" s="439"/>
      <c r="T128" s="439"/>
      <c r="U128" s="439"/>
      <c r="V128" s="439"/>
      <c r="W128" s="439"/>
      <c r="X128" s="439"/>
      <c r="Y128" s="439"/>
      <c r="Z128" s="439"/>
      <c r="AA128" s="439"/>
      <c r="AB128" s="439"/>
      <c r="AC128" s="439"/>
      <c r="AD128" s="439"/>
      <c r="AE128" s="439"/>
      <c r="AF128" s="439"/>
      <c r="AG128" s="403"/>
      <c r="AH128" s="211"/>
      <c r="AI128" s="87"/>
      <c r="AJ128" s="87"/>
      <c r="AK128" s="87"/>
      <c r="AL128" s="87"/>
      <c r="AM128" s="87"/>
      <c r="AN128" s="20"/>
      <c r="AO128" s="20"/>
      <c r="AP128" s="20"/>
      <c r="AQ128" s="20"/>
      <c r="AR128" s="20"/>
      <c r="AS128" s="20"/>
      <c r="AT128" s="20"/>
      <c r="AU128" s="20"/>
      <c r="AV128" s="20"/>
    </row>
    <row r="129" spans="1:48" ht="18" customHeight="1">
      <c r="A129" s="411"/>
      <c r="B129" s="41"/>
      <c r="C129" s="442"/>
      <c r="D129" s="439"/>
      <c r="E129" s="439"/>
      <c r="F129" s="439"/>
      <c r="G129" s="439"/>
      <c r="H129" s="439"/>
      <c r="I129" s="439"/>
      <c r="J129" s="439"/>
      <c r="K129" s="439"/>
      <c r="L129" s="439"/>
      <c r="M129" s="439"/>
      <c r="N129" s="439"/>
      <c r="O129" s="439"/>
      <c r="P129" s="439"/>
      <c r="Q129" s="439"/>
      <c r="R129" s="439"/>
      <c r="S129" s="439"/>
      <c r="T129" s="439"/>
      <c r="U129" s="439"/>
      <c r="V129" s="439"/>
      <c r="W129" s="439"/>
      <c r="X129" s="439"/>
      <c r="Y129" s="439"/>
      <c r="Z129" s="439"/>
      <c r="AA129" s="439"/>
      <c r="AB129" s="439"/>
      <c r="AC129" s="439"/>
      <c r="AD129" s="439"/>
      <c r="AE129" s="439"/>
      <c r="AF129" s="439"/>
      <c r="AG129" s="403"/>
      <c r="AH129" s="211"/>
      <c r="AI129" s="88"/>
      <c r="AJ129" s="88"/>
      <c r="AK129" s="88"/>
      <c r="AL129" s="88"/>
      <c r="AM129" s="88"/>
      <c r="AN129" s="20"/>
      <c r="AO129" s="20"/>
      <c r="AP129" s="20"/>
      <c r="AQ129" s="20"/>
      <c r="AR129" s="20"/>
      <c r="AS129" s="20"/>
      <c r="AT129" s="20"/>
      <c r="AU129" s="20"/>
      <c r="AV129" s="20"/>
    </row>
    <row r="130" spans="1:48" ht="18" customHeight="1">
      <c r="A130" s="411"/>
      <c r="B130" s="41"/>
      <c r="C130" s="443"/>
      <c r="D130" s="440"/>
      <c r="E130" s="440"/>
      <c r="F130" s="440"/>
      <c r="G130" s="440"/>
      <c r="H130" s="440"/>
      <c r="I130" s="440"/>
      <c r="J130" s="440"/>
      <c r="K130" s="440"/>
      <c r="L130" s="440"/>
      <c r="M130" s="440"/>
      <c r="N130" s="440"/>
      <c r="O130" s="440"/>
      <c r="P130" s="440"/>
      <c r="Q130" s="440"/>
      <c r="R130" s="440"/>
      <c r="S130" s="440"/>
      <c r="T130" s="440"/>
      <c r="U130" s="440"/>
      <c r="V130" s="440"/>
      <c r="W130" s="440"/>
      <c r="X130" s="440"/>
      <c r="Y130" s="440"/>
      <c r="Z130" s="440"/>
      <c r="AA130" s="440"/>
      <c r="AB130" s="440"/>
      <c r="AC130" s="440"/>
      <c r="AD130" s="440"/>
      <c r="AE130" s="440"/>
      <c r="AF130" s="440"/>
      <c r="AG130" s="404"/>
      <c r="AH130" s="211"/>
      <c r="AI130" s="64"/>
      <c r="AJ130" s="64"/>
      <c r="AK130" s="64"/>
      <c r="AL130" s="64"/>
      <c r="AM130" s="64"/>
      <c r="AN130" s="20"/>
      <c r="AO130" s="20"/>
      <c r="AP130" s="20"/>
      <c r="AQ130" s="20"/>
      <c r="AR130" s="20"/>
      <c r="AS130" s="20"/>
      <c r="AT130" s="20"/>
      <c r="AU130" s="20"/>
      <c r="AV130" s="20"/>
    </row>
    <row r="131" spans="1:48" ht="19.5" customHeight="1">
      <c r="A131" s="35"/>
      <c r="B131" s="48"/>
      <c r="C131" s="297"/>
      <c r="D131" s="298"/>
      <c r="E131" s="298"/>
      <c r="F131" s="298"/>
      <c r="G131" s="298"/>
      <c r="H131" s="302"/>
      <c r="I131" s="302"/>
      <c r="J131" s="298"/>
      <c r="K131" s="298"/>
      <c r="L131" s="298"/>
      <c r="M131" s="298"/>
      <c r="N131" s="298"/>
      <c r="O131" s="302"/>
      <c r="P131" s="302"/>
      <c r="Q131" s="298"/>
      <c r="R131" s="298"/>
      <c r="S131" s="298"/>
      <c r="T131" s="302"/>
      <c r="U131" s="302"/>
      <c r="V131" s="302"/>
      <c r="W131" s="302"/>
      <c r="X131" s="298"/>
      <c r="Y131" s="298"/>
      <c r="Z131" s="298"/>
      <c r="AA131" s="298"/>
      <c r="AB131" s="302" t="s">
        <v>69</v>
      </c>
      <c r="AC131" s="302"/>
      <c r="AD131" s="298"/>
      <c r="AE131" s="298"/>
      <c r="AF131" s="298"/>
      <c r="AG131" s="50"/>
      <c r="AH131" s="132"/>
      <c r="AI131" s="405"/>
      <c r="AJ131" s="405"/>
      <c r="AK131" s="64"/>
      <c r="AL131" s="64"/>
      <c r="AM131" s="64"/>
      <c r="AN131" s="20"/>
      <c r="AO131" s="20"/>
      <c r="AP131" s="20"/>
      <c r="AQ131" s="20"/>
      <c r="AR131" s="20"/>
      <c r="AS131" s="20"/>
      <c r="AT131" s="20"/>
      <c r="AU131" s="20"/>
      <c r="AV131" s="20"/>
    </row>
    <row r="132" spans="1:48" ht="19.5" customHeight="1">
      <c r="A132" s="35"/>
      <c r="B132" s="51"/>
      <c r="C132" s="305"/>
      <c r="D132" s="306"/>
      <c r="E132" s="306"/>
      <c r="F132" s="306"/>
      <c r="G132" s="306"/>
      <c r="H132" s="307"/>
      <c r="I132" s="307"/>
      <c r="J132" s="306"/>
      <c r="K132" s="306"/>
      <c r="L132" s="306"/>
      <c r="M132" s="306"/>
      <c r="N132" s="306"/>
      <c r="O132" s="307"/>
      <c r="P132" s="307"/>
      <c r="Q132" s="306"/>
      <c r="R132" s="306"/>
      <c r="S132" s="306"/>
      <c r="T132" s="307"/>
      <c r="U132" s="307"/>
      <c r="V132" s="307"/>
      <c r="W132" s="307"/>
      <c r="X132" s="306"/>
      <c r="Y132" s="306"/>
      <c r="Z132" s="306"/>
      <c r="AA132" s="306"/>
      <c r="AB132" s="307"/>
      <c r="AC132" s="307"/>
      <c r="AD132" s="306"/>
      <c r="AE132" s="306"/>
      <c r="AF132" s="306"/>
      <c r="AG132" s="71"/>
      <c r="AH132" s="132"/>
      <c r="AI132" s="406"/>
      <c r="AJ132" s="406"/>
      <c r="AK132" s="82"/>
      <c r="AL132" s="82"/>
      <c r="AM132" s="82"/>
      <c r="AN132" s="82"/>
      <c r="AO132" s="82"/>
      <c r="AP132" s="20"/>
      <c r="AQ132" s="20"/>
      <c r="AR132" s="20"/>
      <c r="AS132" s="20"/>
      <c r="AT132" s="20"/>
      <c r="AU132" s="20"/>
      <c r="AV132" s="20"/>
    </row>
    <row r="133" spans="1:48" ht="18" customHeight="1">
      <c r="A133" s="35"/>
      <c r="B133" s="407"/>
      <c r="C133" s="309"/>
      <c r="D133" s="310"/>
      <c r="E133" s="310"/>
      <c r="F133" s="310">
        <v>6</v>
      </c>
      <c r="G133" s="310">
        <v>6</v>
      </c>
      <c r="H133" s="310"/>
      <c r="I133" s="310"/>
      <c r="J133" s="310">
        <v>6</v>
      </c>
      <c r="K133" s="310"/>
      <c r="L133" s="310">
        <v>6</v>
      </c>
      <c r="M133" s="310">
        <v>6</v>
      </c>
      <c r="N133" s="310"/>
      <c r="O133" s="310">
        <v>0</v>
      </c>
      <c r="P133" s="310"/>
      <c r="Q133" s="310">
        <v>6</v>
      </c>
      <c r="R133" s="310"/>
      <c r="S133" s="310">
        <v>6</v>
      </c>
      <c r="T133" s="310">
        <v>6</v>
      </c>
      <c r="U133" s="310">
        <v>6</v>
      </c>
      <c r="V133" s="310">
        <v>0</v>
      </c>
      <c r="W133" s="310"/>
      <c r="X133" s="310"/>
      <c r="Y133" s="310">
        <v>6</v>
      </c>
      <c r="Z133" s="310">
        <v>6</v>
      </c>
      <c r="AA133" s="310">
        <v>6</v>
      </c>
      <c r="AB133" s="310">
        <v>6</v>
      </c>
      <c r="AC133" s="310"/>
      <c r="AD133" s="310"/>
      <c r="AE133" s="310">
        <v>6</v>
      </c>
      <c r="AF133" s="310">
        <v>0</v>
      </c>
      <c r="AG133" s="73"/>
      <c r="AH133" s="212"/>
      <c r="AI133" s="88"/>
      <c r="AJ133" s="88"/>
      <c r="AK133" s="88"/>
      <c r="AL133" s="64"/>
      <c r="AM133" s="64"/>
      <c r="AN133" s="20"/>
      <c r="AO133" s="20"/>
      <c r="AP133" s="20"/>
      <c r="AQ133" s="20"/>
      <c r="AR133" s="20"/>
      <c r="AS133" s="20"/>
      <c r="AT133" s="20"/>
      <c r="AU133" s="20"/>
      <c r="AV133" s="20"/>
    </row>
    <row r="134" spans="1:48" ht="18" hidden="1" customHeight="1">
      <c r="A134" s="35"/>
      <c r="B134" s="408"/>
      <c r="C134" s="312"/>
      <c r="D134" s="313"/>
      <c r="E134" s="313"/>
      <c r="F134" s="313"/>
      <c r="G134" s="313"/>
      <c r="H134" s="313"/>
      <c r="I134" s="313"/>
      <c r="J134" s="313"/>
      <c r="K134" s="313"/>
      <c r="L134" s="313"/>
      <c r="M134" s="313"/>
      <c r="N134" s="313"/>
      <c r="O134" s="313"/>
      <c r="P134" s="313"/>
      <c r="Q134" s="313"/>
      <c r="R134" s="313"/>
      <c r="S134" s="313"/>
      <c r="T134" s="313"/>
      <c r="U134" s="313"/>
      <c r="V134" s="313"/>
      <c r="W134" s="313"/>
      <c r="X134" s="313"/>
      <c r="Y134" s="313"/>
      <c r="Z134" s="313"/>
      <c r="AA134" s="313"/>
      <c r="AB134" s="313"/>
      <c r="AC134" s="313"/>
      <c r="AD134" s="313"/>
      <c r="AE134" s="313"/>
      <c r="AF134" s="313"/>
      <c r="AG134" s="74"/>
      <c r="AH134" s="213"/>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c r="AI135" s="410"/>
      <c r="AJ135" s="410"/>
      <c r="AK135" s="69"/>
      <c r="AL135" s="69"/>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c r="J138" s="92"/>
      <c r="K138" s="92"/>
      <c r="L138" s="92"/>
      <c r="M138" s="92"/>
      <c r="N138" s="92"/>
      <c r="O138" s="92"/>
      <c r="P138" s="92"/>
      <c r="Q138" s="92"/>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c r="B139" s="392"/>
      <c r="C139" s="392"/>
      <c r="D139" s="393"/>
      <c r="E139" s="394"/>
      <c r="F139" s="395"/>
      <c r="G139" s="95"/>
      <c r="H139" s="15"/>
      <c r="I139" s="397"/>
      <c r="J139" s="397"/>
      <c r="K139" s="329"/>
      <c r="L139" s="329"/>
      <c r="M139" s="329"/>
      <c r="N139" s="329"/>
      <c r="O139" s="329"/>
      <c r="P139" s="329"/>
      <c r="Q139" s="329"/>
      <c r="R139" s="329"/>
      <c r="S139" s="329"/>
      <c r="T139" s="329"/>
      <c r="U139" s="329"/>
      <c r="V139" s="398"/>
      <c r="W139" s="398"/>
      <c r="X139" s="398"/>
      <c r="Y139" s="398"/>
      <c r="Z139" s="398"/>
      <c r="AA139" s="398"/>
      <c r="AB139" s="398"/>
      <c r="AC139" s="398"/>
      <c r="AD139" s="398"/>
      <c r="AE139" s="398"/>
      <c r="AF139" s="398"/>
      <c r="AG139" s="398"/>
      <c r="AH139" s="47"/>
      <c r="AI139" s="130"/>
      <c r="AJ139" s="391"/>
      <c r="AK139" s="391"/>
      <c r="AL139" s="391"/>
      <c r="AM139" s="88"/>
      <c r="AN139" s="20"/>
      <c r="AO139" s="20"/>
      <c r="AP139" s="20"/>
      <c r="AQ139" s="20"/>
      <c r="AR139" s="20"/>
      <c r="AS139" s="20"/>
      <c r="AT139" s="20"/>
      <c r="AU139" s="20"/>
      <c r="AV139" s="20"/>
    </row>
    <row r="140" spans="1:48" ht="18" customHeight="1">
      <c r="A140" s="392"/>
      <c r="B140" s="392"/>
      <c r="C140" s="392"/>
      <c r="D140" s="393"/>
      <c r="E140" s="394"/>
      <c r="F140" s="395"/>
      <c r="G140" s="95"/>
      <c r="H140" s="15"/>
      <c r="I140" s="329"/>
      <c r="J140" s="329"/>
      <c r="K140" s="385"/>
      <c r="L140" s="385"/>
      <c r="M140" s="385"/>
      <c r="N140" s="385"/>
      <c r="O140" s="386"/>
      <c r="P140" s="96"/>
      <c r="Q140" s="387"/>
      <c r="R140" s="385"/>
      <c r="S140" s="385"/>
      <c r="T140" s="385"/>
      <c r="U140" s="385"/>
      <c r="V140" s="390"/>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c r="J141" s="329"/>
      <c r="K141" s="385"/>
      <c r="L141" s="385"/>
      <c r="M141" s="385"/>
      <c r="N141" s="385"/>
      <c r="O141" s="386"/>
      <c r="P141" s="96"/>
      <c r="Q141" s="387"/>
      <c r="R141" s="385"/>
      <c r="S141" s="385"/>
      <c r="T141" s="385"/>
      <c r="U141" s="385"/>
      <c r="V141" s="390"/>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c r="J142" s="329"/>
      <c r="K142" s="385"/>
      <c r="L142" s="385"/>
      <c r="M142" s="385"/>
      <c r="N142" s="385"/>
      <c r="O142" s="386"/>
      <c r="P142" s="96"/>
      <c r="Q142" s="387"/>
      <c r="R142" s="385"/>
      <c r="S142" s="385"/>
      <c r="T142" s="385"/>
      <c r="U142" s="385"/>
      <c r="V142" s="388"/>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c r="J143" s="351"/>
      <c r="K143" s="385"/>
      <c r="L143" s="385"/>
      <c r="M143" s="385"/>
      <c r="N143" s="385"/>
      <c r="O143" s="386"/>
      <c r="P143" s="96"/>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c r="J144" s="351"/>
      <c r="K144" s="385"/>
      <c r="L144" s="385"/>
      <c r="M144" s="385"/>
      <c r="N144" s="385"/>
      <c r="O144" s="386"/>
      <c r="P144" s="96"/>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c r="J145" s="351"/>
      <c r="K145" s="385"/>
      <c r="L145" s="385"/>
      <c r="M145" s="385"/>
      <c r="N145" s="385"/>
      <c r="O145" s="386"/>
      <c r="P145" s="96"/>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c r="B147" s="351"/>
      <c r="C147" s="349"/>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c r="B148" s="364"/>
      <c r="C148" s="383"/>
      <c r="D148" s="384"/>
      <c r="E148" s="94"/>
      <c r="F148" s="366"/>
      <c r="G148" s="367"/>
      <c r="H148" s="15"/>
      <c r="I148" s="100"/>
      <c r="J148" s="15"/>
      <c r="K148" s="15"/>
      <c r="L148" s="15"/>
      <c r="M148" s="15"/>
      <c r="N148" s="15"/>
      <c r="O148" s="100"/>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c r="B149" s="364"/>
      <c r="C149" s="365"/>
      <c r="D149" s="366"/>
      <c r="E149" s="94"/>
      <c r="F149" s="366"/>
      <c r="G149" s="367"/>
      <c r="H149" s="15"/>
      <c r="I149" s="363"/>
      <c r="J149" s="364"/>
      <c r="K149" s="349"/>
      <c r="L149" s="350"/>
      <c r="M149" s="350"/>
      <c r="N149" s="350"/>
      <c r="O149" s="350"/>
      <c r="P149" s="350"/>
      <c r="Q149" s="350"/>
      <c r="R149" s="350"/>
      <c r="S149" s="350"/>
      <c r="T149" s="350"/>
      <c r="U149" s="350"/>
      <c r="V149" s="329"/>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c r="B150" s="364"/>
      <c r="C150" s="365"/>
      <c r="D150" s="366"/>
      <c r="E150" s="94"/>
      <c r="F150" s="366"/>
      <c r="G150" s="367"/>
      <c r="H150" s="15"/>
      <c r="I150" s="380"/>
      <c r="J150" s="381"/>
      <c r="K150" s="339"/>
      <c r="L150" s="340"/>
      <c r="M150" s="340"/>
      <c r="N150" s="340"/>
      <c r="O150" s="340"/>
      <c r="P150" s="340"/>
      <c r="Q150" s="340"/>
      <c r="R150" s="340"/>
      <c r="S150" s="340"/>
      <c r="T150" s="340"/>
      <c r="U150" s="340"/>
      <c r="V150" s="382"/>
      <c r="W150" s="382"/>
      <c r="X150" s="382"/>
      <c r="Y150" s="382"/>
      <c r="Z150" s="244"/>
      <c r="AA150" s="244"/>
      <c r="AB150" s="244"/>
      <c r="AC150" s="244"/>
      <c r="AD150" s="15"/>
      <c r="AE150" s="15"/>
      <c r="AF150" s="15"/>
      <c r="AG150" s="15"/>
      <c r="AH150" s="91"/>
      <c r="AI150" s="88"/>
      <c r="AJ150" s="133"/>
      <c r="AK150" s="134"/>
      <c r="AL150" s="88"/>
      <c r="AM150" s="88"/>
      <c r="AN150" s="20"/>
      <c r="AO150" s="20"/>
      <c r="AP150" s="20"/>
      <c r="AQ150" s="20"/>
      <c r="AR150" s="20"/>
      <c r="AS150" s="20"/>
      <c r="AT150" s="20"/>
      <c r="AU150" s="20"/>
      <c r="AV150" s="20"/>
    </row>
    <row r="151" spans="1:48" ht="18" customHeight="1" thickTop="1">
      <c r="A151" s="363"/>
      <c r="B151" s="364"/>
      <c r="C151" s="365"/>
      <c r="D151" s="366"/>
      <c r="E151" s="94"/>
      <c r="F151" s="366"/>
      <c r="G151" s="367"/>
      <c r="H151" s="15"/>
      <c r="I151" s="380"/>
      <c r="J151" s="381"/>
      <c r="K151" s="339"/>
      <c r="L151" s="340"/>
      <c r="M151" s="340"/>
      <c r="N151" s="340"/>
      <c r="O151" s="340"/>
      <c r="P151" s="340"/>
      <c r="Q151" s="340"/>
      <c r="R151" s="340"/>
      <c r="S151" s="340"/>
      <c r="T151" s="340"/>
      <c r="U151" s="340"/>
      <c r="V151" s="382"/>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c r="B152" s="364"/>
      <c r="C152" s="365"/>
      <c r="D152" s="366"/>
      <c r="E152" s="94"/>
      <c r="F152" s="366"/>
      <c r="G152" s="367"/>
      <c r="H152" s="15"/>
      <c r="I152" s="380"/>
      <c r="J152" s="381"/>
      <c r="K152" s="339"/>
      <c r="L152" s="340"/>
      <c r="M152" s="340"/>
      <c r="N152" s="340"/>
      <c r="O152" s="340"/>
      <c r="P152" s="340"/>
      <c r="Q152" s="340"/>
      <c r="R152" s="340"/>
      <c r="S152" s="340"/>
      <c r="T152" s="340"/>
      <c r="U152" s="340"/>
      <c r="V152" s="382"/>
      <c r="W152" s="382"/>
      <c r="X152" s="382"/>
      <c r="Y152" s="382"/>
      <c r="Z152" s="244"/>
      <c r="AA152" s="244"/>
      <c r="AB152" s="244"/>
      <c r="AC152" s="244"/>
      <c r="AD152" s="15"/>
      <c r="AE152" s="15"/>
      <c r="AF152" s="15"/>
      <c r="AG152" s="15"/>
      <c r="AH152" s="91"/>
      <c r="AI152" s="88"/>
      <c r="AJ152" s="133"/>
      <c r="AK152" s="134"/>
      <c r="AL152" s="88"/>
      <c r="AM152" s="88"/>
      <c r="AN152" s="20"/>
      <c r="AO152" s="20"/>
      <c r="AP152" s="20"/>
      <c r="AQ152" s="20"/>
      <c r="AR152" s="20"/>
      <c r="AS152" s="20"/>
      <c r="AT152" s="20"/>
      <c r="AU152" s="20"/>
      <c r="AV152" s="20"/>
    </row>
    <row r="153" spans="1:48" ht="18" customHeight="1" thickTop="1">
      <c r="A153" s="363"/>
      <c r="B153" s="364"/>
      <c r="C153" s="365"/>
      <c r="D153" s="366"/>
      <c r="E153" s="94"/>
      <c r="F153" s="366"/>
      <c r="G153" s="367"/>
      <c r="H153" s="15"/>
      <c r="I153" s="380"/>
      <c r="J153" s="381"/>
      <c r="K153" s="339"/>
      <c r="L153" s="340"/>
      <c r="M153" s="340"/>
      <c r="N153" s="340"/>
      <c r="O153" s="340"/>
      <c r="P153" s="340"/>
      <c r="Q153" s="340"/>
      <c r="R153" s="340"/>
      <c r="S153" s="340"/>
      <c r="T153" s="340"/>
      <c r="U153" s="340"/>
      <c r="V153" s="382"/>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c r="B154" s="364"/>
      <c r="C154" s="365"/>
      <c r="D154" s="366"/>
      <c r="E154" s="94"/>
      <c r="F154" s="366"/>
      <c r="G154" s="367"/>
      <c r="H154" s="15"/>
      <c r="I154" s="380"/>
      <c r="J154" s="381"/>
      <c r="K154" s="339"/>
      <c r="L154" s="340"/>
      <c r="M154" s="340"/>
      <c r="N154" s="340"/>
      <c r="O154" s="340"/>
      <c r="P154" s="340"/>
      <c r="Q154" s="340"/>
      <c r="R154" s="340"/>
      <c r="S154" s="340"/>
      <c r="T154" s="340"/>
      <c r="U154" s="340"/>
      <c r="V154" s="382"/>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c r="B155" s="369"/>
      <c r="C155" s="370"/>
      <c r="D155" s="371"/>
      <c r="E155" s="102"/>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c r="B156" s="364"/>
      <c r="C156" s="365"/>
      <c r="D156" s="366"/>
      <c r="E156" s="94"/>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c r="B158" s="377"/>
      <c r="C158" s="377"/>
      <c r="D158" s="378"/>
      <c r="E158" s="378"/>
      <c r="F158" s="378"/>
      <c r="G158" s="15"/>
      <c r="H158" s="15"/>
      <c r="I158" s="15"/>
      <c r="J158" s="15"/>
      <c r="K158" s="103"/>
      <c r="L158" s="376"/>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c r="B159" s="364"/>
      <c r="C159" s="363"/>
      <c r="D159" s="375"/>
      <c r="E159" s="375"/>
      <c r="F159" s="375"/>
      <c r="G159" s="364"/>
      <c r="H159" s="15"/>
      <c r="J159" s="15"/>
      <c r="K159" s="15"/>
      <c r="L159" s="363"/>
      <c r="M159" s="364"/>
      <c r="N159" s="363"/>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c r="B160" s="364"/>
      <c r="C160" s="370"/>
      <c r="D160" s="371"/>
      <c r="E160" s="94"/>
      <c r="F160" s="366"/>
      <c r="G160" s="374"/>
      <c r="H160" s="15"/>
      <c r="I160" s="100"/>
      <c r="J160" s="15"/>
      <c r="K160" s="15"/>
      <c r="L160" s="363"/>
      <c r="M160" s="364"/>
      <c r="N160" s="370"/>
      <c r="O160" s="371"/>
      <c r="P160" s="94"/>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c r="B161" s="364"/>
      <c r="C161" s="365"/>
      <c r="D161" s="373"/>
      <c r="E161" s="94"/>
      <c r="F161" s="366"/>
      <c r="G161" s="374"/>
      <c r="H161" s="15"/>
      <c r="I161" s="100"/>
      <c r="J161" s="15"/>
      <c r="K161" s="15"/>
      <c r="L161" s="363"/>
      <c r="M161" s="364"/>
      <c r="N161" s="365"/>
      <c r="O161" s="373"/>
      <c r="P161" s="94"/>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c r="B162" s="364"/>
      <c r="C162" s="365"/>
      <c r="D162" s="373"/>
      <c r="E162" s="94"/>
      <c r="F162" s="366"/>
      <c r="G162" s="374"/>
      <c r="H162" s="15"/>
      <c r="I162" s="100"/>
      <c r="J162" s="15"/>
      <c r="K162" s="15"/>
      <c r="L162" s="363"/>
      <c r="M162" s="364"/>
      <c r="N162" s="365"/>
      <c r="O162" s="373"/>
      <c r="P162" s="94"/>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c r="B163" s="364"/>
      <c r="C163" s="365"/>
      <c r="D163" s="373"/>
      <c r="E163" s="94"/>
      <c r="F163" s="366"/>
      <c r="G163" s="374"/>
      <c r="H163" s="15"/>
      <c r="I163" s="100"/>
      <c r="J163" s="15"/>
      <c r="K163" s="15"/>
      <c r="L163" s="363"/>
      <c r="M163" s="364"/>
      <c r="N163" s="365"/>
      <c r="O163" s="373"/>
      <c r="P163" s="94"/>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c r="B164" s="364"/>
      <c r="C164" s="365"/>
      <c r="D164" s="373"/>
      <c r="E164" s="94"/>
      <c r="F164" s="366"/>
      <c r="G164" s="374"/>
      <c r="H164" s="15"/>
      <c r="I164" s="100"/>
      <c r="J164" s="15"/>
      <c r="K164" s="15"/>
      <c r="L164" s="363"/>
      <c r="M164" s="364"/>
      <c r="N164" s="365"/>
      <c r="O164" s="373"/>
      <c r="P164" s="94"/>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c r="B165" s="364"/>
      <c r="C165" s="365"/>
      <c r="D165" s="373"/>
      <c r="E165" s="94"/>
      <c r="F165" s="366"/>
      <c r="G165" s="374"/>
      <c r="H165" s="15"/>
      <c r="I165" s="100"/>
      <c r="J165" s="15"/>
      <c r="K165" s="15"/>
      <c r="L165" s="363"/>
      <c r="M165" s="364"/>
      <c r="N165" s="365"/>
      <c r="O165" s="373"/>
      <c r="P165" s="94"/>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c r="B166" s="364"/>
      <c r="C166" s="365"/>
      <c r="D166" s="373"/>
      <c r="E166" s="94"/>
      <c r="F166" s="366"/>
      <c r="G166" s="374"/>
      <c r="H166" s="15"/>
      <c r="I166" s="100"/>
      <c r="J166" s="15"/>
      <c r="K166" s="15"/>
      <c r="L166" s="363"/>
      <c r="M166" s="364"/>
      <c r="N166" s="365"/>
      <c r="O166" s="373"/>
      <c r="P166" s="94"/>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c r="B167" s="369"/>
      <c r="C167" s="370"/>
      <c r="D167" s="371"/>
      <c r="E167" s="102"/>
      <c r="F167" s="371"/>
      <c r="G167" s="372"/>
      <c r="H167" s="15"/>
      <c r="I167" s="15"/>
      <c r="J167" s="15"/>
      <c r="K167" s="103"/>
      <c r="L167" s="368"/>
      <c r="M167" s="369"/>
      <c r="N167" s="370"/>
      <c r="O167" s="371"/>
      <c r="P167" s="102"/>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c r="B168" s="364"/>
      <c r="C168" s="365"/>
      <c r="D168" s="366"/>
      <c r="E168" s="94"/>
      <c r="F168" s="366"/>
      <c r="G168" s="367"/>
      <c r="H168" s="15"/>
      <c r="I168" s="15"/>
      <c r="J168" s="15"/>
      <c r="K168" s="103"/>
      <c r="L168" s="363"/>
      <c r="M168" s="364"/>
      <c r="N168" s="365"/>
      <c r="O168" s="366"/>
      <c r="P168" s="94"/>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c r="B170" s="356"/>
      <c r="C170" s="356"/>
      <c r="D170" s="356"/>
      <c r="E170" s="356"/>
      <c r="F170" s="356"/>
      <c r="G170" s="356"/>
      <c r="H170" s="356"/>
      <c r="I170" s="356"/>
      <c r="J170" s="356"/>
      <c r="K170" s="356"/>
      <c r="L170" s="356"/>
      <c r="M170" s="356"/>
      <c r="N170" s="356"/>
      <c r="O170" s="356"/>
      <c r="P170" s="357"/>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c r="F171" s="350"/>
      <c r="G171" s="350"/>
      <c r="H171" s="350"/>
      <c r="I171" s="350"/>
      <c r="J171" s="350"/>
      <c r="K171" s="350"/>
      <c r="L171" s="350"/>
      <c r="M171" s="350"/>
      <c r="N171" s="350"/>
      <c r="O171" s="350"/>
      <c r="P171" s="349"/>
      <c r="Q171" s="350"/>
      <c r="R171" s="350"/>
      <c r="S171" s="351"/>
      <c r="T171" s="349"/>
      <c r="U171" s="358"/>
      <c r="V171" s="358"/>
      <c r="W171" s="359"/>
      <c r="X171" s="360"/>
      <c r="Y171" s="361"/>
      <c r="Z171" s="361"/>
      <c r="AA171" s="361"/>
      <c r="AB171" s="362"/>
      <c r="AC171" s="349"/>
      <c r="AD171" s="350"/>
      <c r="AE171" s="350"/>
      <c r="AF171" s="350"/>
      <c r="AG171" s="351"/>
      <c r="AH171" s="91"/>
      <c r="AI171" s="352"/>
      <c r="AJ171" s="352"/>
      <c r="AK171" s="20"/>
      <c r="AL171" s="20"/>
      <c r="AM171" s="20"/>
      <c r="AN171" s="20"/>
      <c r="AO171" s="20"/>
      <c r="AP171" s="20"/>
      <c r="AQ171" s="20"/>
      <c r="AR171" s="20"/>
      <c r="AS171" s="20"/>
      <c r="AT171" s="20"/>
      <c r="AU171" s="20"/>
      <c r="AV171" s="20"/>
    </row>
    <row r="172" spans="1:48" ht="18" customHeight="1">
      <c r="A172" s="108"/>
      <c r="B172" s="214"/>
      <c r="C172" s="109"/>
      <c r="D172" s="110"/>
      <c r="E172" s="339"/>
      <c r="F172" s="340"/>
      <c r="G172" s="340"/>
      <c r="H172" s="340"/>
      <c r="I172" s="340"/>
      <c r="J172" s="94"/>
      <c r="K172" s="340"/>
      <c r="L172" s="340"/>
      <c r="M172" s="340"/>
      <c r="N172" s="340"/>
      <c r="O172" s="341"/>
      <c r="P172" s="108"/>
      <c r="Q172" s="215"/>
      <c r="R172" s="112"/>
      <c r="S172" s="101"/>
      <c r="T172" s="113"/>
      <c r="U172" s="215"/>
      <c r="V172" s="112"/>
      <c r="W172" s="101"/>
      <c r="X172" s="353"/>
      <c r="Y172" s="354"/>
      <c r="Z172" s="354"/>
      <c r="AA172" s="114"/>
      <c r="AB172" s="107"/>
      <c r="AC172" s="344"/>
      <c r="AD172" s="345"/>
      <c r="AE172" s="345"/>
      <c r="AF172" s="324"/>
      <c r="AG172" s="325"/>
      <c r="AH172" s="346"/>
      <c r="AI172" s="347"/>
      <c r="AJ172" s="347"/>
      <c r="AK172" s="347"/>
      <c r="AL172" s="347"/>
      <c r="AM172" s="20"/>
      <c r="AN172" s="20"/>
      <c r="AO172" s="348"/>
      <c r="AP172" s="348"/>
      <c r="AQ172" s="348"/>
      <c r="AR172" s="20"/>
      <c r="AS172" s="20"/>
      <c r="AT172" s="20"/>
      <c r="AU172" s="20"/>
      <c r="AV172" s="20"/>
    </row>
    <row r="173" spans="1:48" ht="18" customHeight="1">
      <c r="A173" s="108"/>
      <c r="B173" s="214"/>
      <c r="C173" s="109"/>
      <c r="D173" s="110"/>
      <c r="E173" s="339"/>
      <c r="F173" s="340"/>
      <c r="G173" s="340"/>
      <c r="H173" s="340"/>
      <c r="I173" s="340"/>
      <c r="J173" s="94"/>
      <c r="K173" s="340"/>
      <c r="L173" s="340"/>
      <c r="M173" s="340"/>
      <c r="N173" s="340"/>
      <c r="O173" s="341"/>
      <c r="P173" s="108"/>
      <c r="Q173" s="215"/>
      <c r="R173" s="109"/>
      <c r="S173" s="101"/>
      <c r="T173" s="108"/>
      <c r="U173" s="215"/>
      <c r="V173" s="109"/>
      <c r="W173" s="101"/>
      <c r="X173" s="342"/>
      <c r="Y173" s="343"/>
      <c r="Z173" s="343"/>
      <c r="AA173" s="114"/>
      <c r="AB173" s="107"/>
      <c r="AC173" s="344"/>
      <c r="AD173" s="345"/>
      <c r="AE173" s="345"/>
      <c r="AF173" s="324"/>
      <c r="AG173" s="325"/>
      <c r="AH173" s="346"/>
      <c r="AI173" s="347"/>
      <c r="AJ173" s="347"/>
      <c r="AK173" s="347"/>
      <c r="AL173" s="347"/>
      <c r="AM173" s="20"/>
      <c r="AN173" s="20"/>
      <c r="AO173" s="20"/>
      <c r="AP173" s="20"/>
      <c r="AQ173" s="20"/>
      <c r="AR173" s="20"/>
      <c r="AS173" s="20"/>
      <c r="AT173" s="20"/>
      <c r="AU173" s="20"/>
      <c r="AV173" s="20"/>
    </row>
    <row r="174" spans="1:48" ht="18" customHeight="1">
      <c r="A174" s="108"/>
      <c r="B174" s="214"/>
      <c r="C174" s="109"/>
      <c r="D174" s="110"/>
      <c r="E174" s="339"/>
      <c r="F174" s="340"/>
      <c r="G174" s="340"/>
      <c r="H174" s="340"/>
      <c r="I174" s="340"/>
      <c r="J174" s="94"/>
      <c r="K174" s="340"/>
      <c r="L174" s="340"/>
      <c r="M174" s="340"/>
      <c r="N174" s="340"/>
      <c r="O174" s="341"/>
      <c r="P174" s="108"/>
      <c r="Q174" s="215"/>
      <c r="R174" s="109"/>
      <c r="S174" s="101"/>
      <c r="T174" s="108"/>
      <c r="U174" s="215"/>
      <c r="V174" s="109"/>
      <c r="W174" s="101"/>
      <c r="X174" s="342"/>
      <c r="Y174" s="343"/>
      <c r="Z174" s="343"/>
      <c r="AA174" s="114"/>
      <c r="AB174" s="107"/>
      <c r="AC174" s="344"/>
      <c r="AD174" s="345"/>
      <c r="AE174" s="345"/>
      <c r="AF174" s="324"/>
      <c r="AG174" s="325"/>
      <c r="AH174" s="346"/>
      <c r="AI174" s="347"/>
      <c r="AJ174" s="347"/>
      <c r="AK174" s="347"/>
      <c r="AL174" s="347"/>
      <c r="AM174" s="26"/>
      <c r="AN174" s="20"/>
      <c r="AO174" s="20"/>
      <c r="AP174" s="20"/>
      <c r="AQ174" s="20"/>
      <c r="AR174" s="20"/>
      <c r="AS174" s="20"/>
      <c r="AT174" s="20"/>
      <c r="AU174" s="20"/>
      <c r="AV174" s="20"/>
    </row>
    <row r="175" spans="1:48" ht="18" customHeight="1">
      <c r="A175" s="108"/>
      <c r="B175" s="214"/>
      <c r="C175" s="109"/>
      <c r="D175" s="110"/>
      <c r="E175" s="339"/>
      <c r="F175" s="340"/>
      <c r="G175" s="340"/>
      <c r="H175" s="340"/>
      <c r="I175" s="340"/>
      <c r="J175" s="94"/>
      <c r="K175" s="340"/>
      <c r="L175" s="340"/>
      <c r="M175" s="340"/>
      <c r="N175" s="340"/>
      <c r="O175" s="341"/>
      <c r="P175" s="108"/>
      <c r="Q175" s="215"/>
      <c r="R175" s="109"/>
      <c r="S175" s="101"/>
      <c r="T175" s="108"/>
      <c r="U175" s="215"/>
      <c r="V175" s="109"/>
      <c r="W175" s="101"/>
      <c r="X175" s="342"/>
      <c r="Y175" s="343"/>
      <c r="Z175" s="343"/>
      <c r="AA175" s="114"/>
      <c r="AB175" s="107"/>
      <c r="AC175" s="344"/>
      <c r="AD175" s="345"/>
      <c r="AE175" s="345"/>
      <c r="AF175" s="324"/>
      <c r="AG175" s="325"/>
      <c r="AH175" s="346"/>
      <c r="AI175" s="347"/>
      <c r="AJ175" s="347"/>
      <c r="AK175" s="347"/>
      <c r="AL175" s="347"/>
      <c r="AM175" s="26"/>
      <c r="AN175" s="20"/>
      <c r="AO175" s="20"/>
      <c r="AP175" s="20"/>
      <c r="AQ175" s="20"/>
      <c r="AR175" s="20"/>
      <c r="AS175" s="20"/>
      <c r="AT175" s="20"/>
      <c r="AU175" s="20"/>
      <c r="AV175" s="20"/>
    </row>
    <row r="176" spans="1:48" ht="18" customHeight="1">
      <c r="A176" s="108"/>
      <c r="B176" s="214"/>
      <c r="C176" s="109"/>
      <c r="D176" s="110"/>
      <c r="E176" s="339"/>
      <c r="F176" s="340"/>
      <c r="G176" s="340"/>
      <c r="H176" s="340"/>
      <c r="I176" s="340"/>
      <c r="J176" s="94"/>
      <c r="K176" s="340"/>
      <c r="L176" s="340"/>
      <c r="M176" s="340"/>
      <c r="N176" s="340"/>
      <c r="O176" s="341"/>
      <c r="P176" s="108"/>
      <c r="Q176" s="215"/>
      <c r="R176" s="109"/>
      <c r="S176" s="101"/>
      <c r="T176" s="108"/>
      <c r="U176" s="215"/>
      <c r="V176" s="109"/>
      <c r="W176" s="101"/>
      <c r="X176" s="342"/>
      <c r="Y176" s="343"/>
      <c r="Z176" s="343"/>
      <c r="AA176" s="114"/>
      <c r="AB176" s="107"/>
      <c r="AC176" s="344"/>
      <c r="AD176" s="345"/>
      <c r="AE176" s="345"/>
      <c r="AF176" s="324"/>
      <c r="AG176" s="325"/>
      <c r="AH176" s="346"/>
      <c r="AI176" s="347"/>
      <c r="AJ176" s="347"/>
      <c r="AK176" s="347"/>
      <c r="AL176" s="347"/>
      <c r="AM176" s="26"/>
      <c r="AN176" s="20"/>
      <c r="AO176" s="20"/>
      <c r="AP176" s="20"/>
      <c r="AQ176" s="20"/>
      <c r="AR176" s="20"/>
      <c r="AS176" s="20"/>
      <c r="AT176" s="20"/>
      <c r="AU176" s="20"/>
      <c r="AV176" s="20"/>
    </row>
    <row r="177" spans="1:48" ht="18" customHeight="1">
      <c r="A177" s="108"/>
      <c r="B177" s="214"/>
      <c r="C177" s="109"/>
      <c r="D177" s="110"/>
      <c r="E177" s="339"/>
      <c r="F177" s="340"/>
      <c r="G177" s="340"/>
      <c r="H177" s="340"/>
      <c r="I177" s="340"/>
      <c r="J177" s="94"/>
      <c r="K177" s="340"/>
      <c r="L177" s="340"/>
      <c r="M177" s="340"/>
      <c r="N177" s="340"/>
      <c r="O177" s="341"/>
      <c r="P177" s="108"/>
      <c r="Q177" s="215"/>
      <c r="R177" s="109"/>
      <c r="S177" s="101"/>
      <c r="T177" s="108"/>
      <c r="U177" s="215"/>
      <c r="V177" s="109"/>
      <c r="W177" s="101"/>
      <c r="X177" s="342"/>
      <c r="Y177" s="343"/>
      <c r="Z177" s="343"/>
      <c r="AA177" s="114"/>
      <c r="AB177" s="107"/>
      <c r="AC177" s="344"/>
      <c r="AD177" s="345"/>
      <c r="AE177" s="345"/>
      <c r="AF177" s="324"/>
      <c r="AG177" s="325"/>
      <c r="AH177" s="346"/>
      <c r="AI177" s="347"/>
      <c r="AJ177" s="347"/>
      <c r="AK177" s="347"/>
      <c r="AL177" s="347"/>
      <c r="AM177" s="26"/>
      <c r="AN177" s="20"/>
      <c r="AO177" s="20"/>
      <c r="AP177" s="20"/>
      <c r="AQ177" s="20"/>
      <c r="AR177" s="20"/>
      <c r="AS177" s="20"/>
      <c r="AT177" s="20"/>
      <c r="AU177" s="20"/>
      <c r="AV177" s="20"/>
    </row>
    <row r="178" spans="1:48" ht="18" customHeight="1">
      <c r="A178" s="329"/>
      <c r="B178" s="329"/>
      <c r="C178" s="329"/>
      <c r="D178" s="329"/>
      <c r="E178" s="330"/>
      <c r="F178" s="331"/>
      <c r="G178" s="331"/>
      <c r="H178" s="331"/>
      <c r="I178" s="331"/>
      <c r="J178" s="331"/>
      <c r="K178" s="331"/>
      <c r="L178" s="331"/>
      <c r="M178" s="331"/>
      <c r="N178" s="331"/>
      <c r="O178" s="332"/>
      <c r="P178" s="333"/>
      <c r="Q178" s="334"/>
      <c r="R178" s="111"/>
      <c r="S178" s="115"/>
      <c r="T178" s="333"/>
      <c r="U178" s="335"/>
      <c r="V178" s="109"/>
      <c r="W178" s="101"/>
      <c r="X178" s="336"/>
      <c r="Y178" s="337"/>
      <c r="Z178" s="337"/>
      <c r="AA178" s="114"/>
      <c r="AB178" s="107"/>
      <c r="AC178" s="333"/>
      <c r="AD178" s="338"/>
      <c r="AE178" s="338"/>
      <c r="AF178" s="324"/>
      <c r="AG178" s="325"/>
      <c r="AH178" s="216"/>
      <c r="AI178" s="326"/>
      <c r="AJ178" s="326"/>
      <c r="AK178" s="326"/>
      <c r="AL178" s="326"/>
      <c r="AM178" s="116"/>
      <c r="AN178" s="20"/>
      <c r="AO178" s="20"/>
      <c r="AP178" s="20"/>
      <c r="AQ178" s="20"/>
      <c r="AR178" s="20"/>
      <c r="AS178" s="20"/>
      <c r="AT178" s="20"/>
      <c r="AU178" s="20"/>
      <c r="AV178" s="20"/>
    </row>
    <row r="179" spans="1:48">
      <c r="A179" s="117"/>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2.9" customHeight="1">
      <c r="AH181" s="100"/>
    </row>
    <row r="182" spans="1:48" ht="12.9" customHeight="1">
      <c r="AH182" s="100"/>
    </row>
    <row r="183" spans="1:48" ht="12.9" customHeight="1">
      <c r="X183" s="121"/>
      <c r="AH183" s="100"/>
    </row>
    <row r="184" spans="1:48" ht="30" hidden="1" customHeight="1">
      <c r="V184" s="217"/>
      <c r="X184" s="218"/>
      <c r="AC184" s="218"/>
      <c r="AH184" s="219"/>
    </row>
    <row r="185" spans="1:48" ht="30" hidden="1" customHeight="1">
      <c r="V185" s="217"/>
      <c r="X185" s="218"/>
      <c r="AC185" s="218"/>
      <c r="AH185" s="219"/>
    </row>
    <row r="186" spans="1:48" ht="30" hidden="1" customHeight="1">
      <c r="V186" s="217"/>
      <c r="X186" s="218"/>
      <c r="AC186" s="218"/>
      <c r="AH186" s="220"/>
    </row>
    <row r="187" spans="1:48" ht="30" hidden="1" customHeight="1"/>
    <row r="188" spans="1:48" ht="30" hidden="1" customHeight="1">
      <c r="X188" s="328"/>
      <c r="Y188" s="328"/>
      <c r="AH188" s="221"/>
    </row>
    <row r="189" spans="1:48" ht="30" hidden="1" customHeight="1">
      <c r="AH189" s="222"/>
      <c r="AK189" s="328"/>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345" priority="20">
      <formula>LEN(TRIM(C160))=0</formula>
    </cfRule>
  </conditionalFormatting>
  <conditionalFormatting sqref="AG116:AG135">
    <cfRule type="expression" dxfId="344" priority="53">
      <formula>WORKDAY(AG$116+1,-1,祝祭日)&lt;&gt;AG$116</formula>
    </cfRule>
  </conditionalFormatting>
  <conditionalFormatting sqref="AG131">
    <cfRule type="expression" dxfId="343" priority="63">
      <formula>+$AH$131&lt;&gt;""</formula>
    </cfRule>
  </conditionalFormatting>
  <conditionalFormatting sqref="D158:E158">
    <cfRule type="containsBlanks" dxfId="342" priority="47">
      <formula>LEN(TRIM(D158))=0</formula>
    </cfRule>
  </conditionalFormatting>
  <conditionalFormatting sqref="D139:F140">
    <cfRule type="cellIs" dxfId="341" priority="46" operator="equal">
      <formula>""</formula>
    </cfRule>
  </conditionalFormatting>
  <conditionalFormatting sqref="F148:F154 C149:C154">
    <cfRule type="cellIs" dxfId="340" priority="57" stopIfTrue="1" operator="equal">
      <formula>""</formula>
    </cfRule>
  </conditionalFormatting>
  <conditionalFormatting sqref="F154">
    <cfRule type="cellIs" dxfId="339" priority="56" operator="greaterThan">
      <formula>0.917</formula>
    </cfRule>
  </conditionalFormatting>
  <conditionalFormatting sqref="F155:F156 C155:C156">
    <cfRule type="containsBlanks" dxfId="338" priority="23">
      <formula>LEN(TRIM(C155))=0</formula>
    </cfRule>
  </conditionalFormatting>
  <conditionalFormatting sqref="F153:G153">
    <cfRule type="cellIs" dxfId="337" priority="15" operator="greaterThan">
      <formula>0.917</formula>
    </cfRule>
  </conditionalFormatting>
  <conditionalFormatting sqref="F156:G156">
    <cfRule type="cellIs" dxfId="336" priority="18" operator="greaterThan">
      <formula>0.917</formula>
    </cfRule>
  </conditionalFormatting>
  <conditionalFormatting sqref="F160:G168 C161:D168">
    <cfRule type="containsBlanks" dxfId="335" priority="51">
      <formula>LEN(TRIM(C160))=0</formula>
    </cfRule>
  </conditionalFormatting>
  <conditionalFormatting sqref="F166:G166">
    <cfRule type="cellIs" dxfId="334" priority="17" operator="greaterThan">
      <formula>0.917</formula>
    </cfRule>
  </conditionalFormatting>
  <conditionalFormatting sqref="F168:G168">
    <cfRule type="cellIs" dxfId="333" priority="50" operator="greaterThan">
      <formula>0.917</formula>
    </cfRule>
  </conditionalFormatting>
  <conditionalFormatting sqref="K1">
    <cfRule type="expression" dxfId="332" priority="44">
      <formula>$K$1&lt;&gt;""</formula>
    </cfRule>
  </conditionalFormatting>
  <conditionalFormatting sqref="K140:O145 Q140:AG145">
    <cfRule type="containsBlanks" dxfId="331" priority="22">
      <formula>LEN(TRIM(K140))=0</formula>
    </cfRule>
  </conditionalFormatting>
  <conditionalFormatting sqref="N160">
    <cfRule type="containsBlanks" dxfId="330" priority="19">
      <formula>LEN(TRIM(N160))=0</formula>
    </cfRule>
  </conditionalFormatting>
  <conditionalFormatting sqref="O158:P158">
    <cfRule type="containsBlanks" dxfId="329" priority="21">
      <formula>LEN(TRIM(O158))=0</formula>
    </cfRule>
  </conditionalFormatting>
  <conditionalFormatting sqref="P170:W170">
    <cfRule type="expression" dxfId="328" priority="64">
      <formula>AND(訓練種別コード="001",AI21+AI44+AI66+AI88+#REF!+#REF!&gt;0)</formula>
    </cfRule>
  </conditionalFormatting>
  <conditionalFormatting sqref="Q172:Q177">
    <cfRule type="cellIs" dxfId="327" priority="55" stopIfTrue="1" operator="lessThan">
      <formula>28</formula>
    </cfRule>
  </conditionalFormatting>
  <conditionalFormatting sqref="Q160:R168 N161:O168">
    <cfRule type="containsBlanks" dxfId="326" priority="49">
      <formula>LEN(TRIM(N160))=0</formula>
    </cfRule>
  </conditionalFormatting>
  <conditionalFormatting sqref="Q166:R166">
    <cfRule type="cellIs" dxfId="325" priority="48" operator="greaterThan">
      <formula>0.917</formula>
    </cfRule>
  </conditionalFormatting>
  <conditionalFormatting sqref="Q168:R168">
    <cfRule type="cellIs" dxfId="324" priority="16" operator="greaterThan">
      <formula>0.917</formula>
    </cfRule>
  </conditionalFormatting>
  <conditionalFormatting sqref="X171:AB171 X172 AA172:AB172 X173:AB178">
    <cfRule type="expression" dxfId="323" priority="45">
      <formula>$X$171=""</formula>
    </cfRule>
  </conditionalFormatting>
  <conditionalFormatting sqref="AC178:AE178">
    <cfRule type="expression" dxfId="322" priority="24">
      <formula>AND(NOT(VALUE(訓練総時間)=訓練時間合計),NOT(VALUE(訓練総時間)=IF(様6_訓練時間合計="",0,様6_訓練時間合計)))</formula>
    </cfRule>
  </conditionalFormatting>
  <conditionalFormatting sqref="AH89:AI89">
    <cfRule type="expression" dxfId="321" priority="36">
      <formula>$AI89=""</formula>
    </cfRule>
  </conditionalFormatting>
  <conditionalFormatting sqref="AH111:AI111">
    <cfRule type="expression" dxfId="320" priority="35">
      <formula>$AI111=""</formula>
    </cfRule>
  </conditionalFormatting>
  <conditionalFormatting sqref="AH22:AJ23">
    <cfRule type="expression" dxfId="319" priority="40">
      <formula>$AI22=""</formula>
    </cfRule>
  </conditionalFormatting>
  <conditionalFormatting sqref="AH45:AJ46">
    <cfRule type="expression" dxfId="318" priority="39">
      <formula>$AI45=""</formula>
    </cfRule>
  </conditionalFormatting>
  <conditionalFormatting sqref="AH67:AJ68">
    <cfRule type="expression" dxfId="317" priority="38">
      <formula>$AI67=""</formula>
    </cfRule>
  </conditionalFormatting>
  <conditionalFormatting sqref="AH90:AJ90">
    <cfRule type="expression" dxfId="316" priority="37">
      <formula>$AI90=""</formula>
    </cfRule>
  </conditionalFormatting>
  <conditionalFormatting sqref="AH110:AJ110">
    <cfRule type="expression" dxfId="315" priority="34">
      <formula>$AI110=""</formula>
    </cfRule>
  </conditionalFormatting>
  <conditionalFormatting sqref="AH131:AJ132">
    <cfRule type="expression" dxfId="314" priority="33">
      <formula>$AI131=""</formula>
    </cfRule>
  </conditionalFormatting>
  <conditionalFormatting sqref="AH178:AL178">
    <cfRule type="expression" dxfId="313" priority="26">
      <formula>$AH$178=""</formula>
    </cfRule>
  </conditionalFormatting>
  <conditionalFormatting sqref="AI27:AL27">
    <cfRule type="expression" dxfId="312" priority="32">
      <formula>$C6=""</formula>
    </cfRule>
  </conditionalFormatting>
  <conditionalFormatting sqref="AI49:AL49">
    <cfRule type="expression" dxfId="311" priority="31">
      <formula>$C29=""</formula>
    </cfRule>
  </conditionalFormatting>
  <conditionalFormatting sqref="AI71:AL71">
    <cfRule type="expression" dxfId="310" priority="30">
      <formula>$C51=""</formula>
    </cfRule>
  </conditionalFormatting>
  <conditionalFormatting sqref="AI93:AL93">
    <cfRule type="expression" dxfId="309" priority="29">
      <formula>$C73=""</formula>
    </cfRule>
  </conditionalFormatting>
  <conditionalFormatting sqref="AI114:AL114">
    <cfRule type="expression" dxfId="308" priority="28">
      <formula>$C$95=""</formula>
    </cfRule>
  </conditionalFormatting>
  <conditionalFormatting sqref="AI135:AL135">
    <cfRule type="expression" dxfId="307" priority="27">
      <formula>$C$116=""</formula>
    </cfRule>
  </conditionalFormatting>
  <conditionalFormatting sqref="AK189:AL189">
    <cfRule type="expression" dxfId="306" priority="25">
      <formula>AND(NOT(VALUE(訓練総時間)=訓練時間合計),NOT(VALUE(訓練総時間)=IF(様6_訓練時間合計="",0,様6_訓練時間合計)))</formula>
    </cfRule>
  </conditionalFormatting>
  <conditionalFormatting sqref="C6:AG27">
    <cfRule type="expression" dxfId="305" priority="12">
      <formula>WORKDAY(C$6+1,-1,祝祭日)&lt;&gt;C$6</formula>
    </cfRule>
  </conditionalFormatting>
  <conditionalFormatting sqref="C22:AG22">
    <cfRule type="expression" dxfId="304" priority="13">
      <formula>$AH$22&lt;&gt;""</formula>
    </cfRule>
  </conditionalFormatting>
  <conditionalFormatting sqref="C29:AG31 C32:AA43 AC32:AG43 C44:AG49">
    <cfRule type="expression" dxfId="303" priority="10">
      <formula>WORKDAY(C$29+1,-1,祝祭日)&lt;&gt;C$29</formula>
    </cfRule>
  </conditionalFormatting>
  <conditionalFormatting sqref="C45:AG45">
    <cfRule type="expression" dxfId="302" priority="11">
      <formula>+$AH$45&lt;&gt;""</formula>
    </cfRule>
  </conditionalFormatting>
  <conditionalFormatting sqref="AB32:AB43">
    <cfRule type="expression" dxfId="301" priority="9">
      <formula>WORKDAY(AB$51+1,-1,祝祭日)&lt;&gt;AB$51</formula>
    </cfRule>
  </conditionalFormatting>
  <conditionalFormatting sqref="C51:AG71">
    <cfRule type="expression" dxfId="300" priority="7">
      <formula>WORKDAY(C$51+1,-1,祝祭日)&lt;&gt;C$51</formula>
    </cfRule>
  </conditionalFormatting>
  <conditionalFormatting sqref="C67:AG67">
    <cfRule type="expression" dxfId="299" priority="8">
      <formula>+$AH$67&lt;&gt;""</formula>
    </cfRule>
  </conditionalFormatting>
  <conditionalFormatting sqref="C73:AG93">
    <cfRule type="expression" dxfId="298" priority="5">
      <formula>WORKDAY(C$73+1,-1,祝祭日)&lt;&gt;C$73</formula>
    </cfRule>
  </conditionalFormatting>
  <conditionalFormatting sqref="C89:AG89">
    <cfRule type="expression" dxfId="297" priority="6">
      <formula>+$AH$89&lt;&gt;""</formula>
    </cfRule>
  </conditionalFormatting>
  <conditionalFormatting sqref="C95:AG114">
    <cfRule type="expression" dxfId="296" priority="3">
      <formula>WORKDAY(C$95+1,-1,祝祭日)&lt;&gt;C$95</formula>
    </cfRule>
  </conditionalFormatting>
  <conditionalFormatting sqref="C110:AG110">
    <cfRule type="expression" dxfId="295" priority="4">
      <formula>+$AH$110&lt;&gt;""</formula>
    </cfRule>
  </conditionalFormatting>
  <conditionalFormatting sqref="C116:AF135">
    <cfRule type="expression" dxfId="294" priority="1">
      <formula>WORKDAY(C$116+1,-1,祝祭日)&lt;&gt;C$116</formula>
    </cfRule>
  </conditionalFormatting>
  <conditionalFormatting sqref="C131:AF131">
    <cfRule type="expression" dxfId="293" priority="2">
      <formula>+$AH$131&lt;&gt;""</formula>
    </cfRule>
  </conditionalFormatting>
  <dataValidations count="5">
    <dataValidation type="list" imeMode="hiragana" allowBlank="1" showInputMessage="1" showErrorMessage="1" sqref="C66:AG66 C21:AG21 C44:AG44 C88:AG88" xr:uid="{42FA969D-77B5-441F-8580-8B15AB5BA2B3}">
      <formula1>"○"</formula1>
    </dataValidation>
    <dataValidation type="whole" imeMode="off" allowBlank="1" showInputMessage="1" showErrorMessage="1" sqref="C47:AG49 C24:AG27 C112:AG114 C69:AG71 C91:AG93 C133:AG135" xr:uid="{D6E35C1D-710D-4146-AC44-2CE576085AF8}">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B6200479-DEA6-4168-AF26-1D8A926462E3}"/>
    <dataValidation type="list" allowBlank="1" showInputMessage="1" showErrorMessage="1" sqref="C67:AG67 C22:AG22 C89:AG89 C110:AG110 C45:AG45 C131:AG131" xr:uid="{8F24DE81-2809-44C9-9F90-9BA34CC9C0A5}">
      <formula1>"○,◎"</formula1>
    </dataValidation>
    <dataValidation imeMode="hiragana" allowBlank="1" showInputMessage="1" showErrorMessage="1" sqref="C75:AG87 C97:AG109 C53:AG65 C31:AG43 C8:AG20 V140:AG145 C118:AG130" xr:uid="{107CBF30-0203-4732-B688-C43537F84FE0}"/>
  </dataValidations>
  <printOptions horizontalCentered="1"/>
  <pageMargins left="0.6692913385826772" right="0.19685039370078741"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577537" r:id="rId4" name="来所日選択">
              <controlPr defaultSize="0" print="0" autoLine="0" autoPict="0">
                <anchor moveWithCells="1">
                  <from>
                    <xdr:col>4</xdr:col>
                    <xdr:colOff>312420</xdr:colOff>
                    <xdr:row>0</xdr:row>
                    <xdr:rowOff>182880</xdr:rowOff>
                  </from>
                  <to>
                    <xdr:col>8</xdr:col>
                    <xdr:colOff>312420</xdr:colOff>
                    <xdr:row>1</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CEEC3-B2FD-430E-B32B-C04A66931BB0}">
  <sheetPr codeName="Sheet15"/>
  <dimension ref="A1:BQ248"/>
  <sheetViews>
    <sheetView zoomScale="85" zoomScaleNormal="85" zoomScaleSheetLayoutView="80" workbookViewId="0">
      <selection activeCell="Q119" sqref="Q119:Q130"/>
    </sheetView>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IF(OR(訓練月数=0,訓練月数=""),"訓練期間が入力されていません！！",IF(訓練月数=1,IF(訓練終了日&lt;=INDIRECT("開講スケジュール!D"&amp;[5]開講スケジュール!$D$2+1),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ここから始める！グラフィック・広告クリエイト科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46014</v>
      </c>
      <c r="D6" s="33">
        <f>IF(C6="","",C6+1)</f>
        <v>46015</v>
      </c>
      <c r="E6" s="33">
        <f t="shared" ref="E6:P6" si="1">IF(D6="","",D6+1)</f>
        <v>46016</v>
      </c>
      <c r="F6" s="33">
        <f t="shared" si="1"/>
        <v>46017</v>
      </c>
      <c r="G6" s="33">
        <f t="shared" si="1"/>
        <v>46018</v>
      </c>
      <c r="H6" s="33">
        <f t="shared" si="1"/>
        <v>46019</v>
      </c>
      <c r="I6" s="33">
        <f t="shared" si="1"/>
        <v>46020</v>
      </c>
      <c r="J6" s="33">
        <f t="shared" si="1"/>
        <v>46021</v>
      </c>
      <c r="K6" s="33">
        <f t="shared" si="1"/>
        <v>46022</v>
      </c>
      <c r="L6" s="33">
        <f t="shared" si="1"/>
        <v>46023</v>
      </c>
      <c r="M6" s="33">
        <f t="shared" si="1"/>
        <v>46024</v>
      </c>
      <c r="N6" s="33">
        <f t="shared" si="1"/>
        <v>46025</v>
      </c>
      <c r="O6" s="33">
        <f t="shared" si="1"/>
        <v>46026</v>
      </c>
      <c r="P6" s="33">
        <f t="shared" si="1"/>
        <v>46027</v>
      </c>
      <c r="Q6" s="33">
        <f t="shared" ref="Q6:AB6" si="2">IF(P6="","",IF(P6+1&gt;訓練終了日,"",P6+1))</f>
        <v>46028</v>
      </c>
      <c r="R6" s="33">
        <f t="shared" si="2"/>
        <v>46029</v>
      </c>
      <c r="S6" s="33">
        <f t="shared" si="2"/>
        <v>46030</v>
      </c>
      <c r="T6" s="33">
        <f t="shared" si="2"/>
        <v>46031</v>
      </c>
      <c r="U6" s="33">
        <f t="shared" si="2"/>
        <v>46032</v>
      </c>
      <c r="V6" s="33">
        <f t="shared" si="2"/>
        <v>46033</v>
      </c>
      <c r="W6" s="33">
        <f t="shared" si="2"/>
        <v>46034</v>
      </c>
      <c r="X6" s="33">
        <f t="shared" si="2"/>
        <v>46035</v>
      </c>
      <c r="Y6" s="33">
        <f t="shared" si="2"/>
        <v>46036</v>
      </c>
      <c r="Z6" s="33">
        <f t="shared" si="2"/>
        <v>46037</v>
      </c>
      <c r="AA6" s="33">
        <f t="shared" si="2"/>
        <v>46038</v>
      </c>
      <c r="AB6" s="33">
        <f t="shared" si="2"/>
        <v>46039</v>
      </c>
      <c r="AC6" s="33">
        <f>IF(AB6="","",IF(AB6+1&gt;訓練終了日,"",IF(AB6+1&gt;=EDATE(C6,1),"",AB6+1)))</f>
        <v>46040</v>
      </c>
      <c r="AD6" s="33">
        <f>IF(AC6="","",IF(AC6+1&gt;訓練終了日,"",IF(AC6+1&gt;=EDATE(C6,1),"",AC6+1)))</f>
        <v>46041</v>
      </c>
      <c r="AE6" s="33">
        <f>IF(AD6="","",IF(AD6+1&gt;訓練終了日,"",IF(AD6+1&gt;=EDATE(C6,1),"",AD6+1)))</f>
        <v>46042</v>
      </c>
      <c r="AF6" s="33">
        <f>IF(AE6="","",IF(AE6+1&gt;訓練終了日,"",IF(AE6+1&gt;=EDATE(C6,1),"",AE6+1)))</f>
        <v>46043</v>
      </c>
      <c r="AG6" s="33">
        <f>IF(AF6="","",IF(AF6+1&gt;訓練終了日,"",IF(AF6+1&gt;=EDATE(C6,1),"",AF6+1)))</f>
        <v>46044</v>
      </c>
      <c r="AH6" s="19"/>
      <c r="AI6" s="20"/>
      <c r="AJ6" s="20"/>
      <c r="AK6" s="20"/>
      <c r="AL6" s="20"/>
      <c r="AM6" s="20"/>
      <c r="AN6" s="20"/>
      <c r="AO6" s="34"/>
      <c r="AP6" s="20"/>
      <c r="AQ6" s="20"/>
      <c r="AR6" s="20"/>
      <c r="AS6" s="20"/>
      <c r="AT6" s="20"/>
      <c r="AU6" s="20"/>
      <c r="AV6" s="20"/>
    </row>
    <row r="7" spans="1:69" ht="18" customHeight="1">
      <c r="A7" s="35"/>
      <c r="B7" s="31" t="s">
        <v>52</v>
      </c>
      <c r="C7" s="36">
        <f t="shared" ref="C7:AG8" si="3">+C6</f>
        <v>46014</v>
      </c>
      <c r="D7" s="37">
        <f t="shared" si="3"/>
        <v>46015</v>
      </c>
      <c r="E7" s="37">
        <f t="shared" si="3"/>
        <v>46016</v>
      </c>
      <c r="F7" s="37">
        <f t="shared" si="3"/>
        <v>46017</v>
      </c>
      <c r="G7" s="37">
        <f t="shared" si="3"/>
        <v>46018</v>
      </c>
      <c r="H7" s="37">
        <f t="shared" si="3"/>
        <v>46019</v>
      </c>
      <c r="I7" s="37">
        <f t="shared" si="3"/>
        <v>46020</v>
      </c>
      <c r="J7" s="37">
        <f t="shared" si="3"/>
        <v>46021</v>
      </c>
      <c r="K7" s="37">
        <f t="shared" si="3"/>
        <v>46022</v>
      </c>
      <c r="L7" s="37">
        <f t="shared" si="3"/>
        <v>46023</v>
      </c>
      <c r="M7" s="37">
        <f t="shared" si="3"/>
        <v>46024</v>
      </c>
      <c r="N7" s="37">
        <f t="shared" si="3"/>
        <v>46025</v>
      </c>
      <c r="O7" s="37">
        <f t="shared" si="3"/>
        <v>46026</v>
      </c>
      <c r="P7" s="37">
        <f t="shared" si="3"/>
        <v>46027</v>
      </c>
      <c r="Q7" s="37">
        <f t="shared" si="3"/>
        <v>46028</v>
      </c>
      <c r="R7" s="37">
        <f t="shared" si="3"/>
        <v>46029</v>
      </c>
      <c r="S7" s="37">
        <f t="shared" si="3"/>
        <v>46030</v>
      </c>
      <c r="T7" s="37">
        <f t="shared" si="3"/>
        <v>46031</v>
      </c>
      <c r="U7" s="37">
        <f t="shared" si="3"/>
        <v>46032</v>
      </c>
      <c r="V7" s="37">
        <f t="shared" si="3"/>
        <v>46033</v>
      </c>
      <c r="W7" s="37">
        <f t="shared" si="3"/>
        <v>46034</v>
      </c>
      <c r="X7" s="37">
        <f t="shared" si="3"/>
        <v>46035</v>
      </c>
      <c r="Y7" s="37">
        <f t="shared" si="3"/>
        <v>46036</v>
      </c>
      <c r="Z7" s="37">
        <f t="shared" si="3"/>
        <v>46037</v>
      </c>
      <c r="AA7" s="37">
        <f t="shared" si="3"/>
        <v>46038</v>
      </c>
      <c r="AB7" s="37">
        <f t="shared" si="3"/>
        <v>46039</v>
      </c>
      <c r="AC7" s="37">
        <f t="shared" si="3"/>
        <v>46040</v>
      </c>
      <c r="AD7" s="37">
        <f t="shared" si="3"/>
        <v>46041</v>
      </c>
      <c r="AE7" s="37">
        <f t="shared" si="3"/>
        <v>46042</v>
      </c>
      <c r="AF7" s="37">
        <f t="shared" si="3"/>
        <v>46043</v>
      </c>
      <c r="AG7" s="38">
        <f t="shared" si="3"/>
        <v>46044</v>
      </c>
      <c r="AH7" s="19"/>
      <c r="AI7" s="20"/>
      <c r="AJ7" s="20"/>
      <c r="AK7" s="20"/>
      <c r="AL7" s="20"/>
      <c r="AM7" s="20"/>
      <c r="AN7" s="20"/>
      <c r="AO7" s="34"/>
      <c r="AP7" s="20"/>
      <c r="AQ7" s="20"/>
      <c r="AR7" s="20"/>
      <c r="AS7" s="20"/>
      <c r="AT7" s="20"/>
      <c r="AU7" s="20"/>
      <c r="AV7" s="20"/>
    </row>
    <row r="8" spans="1:69" ht="18" customHeight="1">
      <c r="A8" s="35"/>
      <c r="B8" s="31" t="s">
        <v>53</v>
      </c>
      <c r="C8" s="39">
        <f t="shared" si="3"/>
        <v>46014</v>
      </c>
      <c r="D8" s="39">
        <f t="shared" si="3"/>
        <v>46015</v>
      </c>
      <c r="E8" s="39">
        <f t="shared" si="3"/>
        <v>46016</v>
      </c>
      <c r="F8" s="39">
        <f t="shared" si="3"/>
        <v>46017</v>
      </c>
      <c r="G8" s="39">
        <f t="shared" si="3"/>
        <v>46018</v>
      </c>
      <c r="H8" s="39">
        <f t="shared" si="3"/>
        <v>46019</v>
      </c>
      <c r="I8" s="39">
        <f t="shared" si="3"/>
        <v>46020</v>
      </c>
      <c r="J8" s="39">
        <f t="shared" si="3"/>
        <v>46021</v>
      </c>
      <c r="K8" s="39">
        <f t="shared" si="3"/>
        <v>46022</v>
      </c>
      <c r="L8" s="39">
        <f t="shared" si="3"/>
        <v>46023</v>
      </c>
      <c r="M8" s="39">
        <f t="shared" si="3"/>
        <v>46024</v>
      </c>
      <c r="N8" s="39">
        <f t="shared" si="3"/>
        <v>46025</v>
      </c>
      <c r="O8" s="39">
        <f t="shared" si="3"/>
        <v>46026</v>
      </c>
      <c r="P8" s="39">
        <f t="shared" si="3"/>
        <v>46027</v>
      </c>
      <c r="Q8" s="39">
        <f t="shared" si="3"/>
        <v>46028</v>
      </c>
      <c r="R8" s="39">
        <f t="shared" si="3"/>
        <v>46029</v>
      </c>
      <c r="S8" s="39">
        <f t="shared" si="3"/>
        <v>46030</v>
      </c>
      <c r="T8" s="39">
        <f t="shared" si="3"/>
        <v>46031</v>
      </c>
      <c r="U8" s="39">
        <f t="shared" si="3"/>
        <v>46032</v>
      </c>
      <c r="V8" s="39">
        <f t="shared" si="3"/>
        <v>46033</v>
      </c>
      <c r="W8" s="39">
        <f t="shared" si="3"/>
        <v>46034</v>
      </c>
      <c r="X8" s="39">
        <f t="shared" si="3"/>
        <v>46035</v>
      </c>
      <c r="Y8" s="39">
        <f t="shared" si="3"/>
        <v>46036</v>
      </c>
      <c r="Z8" s="39">
        <f t="shared" si="3"/>
        <v>46037</v>
      </c>
      <c r="AA8" s="39">
        <f t="shared" si="3"/>
        <v>46038</v>
      </c>
      <c r="AB8" s="39">
        <f t="shared" si="3"/>
        <v>46039</v>
      </c>
      <c r="AC8" s="39">
        <f t="shared" si="3"/>
        <v>46040</v>
      </c>
      <c r="AD8" s="39">
        <f t="shared" si="3"/>
        <v>46041</v>
      </c>
      <c r="AE8" s="39">
        <f t="shared" si="3"/>
        <v>46042</v>
      </c>
      <c r="AF8" s="39">
        <f t="shared" si="3"/>
        <v>46043</v>
      </c>
      <c r="AG8" s="40">
        <f t="shared" si="3"/>
        <v>46044</v>
      </c>
      <c r="AH8" s="19"/>
      <c r="AI8" s="20"/>
      <c r="AJ8" s="20"/>
      <c r="AK8" s="20"/>
      <c r="AL8" s="20"/>
      <c r="AM8" s="20"/>
      <c r="AN8" s="20"/>
      <c r="AO8" s="20"/>
      <c r="AP8" s="20"/>
      <c r="AQ8" s="20"/>
      <c r="AR8" s="20"/>
      <c r="AS8" s="20"/>
      <c r="AT8" s="20"/>
      <c r="AU8" s="20"/>
      <c r="AV8" s="20"/>
    </row>
    <row r="9" spans="1:69" ht="18" customHeight="1">
      <c r="A9" s="411" t="s">
        <v>54</v>
      </c>
      <c r="B9" s="41"/>
      <c r="C9" s="423" t="s">
        <v>258</v>
      </c>
      <c r="D9" s="399" t="s">
        <v>259</v>
      </c>
      <c r="E9" s="399" t="s">
        <v>215</v>
      </c>
      <c r="F9" s="399"/>
      <c r="G9" s="399"/>
      <c r="H9" s="399"/>
      <c r="I9" s="399"/>
      <c r="J9" s="399"/>
      <c r="K9" s="399"/>
      <c r="L9" s="399"/>
      <c r="M9" s="399"/>
      <c r="N9" s="399"/>
      <c r="O9" s="399"/>
      <c r="P9" s="399" t="s">
        <v>325</v>
      </c>
      <c r="Q9" s="399" t="s">
        <v>326</v>
      </c>
      <c r="R9" s="399" t="s">
        <v>327</v>
      </c>
      <c r="S9" s="399" t="s">
        <v>327</v>
      </c>
      <c r="T9" s="399" t="s">
        <v>327</v>
      </c>
      <c r="U9" s="399" t="s">
        <v>56</v>
      </c>
      <c r="V9" s="399"/>
      <c r="W9" s="399"/>
      <c r="X9" s="399" t="s">
        <v>327</v>
      </c>
      <c r="Y9" s="399" t="s">
        <v>327</v>
      </c>
      <c r="Z9" s="399" t="s">
        <v>327</v>
      </c>
      <c r="AA9" s="399" t="s">
        <v>327</v>
      </c>
      <c r="AB9" s="399" t="s">
        <v>56</v>
      </c>
      <c r="AC9" s="399"/>
      <c r="AD9" s="399" t="s">
        <v>327</v>
      </c>
      <c r="AE9" s="399" t="s">
        <v>327</v>
      </c>
      <c r="AF9" s="399"/>
      <c r="AG9" s="399" t="s">
        <v>327</v>
      </c>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00"/>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00"/>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00"/>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00"/>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00"/>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00"/>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00"/>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00"/>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00"/>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0"/>
      <c r="K20" s="400"/>
      <c r="L20" s="400"/>
      <c r="M20" s="400"/>
      <c r="N20" s="400"/>
      <c r="O20" s="401"/>
      <c r="P20" s="401"/>
      <c r="Q20" s="401"/>
      <c r="R20" s="401"/>
      <c r="S20" s="401"/>
      <c r="T20" s="401"/>
      <c r="U20" s="401"/>
      <c r="V20" s="401"/>
      <c r="W20" s="401"/>
      <c r="X20" s="401"/>
      <c r="Y20" s="401"/>
      <c r="Z20" s="401"/>
      <c r="AA20" s="401"/>
      <c r="AB20" s="401"/>
      <c r="AC20" s="401"/>
      <c r="AD20" s="401"/>
      <c r="AE20" s="401"/>
      <c r="AF20" s="401"/>
      <c r="AG20" s="401"/>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5"/>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44"/>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3"/>
      <c r="AH23" s="132" t="str">
        <f>IF(AI23="","","←")</f>
        <v/>
      </c>
      <c r="AI23" s="418" t="str">
        <f>[5]機構処理!BI72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5</v>
      </c>
      <c r="E24" s="57">
        <v>6</v>
      </c>
      <c r="F24" s="57"/>
      <c r="G24" s="57"/>
      <c r="H24" s="57"/>
      <c r="I24" s="57"/>
      <c r="J24" s="57"/>
      <c r="K24" s="57"/>
      <c r="L24" s="57"/>
      <c r="M24" s="57"/>
      <c r="N24" s="57"/>
      <c r="O24" s="57"/>
      <c r="P24" s="57">
        <v>6</v>
      </c>
      <c r="Q24" s="57">
        <v>6</v>
      </c>
      <c r="R24" s="57">
        <v>6</v>
      </c>
      <c r="S24" s="57">
        <v>6</v>
      </c>
      <c r="T24" s="57">
        <v>6</v>
      </c>
      <c r="U24" s="57">
        <v>0</v>
      </c>
      <c r="V24" s="57"/>
      <c r="W24" s="57"/>
      <c r="X24" s="57">
        <v>6</v>
      </c>
      <c r="Y24" s="57">
        <v>6</v>
      </c>
      <c r="Z24" s="57">
        <v>6</v>
      </c>
      <c r="AA24" s="57">
        <v>6</v>
      </c>
      <c r="AB24" s="57">
        <v>0</v>
      </c>
      <c r="AC24" s="57"/>
      <c r="AD24" s="57">
        <v>6</v>
      </c>
      <c r="AE24" s="57">
        <v>6</v>
      </c>
      <c r="AF24" s="57"/>
      <c r="AG24" s="57">
        <v>6</v>
      </c>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1</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IF(C6="","",[5]機構処理!BF29)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46045</v>
      </c>
      <c r="D29" s="33">
        <f t="shared" ref="D29:AD29" si="5">IF(OR(C29="",C28="修了日"),"",C29+1)</f>
        <v>46046</v>
      </c>
      <c r="E29" s="33">
        <f t="shared" si="5"/>
        <v>46047</v>
      </c>
      <c r="F29" s="33">
        <f t="shared" si="5"/>
        <v>46048</v>
      </c>
      <c r="G29" s="33">
        <f t="shared" si="5"/>
        <v>46049</v>
      </c>
      <c r="H29" s="33">
        <f t="shared" si="5"/>
        <v>46050</v>
      </c>
      <c r="I29" s="33">
        <f t="shared" si="5"/>
        <v>46051</v>
      </c>
      <c r="J29" s="33">
        <f t="shared" si="5"/>
        <v>46052</v>
      </c>
      <c r="K29" s="33">
        <f t="shared" si="5"/>
        <v>46053</v>
      </c>
      <c r="L29" s="33">
        <f t="shared" si="5"/>
        <v>46054</v>
      </c>
      <c r="M29" s="33">
        <f t="shared" si="5"/>
        <v>46055</v>
      </c>
      <c r="N29" s="33">
        <f t="shared" si="5"/>
        <v>46056</v>
      </c>
      <c r="O29" s="33">
        <f t="shared" si="5"/>
        <v>46057</v>
      </c>
      <c r="P29" s="33">
        <f t="shared" si="5"/>
        <v>46058</v>
      </c>
      <c r="Q29" s="33">
        <f t="shared" si="5"/>
        <v>46059</v>
      </c>
      <c r="R29" s="33">
        <f t="shared" si="5"/>
        <v>46060</v>
      </c>
      <c r="S29" s="33">
        <f t="shared" si="5"/>
        <v>46061</v>
      </c>
      <c r="T29" s="33">
        <f t="shared" si="5"/>
        <v>46062</v>
      </c>
      <c r="U29" s="33">
        <f t="shared" si="5"/>
        <v>46063</v>
      </c>
      <c r="V29" s="33">
        <f t="shared" si="5"/>
        <v>46064</v>
      </c>
      <c r="W29" s="33">
        <f t="shared" si="5"/>
        <v>46065</v>
      </c>
      <c r="X29" s="33">
        <f t="shared" si="5"/>
        <v>46066</v>
      </c>
      <c r="Y29" s="33">
        <f t="shared" si="5"/>
        <v>46067</v>
      </c>
      <c r="Z29" s="33">
        <f t="shared" si="5"/>
        <v>46068</v>
      </c>
      <c r="AA29" s="33">
        <f t="shared" si="5"/>
        <v>46069</v>
      </c>
      <c r="AB29" s="33">
        <f t="shared" si="5"/>
        <v>46070</v>
      </c>
      <c r="AC29" s="33">
        <f t="shared" si="5"/>
        <v>46071</v>
      </c>
      <c r="AD29" s="33">
        <f t="shared" si="5"/>
        <v>46072</v>
      </c>
      <c r="AE29" s="33">
        <f>IF(OR(AD29="",AD28="修了日"),"",IF(AND(DAY(DATE(YEAR(C29),2,29))=29,MONTH(C29)=2),AD29+1,IF(MONTH(C29)=2,"",AD29+1)))</f>
        <v>46073</v>
      </c>
      <c r="AF29" s="33">
        <f>IF(OR(AE29="",AE28="修了日"),"",IF(MONTH(C29)=2,"",AE29+1))</f>
        <v>46074</v>
      </c>
      <c r="AG29" s="65">
        <f>IF(OR(AF29="",AF28="修了日"),"",IF(OR(MONTH(C29)=2,MONTH(C29)=4,MONTH(C29)=6,MONTH(C29)=9,MONTH(C29)=11),"",AF29+1))</f>
        <v>46075</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46045</v>
      </c>
      <c r="D30" s="67">
        <f t="shared" si="6"/>
        <v>46046</v>
      </c>
      <c r="E30" s="67">
        <f t="shared" si="6"/>
        <v>46047</v>
      </c>
      <c r="F30" s="67">
        <f t="shared" si="6"/>
        <v>46048</v>
      </c>
      <c r="G30" s="67">
        <f t="shared" si="6"/>
        <v>46049</v>
      </c>
      <c r="H30" s="67">
        <f t="shared" si="6"/>
        <v>46050</v>
      </c>
      <c r="I30" s="67">
        <f t="shared" si="6"/>
        <v>46051</v>
      </c>
      <c r="J30" s="67">
        <f t="shared" si="6"/>
        <v>46052</v>
      </c>
      <c r="K30" s="67">
        <f t="shared" si="6"/>
        <v>46053</v>
      </c>
      <c r="L30" s="67">
        <f t="shared" si="6"/>
        <v>46054</v>
      </c>
      <c r="M30" s="67">
        <f t="shared" si="6"/>
        <v>46055</v>
      </c>
      <c r="N30" s="67">
        <f t="shared" si="6"/>
        <v>46056</v>
      </c>
      <c r="O30" s="67">
        <f t="shared" si="6"/>
        <v>46057</v>
      </c>
      <c r="P30" s="67">
        <f t="shared" si="6"/>
        <v>46058</v>
      </c>
      <c r="Q30" s="67">
        <f t="shared" si="6"/>
        <v>46059</v>
      </c>
      <c r="R30" s="67">
        <f t="shared" si="6"/>
        <v>46060</v>
      </c>
      <c r="S30" s="67">
        <f t="shared" si="6"/>
        <v>46061</v>
      </c>
      <c r="T30" s="67">
        <f t="shared" si="6"/>
        <v>46062</v>
      </c>
      <c r="U30" s="67">
        <f t="shared" si="6"/>
        <v>46063</v>
      </c>
      <c r="V30" s="67">
        <f t="shared" si="6"/>
        <v>46064</v>
      </c>
      <c r="W30" s="67">
        <f t="shared" si="6"/>
        <v>46065</v>
      </c>
      <c r="X30" s="67">
        <f t="shared" si="6"/>
        <v>46066</v>
      </c>
      <c r="Y30" s="67">
        <f t="shared" si="6"/>
        <v>46067</v>
      </c>
      <c r="Z30" s="67">
        <f t="shared" si="6"/>
        <v>46068</v>
      </c>
      <c r="AA30" s="67">
        <f t="shared" si="6"/>
        <v>46069</v>
      </c>
      <c r="AB30" s="67">
        <f>IF(AB29="","",+AB29)</f>
        <v>46070</v>
      </c>
      <c r="AC30" s="67">
        <f t="shared" si="6"/>
        <v>46071</v>
      </c>
      <c r="AD30" s="37">
        <f t="shared" si="6"/>
        <v>46072</v>
      </c>
      <c r="AE30" s="67">
        <f t="shared" si="6"/>
        <v>46073</v>
      </c>
      <c r="AF30" s="67">
        <f t="shared" si="6"/>
        <v>46074</v>
      </c>
      <c r="AG30" s="68">
        <f t="shared" si="6"/>
        <v>46075</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46045</v>
      </c>
      <c r="D31" s="39">
        <f t="shared" si="6"/>
        <v>46046</v>
      </c>
      <c r="E31" s="39">
        <f t="shared" si="6"/>
        <v>46047</v>
      </c>
      <c r="F31" s="39">
        <f t="shared" si="6"/>
        <v>46048</v>
      </c>
      <c r="G31" s="39">
        <f t="shared" si="6"/>
        <v>46049</v>
      </c>
      <c r="H31" s="39">
        <f t="shared" si="6"/>
        <v>46050</v>
      </c>
      <c r="I31" s="39">
        <f t="shared" si="6"/>
        <v>46051</v>
      </c>
      <c r="J31" s="39">
        <f t="shared" si="6"/>
        <v>46052</v>
      </c>
      <c r="K31" s="39">
        <f t="shared" si="6"/>
        <v>46053</v>
      </c>
      <c r="L31" s="39">
        <f t="shared" si="6"/>
        <v>46054</v>
      </c>
      <c r="M31" s="39">
        <f t="shared" si="6"/>
        <v>46055</v>
      </c>
      <c r="N31" s="39">
        <f t="shared" si="6"/>
        <v>46056</v>
      </c>
      <c r="O31" s="39">
        <f t="shared" si="6"/>
        <v>46057</v>
      </c>
      <c r="P31" s="39">
        <f t="shared" si="6"/>
        <v>46058</v>
      </c>
      <c r="Q31" s="39">
        <f t="shared" si="6"/>
        <v>46059</v>
      </c>
      <c r="R31" s="39">
        <f t="shared" si="6"/>
        <v>46060</v>
      </c>
      <c r="S31" s="39">
        <f t="shared" si="6"/>
        <v>46061</v>
      </c>
      <c r="T31" s="39">
        <f t="shared" si="6"/>
        <v>46062</v>
      </c>
      <c r="U31" s="39">
        <f t="shared" si="6"/>
        <v>46063</v>
      </c>
      <c r="V31" s="39">
        <f t="shared" si="6"/>
        <v>46064</v>
      </c>
      <c r="W31" s="39">
        <f t="shared" si="6"/>
        <v>46065</v>
      </c>
      <c r="X31" s="39">
        <f t="shared" si="6"/>
        <v>46066</v>
      </c>
      <c r="Y31" s="39">
        <f t="shared" si="6"/>
        <v>46067</v>
      </c>
      <c r="Z31" s="39">
        <f t="shared" si="6"/>
        <v>46068</v>
      </c>
      <c r="AA31" s="39">
        <f t="shared" si="6"/>
        <v>46069</v>
      </c>
      <c r="AB31" s="39">
        <f t="shared" si="6"/>
        <v>46070</v>
      </c>
      <c r="AC31" s="39">
        <f t="shared" si="6"/>
        <v>46071</v>
      </c>
      <c r="AD31" s="39">
        <f t="shared" si="6"/>
        <v>46072</v>
      </c>
      <c r="AE31" s="39">
        <f t="shared" si="6"/>
        <v>46073</v>
      </c>
      <c r="AF31" s="39">
        <f t="shared" si="6"/>
        <v>46074</v>
      </c>
      <c r="AG31" s="40">
        <f t="shared" si="6"/>
        <v>46075</v>
      </c>
      <c r="AH31" s="19"/>
      <c r="AI31" s="20"/>
      <c r="AJ31" s="20"/>
      <c r="AK31" s="20"/>
      <c r="AL31" s="20"/>
      <c r="AM31" s="20"/>
      <c r="AN31" s="20"/>
      <c r="AO31" s="20"/>
      <c r="AP31" s="20"/>
      <c r="AQ31" s="20"/>
      <c r="AR31" s="20"/>
      <c r="AS31" s="20"/>
      <c r="AT31" s="20"/>
      <c r="AU31" s="20"/>
      <c r="AV31" s="20"/>
    </row>
    <row r="32" spans="1:48" ht="18" customHeight="1">
      <c r="A32" s="411" t="s">
        <v>247</v>
      </c>
      <c r="B32" s="41"/>
      <c r="C32" s="412" t="s">
        <v>327</v>
      </c>
      <c r="D32" s="399" t="str">
        <f t="shared" ref="D32:AG32" si="7">IF(D$31="","",IF(D$31=$K$150,"ハローワーク来所日①",""))</f>
        <v/>
      </c>
      <c r="E32" s="399" t="str">
        <f t="shared" si="7"/>
        <v/>
      </c>
      <c r="F32" s="399" t="s">
        <v>327</v>
      </c>
      <c r="G32" s="399" t="s">
        <v>327</v>
      </c>
      <c r="H32" s="399"/>
      <c r="I32" s="399" t="s">
        <v>327</v>
      </c>
      <c r="J32" s="399" t="s">
        <v>327</v>
      </c>
      <c r="K32" s="399" t="str">
        <f t="shared" si="7"/>
        <v/>
      </c>
      <c r="L32" s="399" t="str">
        <f t="shared" si="7"/>
        <v/>
      </c>
      <c r="M32" s="399" t="s">
        <v>328</v>
      </c>
      <c r="N32" s="399" t="s">
        <v>328</v>
      </c>
      <c r="O32" s="399" t="s">
        <v>328</v>
      </c>
      <c r="P32" s="399" t="str">
        <f t="shared" si="7"/>
        <v>ハローワーク来所日①</v>
      </c>
      <c r="Q32" s="399" t="s">
        <v>328</v>
      </c>
      <c r="R32" s="399" t="str">
        <f t="shared" si="7"/>
        <v/>
      </c>
      <c r="S32" s="399" t="str">
        <f t="shared" si="7"/>
        <v/>
      </c>
      <c r="T32" s="399" t="s">
        <v>261</v>
      </c>
      <c r="U32" s="399" t="s">
        <v>328</v>
      </c>
      <c r="V32" s="399" t="str">
        <f t="shared" si="7"/>
        <v/>
      </c>
      <c r="W32" s="399" t="s">
        <v>328</v>
      </c>
      <c r="X32" s="399" t="s">
        <v>328</v>
      </c>
      <c r="Y32" s="399" t="str">
        <f t="shared" si="7"/>
        <v/>
      </c>
      <c r="Z32" s="399" t="str">
        <f t="shared" si="7"/>
        <v/>
      </c>
      <c r="AA32" s="399" t="s">
        <v>328</v>
      </c>
      <c r="AB32" s="399" t="s">
        <v>330</v>
      </c>
      <c r="AC32" s="399" t="str">
        <f t="shared" si="7"/>
        <v/>
      </c>
      <c r="AD32" s="399" t="s">
        <v>330</v>
      </c>
      <c r="AE32" s="399" t="s">
        <v>330</v>
      </c>
      <c r="AF32" s="399" t="str">
        <f t="shared" si="7"/>
        <v/>
      </c>
      <c r="AG32" s="402" t="str">
        <f t="shared" si="7"/>
        <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c r="I45" s="49"/>
      <c r="J45" s="44"/>
      <c r="K45" s="44"/>
      <c r="L45" s="44"/>
      <c r="M45" s="44"/>
      <c r="N45" s="44"/>
      <c r="O45" s="49"/>
      <c r="P45" s="49"/>
      <c r="Q45" s="44"/>
      <c r="R45" s="44"/>
      <c r="S45" s="44"/>
      <c r="T45" s="49"/>
      <c r="U45" s="49"/>
      <c r="V45" s="49"/>
      <c r="W45" s="49"/>
      <c r="X45" s="44"/>
      <c r="Y45" s="44"/>
      <c r="Z45" s="44"/>
      <c r="AA45" s="44" t="s">
        <v>64</v>
      </c>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[5]機構処理!BI77</f>
        <v/>
      </c>
      <c r="AJ46" s="418"/>
      <c r="AK46" s="70"/>
      <c r="AL46" s="70"/>
      <c r="AM46" s="70"/>
      <c r="AN46" s="70"/>
      <c r="AO46" s="70"/>
      <c r="AP46" s="20"/>
      <c r="AQ46" s="20"/>
      <c r="AR46" s="20"/>
      <c r="AS46" s="20"/>
      <c r="AT46" s="20"/>
      <c r="AU46" s="20"/>
      <c r="AV46" s="20"/>
    </row>
    <row r="47" spans="1:48" ht="18" customHeight="1">
      <c r="A47" s="35"/>
      <c r="B47" s="407" t="s">
        <v>66</v>
      </c>
      <c r="C47" s="56">
        <v>6</v>
      </c>
      <c r="D47" s="57"/>
      <c r="E47" s="57"/>
      <c r="F47" s="57">
        <v>6</v>
      </c>
      <c r="G47" s="57">
        <v>6</v>
      </c>
      <c r="H47" s="57"/>
      <c r="I47" s="57">
        <v>6</v>
      </c>
      <c r="J47" s="57">
        <v>6</v>
      </c>
      <c r="K47" s="57"/>
      <c r="L47" s="57"/>
      <c r="M47" s="57">
        <v>6</v>
      </c>
      <c r="N47" s="57">
        <v>6</v>
      </c>
      <c r="O47" s="57">
        <v>6</v>
      </c>
      <c r="P47" s="57"/>
      <c r="Q47" s="57">
        <v>6</v>
      </c>
      <c r="R47" s="57"/>
      <c r="S47" s="57"/>
      <c r="T47" s="57">
        <v>6</v>
      </c>
      <c r="U47" s="57">
        <v>6</v>
      </c>
      <c r="V47" s="57"/>
      <c r="W47" s="57">
        <v>6</v>
      </c>
      <c r="X47" s="57">
        <v>6</v>
      </c>
      <c r="Y47" s="57"/>
      <c r="Z47" s="57"/>
      <c r="AA47" s="57">
        <v>6</v>
      </c>
      <c r="AB47" s="57">
        <v>6</v>
      </c>
      <c r="AC47" s="57"/>
      <c r="AD47" s="57">
        <v>6</v>
      </c>
      <c r="AE47" s="57">
        <v>6</v>
      </c>
      <c r="AF47" s="57"/>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IF(C29="","",[5]機構処理!BF35)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46076</v>
      </c>
      <c r="D51" s="33">
        <f t="shared" ref="D51:AD51" si="9">IF(OR(C51="",C50="修了日"),"",C51+1)</f>
        <v>46077</v>
      </c>
      <c r="E51" s="33">
        <f t="shared" si="9"/>
        <v>46078</v>
      </c>
      <c r="F51" s="33">
        <f t="shared" si="9"/>
        <v>46079</v>
      </c>
      <c r="G51" s="33">
        <f t="shared" si="9"/>
        <v>46080</v>
      </c>
      <c r="H51" s="33">
        <f t="shared" si="9"/>
        <v>46081</v>
      </c>
      <c r="I51" s="33">
        <f t="shared" si="9"/>
        <v>46082</v>
      </c>
      <c r="J51" s="33">
        <f t="shared" si="9"/>
        <v>46083</v>
      </c>
      <c r="K51" s="33">
        <f t="shared" si="9"/>
        <v>46084</v>
      </c>
      <c r="L51" s="33">
        <f t="shared" si="9"/>
        <v>46085</v>
      </c>
      <c r="M51" s="33">
        <f t="shared" si="9"/>
        <v>46086</v>
      </c>
      <c r="N51" s="33">
        <f t="shared" si="9"/>
        <v>46087</v>
      </c>
      <c r="O51" s="33">
        <f t="shared" si="9"/>
        <v>46088</v>
      </c>
      <c r="P51" s="33">
        <f t="shared" si="9"/>
        <v>46089</v>
      </c>
      <c r="Q51" s="33">
        <f t="shared" si="9"/>
        <v>46090</v>
      </c>
      <c r="R51" s="33">
        <f t="shared" si="9"/>
        <v>46091</v>
      </c>
      <c r="S51" s="33">
        <f t="shared" si="9"/>
        <v>46092</v>
      </c>
      <c r="T51" s="33">
        <f t="shared" si="9"/>
        <v>46093</v>
      </c>
      <c r="U51" s="33">
        <f t="shared" si="9"/>
        <v>46094</v>
      </c>
      <c r="V51" s="33">
        <f t="shared" si="9"/>
        <v>46095</v>
      </c>
      <c r="W51" s="33">
        <f t="shared" si="9"/>
        <v>46096</v>
      </c>
      <c r="X51" s="33">
        <f t="shared" si="9"/>
        <v>46097</v>
      </c>
      <c r="Y51" s="33">
        <f t="shared" si="9"/>
        <v>46098</v>
      </c>
      <c r="Z51" s="33">
        <f t="shared" si="9"/>
        <v>46099</v>
      </c>
      <c r="AA51" s="33">
        <f t="shared" si="9"/>
        <v>46100</v>
      </c>
      <c r="AB51" s="33">
        <f t="shared" si="9"/>
        <v>46101</v>
      </c>
      <c r="AC51" s="33">
        <f t="shared" si="9"/>
        <v>46102</v>
      </c>
      <c r="AD51" s="33">
        <f t="shared" si="9"/>
        <v>46103</v>
      </c>
      <c r="AE51" s="33" t="str">
        <f>IF(OR(AD51="",AD50="修了日"),"",IF(AND(DAY(DATE(YEAR(C51),2,29))=29,MONTH(C51)=2),AD51+1,IF(MONTH(C51)=2,"",AD51+1)))</f>
        <v/>
      </c>
      <c r="AF51" s="33" t="str">
        <f>IF(OR(AE51="",AE50="修了日"),"",IF(MONTH(C51)=2,"",AE51+1))</f>
        <v/>
      </c>
      <c r="AG51" s="65" t="str">
        <f>IF(OR(AF51="",AF50="修了日"),"",IF(OR(MONTH(C51)=2,MONTH(C51)=4,MONTH(C51)=6,MONTH(C51)=9,MONTH(C51)=11),"",AF51+1))</f>
        <v/>
      </c>
      <c r="AH51" s="19"/>
      <c r="AI51" s="20"/>
      <c r="AJ51" s="20"/>
      <c r="AK51" s="20"/>
      <c r="AL51" s="20"/>
      <c r="AM51" s="20"/>
      <c r="AN51" s="20"/>
      <c r="AO51" s="20"/>
      <c r="AP51" s="20"/>
      <c r="AQ51" s="20"/>
      <c r="AR51" s="20"/>
      <c r="AS51" s="20"/>
      <c r="AT51" s="20"/>
      <c r="AU51" s="20"/>
      <c r="AV51" s="20"/>
    </row>
    <row r="52" spans="1:48" ht="18" customHeight="1">
      <c r="A52" s="35"/>
      <c r="B52" s="31" t="s">
        <v>52</v>
      </c>
      <c r="C52" s="67">
        <f>+C51</f>
        <v>46076</v>
      </c>
      <c r="D52" s="67">
        <f t="shared" ref="D52:AG53" si="10">IF(D51="","",+D51)</f>
        <v>46077</v>
      </c>
      <c r="E52" s="67">
        <f t="shared" si="10"/>
        <v>46078</v>
      </c>
      <c r="F52" s="67">
        <f t="shared" si="10"/>
        <v>46079</v>
      </c>
      <c r="G52" s="67">
        <f t="shared" si="10"/>
        <v>46080</v>
      </c>
      <c r="H52" s="67">
        <f t="shared" si="10"/>
        <v>46081</v>
      </c>
      <c r="I52" s="67">
        <f t="shared" si="10"/>
        <v>46082</v>
      </c>
      <c r="J52" s="67">
        <f t="shared" si="10"/>
        <v>46083</v>
      </c>
      <c r="K52" s="67">
        <f t="shared" si="10"/>
        <v>46084</v>
      </c>
      <c r="L52" s="67">
        <f t="shared" si="10"/>
        <v>46085</v>
      </c>
      <c r="M52" s="67">
        <f t="shared" si="10"/>
        <v>46086</v>
      </c>
      <c r="N52" s="67">
        <f t="shared" si="10"/>
        <v>46087</v>
      </c>
      <c r="O52" s="67">
        <f t="shared" si="10"/>
        <v>46088</v>
      </c>
      <c r="P52" s="67">
        <f t="shared" si="10"/>
        <v>46089</v>
      </c>
      <c r="Q52" s="67">
        <f t="shared" si="10"/>
        <v>46090</v>
      </c>
      <c r="R52" s="67">
        <f t="shared" si="10"/>
        <v>46091</v>
      </c>
      <c r="S52" s="67">
        <f t="shared" si="10"/>
        <v>46092</v>
      </c>
      <c r="T52" s="67">
        <f t="shared" si="10"/>
        <v>46093</v>
      </c>
      <c r="U52" s="67">
        <f t="shared" si="10"/>
        <v>46094</v>
      </c>
      <c r="V52" s="67">
        <f t="shared" si="10"/>
        <v>46095</v>
      </c>
      <c r="W52" s="67">
        <f t="shared" si="10"/>
        <v>46096</v>
      </c>
      <c r="X52" s="67">
        <f t="shared" si="10"/>
        <v>46097</v>
      </c>
      <c r="Y52" s="67">
        <f t="shared" si="10"/>
        <v>46098</v>
      </c>
      <c r="Z52" s="67">
        <f t="shared" si="10"/>
        <v>46099</v>
      </c>
      <c r="AA52" s="67">
        <f t="shared" si="10"/>
        <v>46100</v>
      </c>
      <c r="AB52" s="67">
        <f t="shared" si="10"/>
        <v>46101</v>
      </c>
      <c r="AC52" s="67">
        <f t="shared" si="10"/>
        <v>46102</v>
      </c>
      <c r="AD52" s="67">
        <f t="shared" si="10"/>
        <v>46103</v>
      </c>
      <c r="AE52" s="67" t="str">
        <f t="shared" si="10"/>
        <v/>
      </c>
      <c r="AF52" s="67" t="str">
        <f t="shared" si="10"/>
        <v/>
      </c>
      <c r="AG52" s="38" t="str">
        <f t="shared" si="10"/>
        <v/>
      </c>
      <c r="AH52" s="19"/>
      <c r="AI52" s="20"/>
      <c r="AJ52" s="20"/>
      <c r="AK52" s="20"/>
      <c r="AL52" s="20"/>
      <c r="AM52" s="20"/>
      <c r="AN52" s="20"/>
      <c r="AO52" s="20"/>
      <c r="AP52" s="20"/>
      <c r="AQ52" s="20"/>
      <c r="AR52" s="20"/>
      <c r="AS52" s="20"/>
      <c r="AT52" s="20"/>
      <c r="AU52" s="20"/>
      <c r="AV52" s="20"/>
    </row>
    <row r="53" spans="1:48" ht="18" customHeight="1">
      <c r="A53" s="35"/>
      <c r="B53" s="31" t="s">
        <v>53</v>
      </c>
      <c r="C53" s="39">
        <f>+C52</f>
        <v>46076</v>
      </c>
      <c r="D53" s="39">
        <f t="shared" si="10"/>
        <v>46077</v>
      </c>
      <c r="E53" s="39">
        <f t="shared" si="10"/>
        <v>46078</v>
      </c>
      <c r="F53" s="39">
        <f t="shared" si="10"/>
        <v>46079</v>
      </c>
      <c r="G53" s="39">
        <f t="shared" si="10"/>
        <v>46080</v>
      </c>
      <c r="H53" s="39">
        <f t="shared" si="10"/>
        <v>46081</v>
      </c>
      <c r="I53" s="39">
        <f t="shared" si="10"/>
        <v>46082</v>
      </c>
      <c r="J53" s="39">
        <f t="shared" si="10"/>
        <v>46083</v>
      </c>
      <c r="K53" s="39">
        <f t="shared" si="10"/>
        <v>46084</v>
      </c>
      <c r="L53" s="39">
        <f t="shared" si="10"/>
        <v>46085</v>
      </c>
      <c r="M53" s="39">
        <f t="shared" si="10"/>
        <v>46086</v>
      </c>
      <c r="N53" s="39">
        <f t="shared" si="10"/>
        <v>46087</v>
      </c>
      <c r="O53" s="39">
        <f t="shared" si="10"/>
        <v>46088</v>
      </c>
      <c r="P53" s="39">
        <f t="shared" si="10"/>
        <v>46089</v>
      </c>
      <c r="Q53" s="39">
        <f t="shared" si="10"/>
        <v>46090</v>
      </c>
      <c r="R53" s="39">
        <f t="shared" si="10"/>
        <v>46091</v>
      </c>
      <c r="S53" s="39">
        <f t="shared" si="10"/>
        <v>46092</v>
      </c>
      <c r="T53" s="39">
        <f t="shared" si="10"/>
        <v>46093</v>
      </c>
      <c r="U53" s="39">
        <f t="shared" si="10"/>
        <v>46094</v>
      </c>
      <c r="V53" s="39">
        <f t="shared" si="10"/>
        <v>46095</v>
      </c>
      <c r="W53" s="39">
        <f t="shared" si="10"/>
        <v>46096</v>
      </c>
      <c r="X53" s="39">
        <f t="shared" si="10"/>
        <v>46097</v>
      </c>
      <c r="Y53" s="39">
        <f t="shared" si="10"/>
        <v>46098</v>
      </c>
      <c r="Z53" s="39">
        <f t="shared" si="10"/>
        <v>46099</v>
      </c>
      <c r="AA53" s="39">
        <f t="shared" si="10"/>
        <v>46100</v>
      </c>
      <c r="AB53" s="39">
        <f t="shared" si="10"/>
        <v>46101</v>
      </c>
      <c r="AC53" s="39">
        <f t="shared" si="10"/>
        <v>46102</v>
      </c>
      <c r="AD53" s="39">
        <f t="shared" si="10"/>
        <v>46103</v>
      </c>
      <c r="AE53" s="39" t="str">
        <f t="shared" si="10"/>
        <v/>
      </c>
      <c r="AF53" s="39" t="str">
        <f t="shared" si="10"/>
        <v/>
      </c>
      <c r="AG53" s="40" t="str">
        <f t="shared" si="10"/>
        <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G54" si="11">IF(C$53="","",IF(C$53=$K$151,"ハローワーク来所日②",""))</f>
        <v/>
      </c>
      <c r="D54" s="399" t="s">
        <v>330</v>
      </c>
      <c r="E54" s="399" t="s">
        <v>330</v>
      </c>
      <c r="F54" s="399" t="s">
        <v>330</v>
      </c>
      <c r="G54" s="399" t="s">
        <v>330</v>
      </c>
      <c r="H54" s="399" t="str">
        <f t="shared" si="11"/>
        <v/>
      </c>
      <c r="I54" s="399" t="str">
        <f t="shared" si="11"/>
        <v/>
      </c>
      <c r="J54" s="399" t="s">
        <v>330</v>
      </c>
      <c r="K54" s="399" t="s">
        <v>331</v>
      </c>
      <c r="L54" s="399" t="s">
        <v>215</v>
      </c>
      <c r="M54" s="399" t="s">
        <v>332</v>
      </c>
      <c r="N54" s="399" t="s">
        <v>332</v>
      </c>
      <c r="O54" s="399" t="s">
        <v>107</v>
      </c>
      <c r="P54" s="399" t="str">
        <f t="shared" si="11"/>
        <v/>
      </c>
      <c r="Q54" s="399" t="str">
        <f t="shared" si="11"/>
        <v>ハローワーク来所日②</v>
      </c>
      <c r="R54" s="399" t="s">
        <v>332</v>
      </c>
      <c r="S54" s="399" t="s">
        <v>332</v>
      </c>
      <c r="T54" s="399" t="s">
        <v>332</v>
      </c>
      <c r="U54" s="399" t="s">
        <v>332</v>
      </c>
      <c r="V54" s="399" t="s">
        <v>67</v>
      </c>
      <c r="W54" s="399" t="str">
        <f t="shared" si="11"/>
        <v/>
      </c>
      <c r="X54" s="399" t="s">
        <v>332</v>
      </c>
      <c r="Y54" s="399" t="s">
        <v>332</v>
      </c>
      <c r="Z54" s="399" t="s">
        <v>329</v>
      </c>
      <c r="AA54" s="399" t="s">
        <v>332</v>
      </c>
      <c r="AB54" s="399" t="str">
        <f t="shared" si="11"/>
        <v/>
      </c>
      <c r="AC54" s="399" t="str">
        <f t="shared" si="11"/>
        <v/>
      </c>
      <c r="AD54" s="399" t="str">
        <f t="shared" si="11"/>
        <v/>
      </c>
      <c r="AE54" s="399" t="str">
        <f t="shared" si="11"/>
        <v/>
      </c>
      <c r="AF54" s="399" t="str">
        <f t="shared" si="11"/>
        <v/>
      </c>
      <c r="AG54" s="402" t="str">
        <f t="shared" si="11"/>
        <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c r="H67" s="49"/>
      <c r="I67" s="49"/>
      <c r="J67" s="44"/>
      <c r="K67" s="44"/>
      <c r="L67" s="44"/>
      <c r="M67" s="44"/>
      <c r="N67" s="44"/>
      <c r="O67" s="49"/>
      <c r="P67" s="49"/>
      <c r="Q67" s="44"/>
      <c r="R67" s="44"/>
      <c r="S67" s="44"/>
      <c r="T67" s="49"/>
      <c r="U67" s="49"/>
      <c r="V67" s="49"/>
      <c r="W67" s="49"/>
      <c r="X67" s="44"/>
      <c r="Y67" s="44"/>
      <c r="Z67" s="44"/>
      <c r="AA67" s="44" t="s">
        <v>64</v>
      </c>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[5]機構処理!BI81</f>
        <v/>
      </c>
      <c r="AJ68" s="416"/>
      <c r="AK68" s="72"/>
      <c r="AL68" s="70"/>
      <c r="AM68" s="72"/>
      <c r="AN68" s="72"/>
      <c r="AO68" s="72"/>
      <c r="AP68" s="20"/>
      <c r="AQ68" s="20"/>
      <c r="AR68" s="20"/>
      <c r="AS68" s="20"/>
      <c r="AT68" s="20"/>
      <c r="AU68" s="20"/>
      <c r="AV68" s="20"/>
    </row>
    <row r="69" spans="1:48" ht="18" customHeight="1">
      <c r="A69" s="35"/>
      <c r="B69" s="407" t="s">
        <v>66</v>
      </c>
      <c r="C69" s="56"/>
      <c r="D69" s="57">
        <v>6</v>
      </c>
      <c r="E69" s="57">
        <v>6</v>
      </c>
      <c r="F69" s="57">
        <v>6</v>
      </c>
      <c r="G69" s="57">
        <v>6</v>
      </c>
      <c r="H69" s="57"/>
      <c r="I69" s="57"/>
      <c r="J69" s="57">
        <v>6</v>
      </c>
      <c r="K69" s="57">
        <v>6</v>
      </c>
      <c r="L69" s="57">
        <v>6</v>
      </c>
      <c r="M69" s="57">
        <v>6</v>
      </c>
      <c r="N69" s="57">
        <v>6</v>
      </c>
      <c r="O69" s="57">
        <v>0</v>
      </c>
      <c r="P69" s="57"/>
      <c r="Q69" s="57"/>
      <c r="R69" s="57">
        <v>6</v>
      </c>
      <c r="S69" s="57">
        <v>6</v>
      </c>
      <c r="T69" s="57">
        <v>6</v>
      </c>
      <c r="U69" s="57">
        <v>6</v>
      </c>
      <c r="V69" s="57">
        <v>0</v>
      </c>
      <c r="W69" s="57"/>
      <c r="X69" s="57">
        <v>6</v>
      </c>
      <c r="Y69" s="57">
        <v>6</v>
      </c>
      <c r="Z69" s="57">
        <v>6</v>
      </c>
      <c r="AA69" s="57">
        <v>6</v>
      </c>
      <c r="AB69" s="57"/>
      <c r="AC69" s="57"/>
      <c r="AD69" s="57"/>
      <c r="AE69" s="57"/>
      <c r="AF69" s="57"/>
      <c r="AG69" s="73"/>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IF(C51="","",[5]機構処理!BF41)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46104</v>
      </c>
      <c r="D73" s="33">
        <f t="shared" ref="D73:AD73" si="13">IF(OR(C73="",C72="修了日"),"",C73+1)</f>
        <v>46105</v>
      </c>
      <c r="E73" s="33">
        <f t="shared" si="13"/>
        <v>46106</v>
      </c>
      <c r="F73" s="33">
        <f t="shared" si="13"/>
        <v>46107</v>
      </c>
      <c r="G73" s="33">
        <f t="shared" si="13"/>
        <v>46108</v>
      </c>
      <c r="H73" s="33">
        <f t="shared" si="13"/>
        <v>46109</v>
      </c>
      <c r="I73" s="33">
        <f t="shared" si="13"/>
        <v>46110</v>
      </c>
      <c r="J73" s="33">
        <f t="shared" si="13"/>
        <v>46111</v>
      </c>
      <c r="K73" s="33">
        <f t="shared" si="13"/>
        <v>46112</v>
      </c>
      <c r="L73" s="33">
        <f t="shared" si="13"/>
        <v>46113</v>
      </c>
      <c r="M73" s="33">
        <f t="shared" si="13"/>
        <v>46114</v>
      </c>
      <c r="N73" s="33">
        <f t="shared" si="13"/>
        <v>46115</v>
      </c>
      <c r="O73" s="33">
        <f t="shared" si="13"/>
        <v>46116</v>
      </c>
      <c r="P73" s="33">
        <f t="shared" si="13"/>
        <v>46117</v>
      </c>
      <c r="Q73" s="33">
        <f t="shared" si="13"/>
        <v>46118</v>
      </c>
      <c r="R73" s="33">
        <f t="shared" si="13"/>
        <v>46119</v>
      </c>
      <c r="S73" s="33">
        <f t="shared" si="13"/>
        <v>46120</v>
      </c>
      <c r="T73" s="33">
        <f t="shared" si="13"/>
        <v>46121</v>
      </c>
      <c r="U73" s="33">
        <f t="shared" si="13"/>
        <v>46122</v>
      </c>
      <c r="V73" s="33">
        <f t="shared" si="13"/>
        <v>46123</v>
      </c>
      <c r="W73" s="33">
        <f t="shared" si="13"/>
        <v>46124</v>
      </c>
      <c r="X73" s="33">
        <f t="shared" si="13"/>
        <v>46125</v>
      </c>
      <c r="Y73" s="33">
        <f t="shared" si="13"/>
        <v>46126</v>
      </c>
      <c r="Z73" s="33">
        <f t="shared" si="13"/>
        <v>46127</v>
      </c>
      <c r="AA73" s="33">
        <f t="shared" si="13"/>
        <v>46128</v>
      </c>
      <c r="AB73" s="33">
        <f t="shared" si="13"/>
        <v>46129</v>
      </c>
      <c r="AC73" s="33">
        <f t="shared" si="13"/>
        <v>46130</v>
      </c>
      <c r="AD73" s="33">
        <f t="shared" si="13"/>
        <v>46131</v>
      </c>
      <c r="AE73" s="33">
        <f>IF(OR(AD73="",AD72="修了日"),"",IF(AND(DAY(DATE(YEAR(C73),2,29))=29,MONTH(C73)=2),AD73+1,IF(MONTH(C73)=2,"",AD73+1)))</f>
        <v>46132</v>
      </c>
      <c r="AF73" s="33">
        <f>IF(OR(AE73="",AE72="修了日"),"",IF(MONTH(C73)=2,"",AE73+1))</f>
        <v>46133</v>
      </c>
      <c r="AG73" s="65">
        <f>IF(OR(AF73="",AF72="修了日"),"",IF(OR(MONTH(C73)=2,MONTH(C73)=4,MONTH(C73)=6,MONTH(C73)=9,MONTH(C73)=11),"",AF73+1))</f>
        <v>46134</v>
      </c>
      <c r="AH73" s="19"/>
      <c r="AI73" s="20"/>
      <c r="AJ73" s="20"/>
      <c r="AK73" s="20"/>
      <c r="AL73" s="20"/>
      <c r="AM73" s="20"/>
      <c r="AN73" s="20"/>
      <c r="AO73" s="20"/>
      <c r="AP73" s="20"/>
      <c r="AQ73" s="20"/>
      <c r="AR73" s="20"/>
      <c r="AS73" s="20"/>
      <c r="AT73" s="20"/>
      <c r="AU73" s="20"/>
      <c r="AV73" s="20"/>
    </row>
    <row r="74" spans="1:48" ht="18.75" customHeight="1">
      <c r="A74" s="35"/>
      <c r="B74" s="31" t="s">
        <v>52</v>
      </c>
      <c r="C74" s="67">
        <f>+C73</f>
        <v>46104</v>
      </c>
      <c r="D74" s="67">
        <f t="shared" ref="D74:AG75" si="14">IF(D73="","",+D73)</f>
        <v>46105</v>
      </c>
      <c r="E74" s="67">
        <f t="shared" si="14"/>
        <v>46106</v>
      </c>
      <c r="F74" s="67">
        <f t="shared" si="14"/>
        <v>46107</v>
      </c>
      <c r="G74" s="67">
        <f t="shared" si="14"/>
        <v>46108</v>
      </c>
      <c r="H74" s="67">
        <f t="shared" si="14"/>
        <v>46109</v>
      </c>
      <c r="I74" s="67">
        <f t="shared" si="14"/>
        <v>46110</v>
      </c>
      <c r="J74" s="67">
        <f t="shared" si="14"/>
        <v>46111</v>
      </c>
      <c r="K74" s="67">
        <f t="shared" si="14"/>
        <v>46112</v>
      </c>
      <c r="L74" s="67">
        <f t="shared" si="14"/>
        <v>46113</v>
      </c>
      <c r="M74" s="67">
        <f t="shared" si="14"/>
        <v>46114</v>
      </c>
      <c r="N74" s="67">
        <f t="shared" si="14"/>
        <v>46115</v>
      </c>
      <c r="O74" s="67">
        <f t="shared" si="14"/>
        <v>46116</v>
      </c>
      <c r="P74" s="67">
        <f t="shared" si="14"/>
        <v>46117</v>
      </c>
      <c r="Q74" s="67">
        <f t="shared" si="14"/>
        <v>46118</v>
      </c>
      <c r="R74" s="67">
        <f t="shared" si="14"/>
        <v>46119</v>
      </c>
      <c r="S74" s="67">
        <f t="shared" si="14"/>
        <v>46120</v>
      </c>
      <c r="T74" s="67">
        <f t="shared" si="14"/>
        <v>46121</v>
      </c>
      <c r="U74" s="67">
        <f t="shared" si="14"/>
        <v>46122</v>
      </c>
      <c r="V74" s="67">
        <f t="shared" si="14"/>
        <v>46123</v>
      </c>
      <c r="W74" s="67">
        <f t="shared" si="14"/>
        <v>46124</v>
      </c>
      <c r="X74" s="67">
        <f t="shared" si="14"/>
        <v>46125</v>
      </c>
      <c r="Y74" s="67">
        <f t="shared" si="14"/>
        <v>46126</v>
      </c>
      <c r="Z74" s="67">
        <f t="shared" si="14"/>
        <v>46127</v>
      </c>
      <c r="AA74" s="67">
        <f t="shared" si="14"/>
        <v>46128</v>
      </c>
      <c r="AB74" s="67">
        <f t="shared" si="14"/>
        <v>46129</v>
      </c>
      <c r="AC74" s="67">
        <f t="shared" si="14"/>
        <v>46130</v>
      </c>
      <c r="AD74" s="67">
        <f t="shared" si="14"/>
        <v>46131</v>
      </c>
      <c r="AE74" s="67">
        <f t="shared" si="14"/>
        <v>46132</v>
      </c>
      <c r="AF74" s="67">
        <f t="shared" si="14"/>
        <v>46133</v>
      </c>
      <c r="AG74" s="38">
        <f t="shared" si="14"/>
        <v>46134</v>
      </c>
      <c r="AH74" s="19"/>
      <c r="AI74" s="20"/>
      <c r="AJ74" s="20"/>
      <c r="AK74" s="20"/>
      <c r="AL74" s="20"/>
      <c r="AM74" s="20"/>
      <c r="AN74" s="20"/>
      <c r="AO74" s="20"/>
      <c r="AP74" s="20"/>
      <c r="AQ74" s="20"/>
      <c r="AR74" s="20"/>
      <c r="AS74" s="20"/>
      <c r="AT74" s="20"/>
      <c r="AU74" s="20"/>
      <c r="AV74" s="20"/>
    </row>
    <row r="75" spans="1:48" ht="18.75" customHeight="1">
      <c r="A75" s="35"/>
      <c r="B75" s="31" t="s">
        <v>53</v>
      </c>
      <c r="C75" s="39">
        <f>+C74</f>
        <v>46104</v>
      </c>
      <c r="D75" s="39">
        <f t="shared" si="14"/>
        <v>46105</v>
      </c>
      <c r="E75" s="39">
        <f t="shared" si="14"/>
        <v>46106</v>
      </c>
      <c r="F75" s="39">
        <f t="shared" si="14"/>
        <v>46107</v>
      </c>
      <c r="G75" s="39">
        <f t="shared" si="14"/>
        <v>46108</v>
      </c>
      <c r="H75" s="39">
        <f t="shared" si="14"/>
        <v>46109</v>
      </c>
      <c r="I75" s="39">
        <f t="shared" si="14"/>
        <v>46110</v>
      </c>
      <c r="J75" s="39">
        <f t="shared" si="14"/>
        <v>46111</v>
      </c>
      <c r="K75" s="39">
        <f t="shared" si="14"/>
        <v>46112</v>
      </c>
      <c r="L75" s="39">
        <f t="shared" si="14"/>
        <v>46113</v>
      </c>
      <c r="M75" s="39">
        <f t="shared" si="14"/>
        <v>46114</v>
      </c>
      <c r="N75" s="39">
        <f t="shared" si="14"/>
        <v>46115</v>
      </c>
      <c r="O75" s="39">
        <f t="shared" si="14"/>
        <v>46116</v>
      </c>
      <c r="P75" s="39">
        <f t="shared" si="14"/>
        <v>46117</v>
      </c>
      <c r="Q75" s="39">
        <f t="shared" si="14"/>
        <v>46118</v>
      </c>
      <c r="R75" s="39">
        <f t="shared" si="14"/>
        <v>46119</v>
      </c>
      <c r="S75" s="39">
        <f t="shared" si="14"/>
        <v>46120</v>
      </c>
      <c r="T75" s="39">
        <f t="shared" si="14"/>
        <v>46121</v>
      </c>
      <c r="U75" s="39">
        <f t="shared" si="14"/>
        <v>46122</v>
      </c>
      <c r="V75" s="39">
        <f t="shared" si="14"/>
        <v>46123</v>
      </c>
      <c r="W75" s="39">
        <f t="shared" si="14"/>
        <v>46124</v>
      </c>
      <c r="X75" s="39">
        <f t="shared" si="14"/>
        <v>46125</v>
      </c>
      <c r="Y75" s="39">
        <f t="shared" si="14"/>
        <v>46126</v>
      </c>
      <c r="Z75" s="39">
        <f t="shared" si="14"/>
        <v>46127</v>
      </c>
      <c r="AA75" s="39">
        <f t="shared" si="14"/>
        <v>46128</v>
      </c>
      <c r="AB75" s="39">
        <f t="shared" si="14"/>
        <v>46129</v>
      </c>
      <c r="AC75" s="39">
        <f t="shared" si="14"/>
        <v>46130</v>
      </c>
      <c r="AD75" s="39">
        <f t="shared" si="14"/>
        <v>46131</v>
      </c>
      <c r="AE75" s="39">
        <f t="shared" si="14"/>
        <v>46132</v>
      </c>
      <c r="AF75" s="39">
        <f t="shared" si="14"/>
        <v>46133</v>
      </c>
      <c r="AG75" s="40">
        <f t="shared" si="14"/>
        <v>46134</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399" t="s">
        <v>332</v>
      </c>
      <c r="D76" s="399"/>
      <c r="E76" s="399"/>
      <c r="F76" s="399" t="s">
        <v>332</v>
      </c>
      <c r="G76" s="399" t="s">
        <v>332</v>
      </c>
      <c r="H76" s="399" t="str">
        <f t="shared" ref="H76:AE76" si="15">IF(H$75="","",IF(H$75=$K$152,"ハローワーク来所日③",""))</f>
        <v/>
      </c>
      <c r="I76" s="399" t="str">
        <f t="shared" si="15"/>
        <v/>
      </c>
      <c r="J76" s="399" t="s">
        <v>333</v>
      </c>
      <c r="K76" s="399"/>
      <c r="L76" s="399" t="s">
        <v>333</v>
      </c>
      <c r="M76" s="399" t="str">
        <f t="shared" si="15"/>
        <v>ハローワーク来所日③</v>
      </c>
      <c r="N76" s="399" t="s">
        <v>333</v>
      </c>
      <c r="O76" s="399" t="str">
        <f t="shared" si="15"/>
        <v/>
      </c>
      <c r="P76" s="399" t="str">
        <f t="shared" si="15"/>
        <v/>
      </c>
      <c r="Q76" s="399" t="s">
        <v>333</v>
      </c>
      <c r="R76" s="399"/>
      <c r="S76" s="399" t="str">
        <f t="shared" si="15"/>
        <v/>
      </c>
      <c r="T76" s="399" t="s">
        <v>333</v>
      </c>
      <c r="U76" s="399" t="s">
        <v>333</v>
      </c>
      <c r="V76" s="399" t="str">
        <f t="shared" si="15"/>
        <v/>
      </c>
      <c r="W76" s="399" t="str">
        <f t="shared" si="15"/>
        <v/>
      </c>
      <c r="X76" s="399" t="str">
        <f t="shared" si="15"/>
        <v/>
      </c>
      <c r="Y76" s="399" t="s">
        <v>333</v>
      </c>
      <c r="Z76" s="399"/>
      <c r="AA76" s="399" t="s">
        <v>333</v>
      </c>
      <c r="AB76" s="399" t="s">
        <v>333</v>
      </c>
      <c r="AC76" s="399" t="str">
        <f t="shared" si="15"/>
        <v/>
      </c>
      <c r="AD76" s="399" t="str">
        <f t="shared" si="15"/>
        <v/>
      </c>
      <c r="AE76" s="399" t="str">
        <f t="shared" si="15"/>
        <v/>
      </c>
      <c r="AF76" s="399" t="s">
        <v>333</v>
      </c>
      <c r="AG76" s="399" t="s">
        <v>333</v>
      </c>
      <c r="AH76" s="211">
        <v>1</v>
      </c>
      <c r="AI76" s="20"/>
      <c r="AJ76" s="20"/>
      <c r="AK76" s="20"/>
      <c r="AL76" s="20"/>
      <c r="AM76" s="20"/>
      <c r="AN76" s="20"/>
      <c r="AO76" s="20"/>
      <c r="AP76" s="20"/>
      <c r="AQ76" s="20"/>
      <c r="AR76" s="20"/>
      <c r="AS76" s="20"/>
      <c r="AT76" s="20"/>
      <c r="AU76" s="20"/>
      <c r="AV76" s="20"/>
    </row>
    <row r="77" spans="1:48" ht="18" customHeight="1">
      <c r="A77" s="411"/>
      <c r="B77" s="41"/>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211">
        <v>2</v>
      </c>
      <c r="AI77" s="20"/>
      <c r="AJ77" s="20"/>
      <c r="AK77" s="20"/>
      <c r="AL77" s="20"/>
      <c r="AM77" s="20"/>
      <c r="AN77" s="20"/>
      <c r="AO77" s="20"/>
      <c r="AP77" s="20"/>
      <c r="AQ77" s="20"/>
      <c r="AR77" s="20"/>
      <c r="AS77" s="20"/>
      <c r="AT77" s="20"/>
      <c r="AU77" s="20"/>
      <c r="AV77" s="20"/>
    </row>
    <row r="78" spans="1:48" ht="18" customHeight="1">
      <c r="A78" s="411"/>
      <c r="B78" s="41" t="s">
        <v>58</v>
      </c>
      <c r="C78" s="400"/>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0"/>
      <c r="AH78" s="211">
        <v>3</v>
      </c>
      <c r="AI78" s="20"/>
      <c r="AJ78" s="20"/>
      <c r="AK78" s="20"/>
      <c r="AL78" s="20"/>
      <c r="AM78" s="20"/>
      <c r="AN78" s="20"/>
      <c r="AO78" s="20"/>
      <c r="AP78" s="20"/>
      <c r="AQ78" s="20"/>
      <c r="AR78" s="20"/>
      <c r="AS78" s="20"/>
      <c r="AT78" s="20"/>
      <c r="AU78" s="20"/>
      <c r="AV78" s="20"/>
    </row>
    <row r="79" spans="1:48" ht="18" customHeight="1">
      <c r="A79" s="411"/>
      <c r="B79" s="41"/>
      <c r="C79" s="400"/>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0"/>
      <c r="AH79" s="211">
        <v>4</v>
      </c>
      <c r="AI79" s="20"/>
      <c r="AJ79" s="20"/>
      <c r="AK79" s="20"/>
      <c r="AL79" s="20"/>
      <c r="AM79" s="20"/>
      <c r="AN79" s="20"/>
      <c r="AO79" s="20"/>
      <c r="AP79" s="20"/>
      <c r="AQ79" s="20"/>
      <c r="AR79" s="20"/>
      <c r="AS79" s="20"/>
      <c r="AT79" s="20"/>
      <c r="AU79" s="20"/>
      <c r="AV79" s="20"/>
    </row>
    <row r="80" spans="1:48" ht="18" customHeight="1">
      <c r="A80" s="411"/>
      <c r="B80" s="41" t="s">
        <v>59</v>
      </c>
      <c r="C80" s="400"/>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0"/>
      <c r="AH80" s="211">
        <v>5</v>
      </c>
      <c r="AI80" s="20"/>
      <c r="AJ80" s="20"/>
      <c r="AK80" s="20"/>
      <c r="AL80" s="20"/>
      <c r="AM80" s="20"/>
      <c r="AN80" s="20"/>
      <c r="AO80" s="20"/>
      <c r="AP80" s="20"/>
      <c r="AQ80" s="20"/>
      <c r="AR80" s="20"/>
      <c r="AS80" s="20"/>
      <c r="AT80" s="20"/>
      <c r="AU80" s="20"/>
      <c r="AV80" s="20"/>
    </row>
    <row r="81" spans="1:48" ht="18" customHeight="1">
      <c r="A81" s="411"/>
      <c r="B81" s="41"/>
      <c r="C81" s="400"/>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0"/>
      <c r="AH81" s="212">
        <v>6</v>
      </c>
      <c r="AI81" s="20"/>
      <c r="AJ81" s="20"/>
      <c r="AK81" s="20"/>
      <c r="AL81" s="20"/>
      <c r="AM81" s="20"/>
      <c r="AN81" s="20"/>
      <c r="AO81" s="20"/>
      <c r="AP81" s="20"/>
      <c r="AQ81" s="20"/>
      <c r="AR81" s="20"/>
      <c r="AS81" s="20"/>
      <c r="AT81" s="20"/>
      <c r="AU81" s="20"/>
      <c r="AV81" s="20"/>
    </row>
    <row r="82" spans="1:48" ht="18" hidden="1" customHeight="1">
      <c r="A82" s="411"/>
      <c r="B82" s="41"/>
      <c r="C82" s="400"/>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0"/>
      <c r="AH82" s="213">
        <v>7</v>
      </c>
      <c r="AI82" s="20"/>
      <c r="AJ82" s="20"/>
      <c r="AK82" s="20"/>
      <c r="AL82" s="20"/>
      <c r="AM82" s="20"/>
      <c r="AN82" s="20"/>
      <c r="AO82" s="20"/>
      <c r="AP82" s="20"/>
      <c r="AQ82" s="20"/>
      <c r="AR82" s="20"/>
      <c r="AS82" s="20"/>
      <c r="AT82" s="20"/>
      <c r="AU82" s="20"/>
      <c r="AV82" s="20"/>
    </row>
    <row r="83" spans="1:48" ht="18" customHeight="1">
      <c r="A83" s="411"/>
      <c r="B83" s="41" t="s">
        <v>60</v>
      </c>
      <c r="C83" s="400"/>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0"/>
      <c r="AH83" s="212">
        <v>8</v>
      </c>
      <c r="AI83" s="20"/>
      <c r="AJ83" s="20"/>
      <c r="AK83" s="20"/>
      <c r="AL83" s="20"/>
      <c r="AM83" s="20"/>
      <c r="AN83" s="20"/>
      <c r="AO83" s="20"/>
      <c r="AP83" s="20"/>
      <c r="AQ83" s="20"/>
      <c r="AR83" s="20"/>
      <c r="AS83" s="20"/>
      <c r="AT83" s="20"/>
      <c r="AU83" s="20"/>
      <c r="AV83" s="20"/>
    </row>
    <row r="84" spans="1:48" ht="18" customHeight="1">
      <c r="A84" s="411"/>
      <c r="B84" s="41"/>
      <c r="C84" s="400"/>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0"/>
      <c r="AH84" s="211">
        <v>9</v>
      </c>
      <c r="AI84" s="20"/>
      <c r="AJ84" s="20"/>
      <c r="AK84" s="20"/>
      <c r="AL84" s="20"/>
      <c r="AM84" s="20"/>
      <c r="AN84" s="20"/>
      <c r="AO84" s="20"/>
      <c r="AP84" s="20"/>
      <c r="AQ84" s="20"/>
      <c r="AR84" s="20"/>
      <c r="AS84" s="20"/>
      <c r="AT84" s="20"/>
      <c r="AU84" s="20"/>
      <c r="AV84" s="20"/>
    </row>
    <row r="85" spans="1:48" ht="18" customHeight="1">
      <c r="A85" s="411"/>
      <c r="B85" s="41" t="s">
        <v>61</v>
      </c>
      <c r="C85" s="400"/>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0"/>
      <c r="AH85" s="211">
        <v>10</v>
      </c>
      <c r="AI85" s="20"/>
      <c r="AJ85" s="20"/>
      <c r="AK85" s="20"/>
      <c r="AL85" s="20"/>
      <c r="AM85" s="20"/>
      <c r="AN85" s="20"/>
      <c r="AO85" s="20"/>
      <c r="AP85" s="20"/>
      <c r="AQ85" s="20"/>
      <c r="AR85" s="20"/>
      <c r="AS85" s="20"/>
      <c r="AT85" s="20"/>
      <c r="AU85" s="20"/>
      <c r="AV85" s="20"/>
    </row>
    <row r="86" spans="1:48" ht="18" customHeight="1">
      <c r="A86" s="411"/>
      <c r="B86" s="41"/>
      <c r="C86" s="400"/>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0"/>
      <c r="AH86" s="211">
        <v>11</v>
      </c>
      <c r="AI86" s="20"/>
      <c r="AJ86" s="20"/>
      <c r="AK86" s="20"/>
      <c r="AL86" s="20"/>
      <c r="AM86" s="20"/>
      <c r="AN86" s="20"/>
      <c r="AO86" s="20"/>
      <c r="AP86" s="20"/>
      <c r="AQ86" s="20"/>
      <c r="AR86" s="20"/>
      <c r="AS86" s="20"/>
      <c r="AT86" s="20"/>
      <c r="AU86" s="20"/>
      <c r="AV86" s="20"/>
    </row>
    <row r="87" spans="1:48" ht="18" customHeight="1">
      <c r="A87" s="411"/>
      <c r="B87" s="41"/>
      <c r="C87" s="401"/>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1"/>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4"/>
      <c r="T89" s="49"/>
      <c r="U89" s="49"/>
      <c r="V89" s="49"/>
      <c r="W89" s="49"/>
      <c r="X89" s="44"/>
      <c r="Y89" s="44"/>
      <c r="Z89" s="44"/>
      <c r="AA89" s="44"/>
      <c r="AB89" s="49"/>
      <c r="AC89" s="49"/>
      <c r="AD89" s="44"/>
      <c r="AE89" s="44"/>
      <c r="AF89" s="44"/>
      <c r="AG89" s="50" t="s">
        <v>64</v>
      </c>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3"/>
      <c r="AA90" s="53"/>
      <c r="AB90" s="54"/>
      <c r="AC90" s="54"/>
      <c r="AD90" s="53"/>
      <c r="AE90" s="53"/>
      <c r="AF90" s="53"/>
      <c r="AG90" s="71"/>
      <c r="AH90" s="132" t="str">
        <f>IF(AI90="","","←")</f>
        <v/>
      </c>
      <c r="AI90" s="417" t="str">
        <f>[5]機構処理!BI85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v>6</v>
      </c>
      <c r="H91" s="57"/>
      <c r="I91" s="57"/>
      <c r="J91" s="57">
        <v>6</v>
      </c>
      <c r="K91" s="57"/>
      <c r="L91" s="57">
        <v>6</v>
      </c>
      <c r="M91" s="57"/>
      <c r="N91" s="57">
        <v>6</v>
      </c>
      <c r="O91" s="57"/>
      <c r="P91" s="57"/>
      <c r="Q91" s="57">
        <v>6</v>
      </c>
      <c r="R91" s="57"/>
      <c r="S91" s="57"/>
      <c r="T91" s="57">
        <v>6</v>
      </c>
      <c r="U91" s="57">
        <v>6</v>
      </c>
      <c r="V91" s="57"/>
      <c r="W91" s="57"/>
      <c r="X91" s="57"/>
      <c r="Y91" s="57">
        <v>6</v>
      </c>
      <c r="Z91" s="57"/>
      <c r="AA91" s="57">
        <v>6</v>
      </c>
      <c r="AB91" s="57">
        <v>6</v>
      </c>
      <c r="AC91" s="57"/>
      <c r="AD91" s="57"/>
      <c r="AE91" s="57"/>
      <c r="AF91" s="57">
        <v>6</v>
      </c>
      <c r="AG91" s="73">
        <v>6</v>
      </c>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IF(C73="","",[5]機構処理!BF47)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46135</v>
      </c>
      <c r="D95" s="33">
        <f t="shared" ref="D95:AD95" si="17">IF(OR(C95="",C94="修了日"),"",C95+1)</f>
        <v>46136</v>
      </c>
      <c r="E95" s="33">
        <f t="shared" si="17"/>
        <v>46137</v>
      </c>
      <c r="F95" s="33">
        <f t="shared" si="17"/>
        <v>46138</v>
      </c>
      <c r="G95" s="33">
        <f t="shared" si="17"/>
        <v>46139</v>
      </c>
      <c r="H95" s="33">
        <f t="shared" si="17"/>
        <v>46140</v>
      </c>
      <c r="I95" s="33">
        <f t="shared" si="17"/>
        <v>46141</v>
      </c>
      <c r="J95" s="33">
        <f t="shared" si="17"/>
        <v>46142</v>
      </c>
      <c r="K95" s="33">
        <f t="shared" si="17"/>
        <v>46143</v>
      </c>
      <c r="L95" s="33">
        <f t="shared" si="17"/>
        <v>46144</v>
      </c>
      <c r="M95" s="33">
        <f t="shared" si="17"/>
        <v>46145</v>
      </c>
      <c r="N95" s="33">
        <f t="shared" si="17"/>
        <v>46146</v>
      </c>
      <c r="O95" s="33">
        <f t="shared" si="17"/>
        <v>46147</v>
      </c>
      <c r="P95" s="33">
        <f t="shared" si="17"/>
        <v>46148</v>
      </c>
      <c r="Q95" s="33">
        <f t="shared" si="17"/>
        <v>46149</v>
      </c>
      <c r="R95" s="33">
        <f t="shared" si="17"/>
        <v>46150</v>
      </c>
      <c r="S95" s="33">
        <f t="shared" si="17"/>
        <v>46151</v>
      </c>
      <c r="T95" s="33">
        <f t="shared" si="17"/>
        <v>46152</v>
      </c>
      <c r="U95" s="33">
        <f t="shared" si="17"/>
        <v>46153</v>
      </c>
      <c r="V95" s="33">
        <f t="shared" si="17"/>
        <v>46154</v>
      </c>
      <c r="W95" s="33">
        <f t="shared" si="17"/>
        <v>46155</v>
      </c>
      <c r="X95" s="33">
        <f t="shared" si="17"/>
        <v>46156</v>
      </c>
      <c r="Y95" s="33">
        <f t="shared" si="17"/>
        <v>46157</v>
      </c>
      <c r="Z95" s="33">
        <f t="shared" si="17"/>
        <v>46158</v>
      </c>
      <c r="AA95" s="33">
        <f t="shared" si="17"/>
        <v>46159</v>
      </c>
      <c r="AB95" s="33">
        <f t="shared" si="17"/>
        <v>46160</v>
      </c>
      <c r="AC95" s="33">
        <f t="shared" si="17"/>
        <v>46161</v>
      </c>
      <c r="AD95" s="33">
        <f t="shared" si="17"/>
        <v>46162</v>
      </c>
      <c r="AE95" s="33">
        <f>IF(OR(AD95="",AD94="修了日"),"",IF(AND(DAY(DATE(YEAR(C95),2,29))=29,MONTH(C95)=2),AD95+1,IF(MONTH(C95)=2,"",AD95+1)))</f>
        <v>46163</v>
      </c>
      <c r="AF95" s="33">
        <f>IF(OR(AE95="",AE94="修了日"),"",IF(MONTH(C95)=2,"",AE95+1))</f>
        <v>46164</v>
      </c>
      <c r="AG95" s="65" t="str">
        <f>IF(OR(AF95="",AF94="修了日"),"",IF(OR(MONTH(C95)=2,MONTH(C95)=4,MONTH(C95)=6,MONTH(C95)=9,MONTH(C95)=11),"",AF95+1))</f>
        <v/>
      </c>
      <c r="AH95" s="19"/>
      <c r="AI95" s="20"/>
      <c r="AJ95" s="20"/>
      <c r="AK95" s="20"/>
      <c r="AL95" s="20"/>
      <c r="AM95" s="20"/>
      <c r="AN95" s="20"/>
      <c r="AO95" s="20"/>
      <c r="AP95" s="20"/>
      <c r="AQ95" s="20"/>
      <c r="AR95" s="20"/>
      <c r="AS95" s="20"/>
      <c r="AT95" s="20"/>
      <c r="AU95" s="20"/>
      <c r="AV95" s="20"/>
    </row>
    <row r="96" spans="1:48" ht="18" customHeight="1">
      <c r="A96" s="35"/>
      <c r="B96" s="79" t="s">
        <v>52</v>
      </c>
      <c r="C96" s="36">
        <f>+C95</f>
        <v>46135</v>
      </c>
      <c r="D96" s="67">
        <f t="shared" ref="D96:AG97" si="18">IF(D95="","",+D95)</f>
        <v>46136</v>
      </c>
      <c r="E96" s="67">
        <f t="shared" si="18"/>
        <v>46137</v>
      </c>
      <c r="F96" s="67">
        <f t="shared" si="18"/>
        <v>46138</v>
      </c>
      <c r="G96" s="67">
        <f t="shared" si="18"/>
        <v>46139</v>
      </c>
      <c r="H96" s="67">
        <f t="shared" si="18"/>
        <v>46140</v>
      </c>
      <c r="I96" s="67">
        <f t="shared" si="18"/>
        <v>46141</v>
      </c>
      <c r="J96" s="67">
        <f t="shared" si="18"/>
        <v>46142</v>
      </c>
      <c r="K96" s="67">
        <f t="shared" si="18"/>
        <v>46143</v>
      </c>
      <c r="L96" s="67">
        <f t="shared" si="18"/>
        <v>46144</v>
      </c>
      <c r="M96" s="67">
        <f t="shared" si="18"/>
        <v>46145</v>
      </c>
      <c r="N96" s="67">
        <f t="shared" si="18"/>
        <v>46146</v>
      </c>
      <c r="O96" s="67">
        <f t="shared" si="18"/>
        <v>46147</v>
      </c>
      <c r="P96" s="67">
        <f t="shared" si="18"/>
        <v>46148</v>
      </c>
      <c r="Q96" s="67">
        <f t="shared" si="18"/>
        <v>46149</v>
      </c>
      <c r="R96" s="67">
        <f t="shared" si="18"/>
        <v>46150</v>
      </c>
      <c r="S96" s="67">
        <f t="shared" si="18"/>
        <v>46151</v>
      </c>
      <c r="T96" s="67">
        <f t="shared" si="18"/>
        <v>46152</v>
      </c>
      <c r="U96" s="67">
        <f t="shared" si="18"/>
        <v>46153</v>
      </c>
      <c r="V96" s="67">
        <f t="shared" si="18"/>
        <v>46154</v>
      </c>
      <c r="W96" s="67">
        <f t="shared" si="18"/>
        <v>46155</v>
      </c>
      <c r="X96" s="67">
        <f t="shared" si="18"/>
        <v>46156</v>
      </c>
      <c r="Y96" s="67">
        <f t="shared" si="18"/>
        <v>46157</v>
      </c>
      <c r="Z96" s="67">
        <f t="shared" si="18"/>
        <v>46158</v>
      </c>
      <c r="AA96" s="67">
        <f t="shared" si="18"/>
        <v>46159</v>
      </c>
      <c r="AB96" s="67">
        <f t="shared" si="18"/>
        <v>46160</v>
      </c>
      <c r="AC96" s="67">
        <f t="shared" si="18"/>
        <v>46161</v>
      </c>
      <c r="AD96" s="67">
        <f t="shared" si="18"/>
        <v>46162</v>
      </c>
      <c r="AE96" s="67">
        <f t="shared" si="18"/>
        <v>46163</v>
      </c>
      <c r="AF96" s="67">
        <f t="shared" si="18"/>
        <v>46164</v>
      </c>
      <c r="AG96" s="38" t="str">
        <f t="shared" si="18"/>
        <v/>
      </c>
      <c r="AH96" s="19"/>
      <c r="AI96" s="20"/>
      <c r="AJ96" s="20"/>
      <c r="AK96" s="20"/>
      <c r="AL96" s="20"/>
      <c r="AM96" s="20"/>
      <c r="AN96" s="20"/>
      <c r="AO96" s="20"/>
      <c r="AP96" s="20"/>
      <c r="AQ96" s="20"/>
      <c r="AR96" s="20"/>
      <c r="AS96" s="20"/>
      <c r="AT96" s="20"/>
      <c r="AU96" s="20"/>
      <c r="AV96" s="20"/>
    </row>
    <row r="97" spans="1:48" ht="18" customHeight="1">
      <c r="A97" s="35"/>
      <c r="B97" s="80" t="s">
        <v>53</v>
      </c>
      <c r="C97" s="81">
        <f>+C96</f>
        <v>46135</v>
      </c>
      <c r="D97" s="39">
        <f t="shared" si="18"/>
        <v>46136</v>
      </c>
      <c r="E97" s="39">
        <f t="shared" si="18"/>
        <v>46137</v>
      </c>
      <c r="F97" s="39">
        <f t="shared" si="18"/>
        <v>46138</v>
      </c>
      <c r="G97" s="39">
        <f t="shared" si="18"/>
        <v>46139</v>
      </c>
      <c r="H97" s="39">
        <f t="shared" si="18"/>
        <v>46140</v>
      </c>
      <c r="I97" s="39">
        <f t="shared" si="18"/>
        <v>46141</v>
      </c>
      <c r="J97" s="39">
        <f t="shared" si="18"/>
        <v>46142</v>
      </c>
      <c r="K97" s="39">
        <f t="shared" si="18"/>
        <v>46143</v>
      </c>
      <c r="L97" s="39">
        <f t="shared" si="18"/>
        <v>46144</v>
      </c>
      <c r="M97" s="39">
        <f t="shared" si="18"/>
        <v>46145</v>
      </c>
      <c r="N97" s="39">
        <f t="shared" si="18"/>
        <v>46146</v>
      </c>
      <c r="O97" s="39">
        <f t="shared" si="18"/>
        <v>46147</v>
      </c>
      <c r="P97" s="39">
        <f t="shared" si="18"/>
        <v>46148</v>
      </c>
      <c r="Q97" s="39">
        <f t="shared" si="18"/>
        <v>46149</v>
      </c>
      <c r="R97" s="39">
        <f t="shared" si="18"/>
        <v>46150</v>
      </c>
      <c r="S97" s="39">
        <f t="shared" si="18"/>
        <v>46151</v>
      </c>
      <c r="T97" s="39">
        <f t="shared" si="18"/>
        <v>46152</v>
      </c>
      <c r="U97" s="39">
        <f t="shared" si="18"/>
        <v>46153</v>
      </c>
      <c r="V97" s="39">
        <f t="shared" si="18"/>
        <v>46154</v>
      </c>
      <c r="W97" s="39">
        <f t="shared" si="18"/>
        <v>46155</v>
      </c>
      <c r="X97" s="39">
        <f t="shared" si="18"/>
        <v>46156</v>
      </c>
      <c r="Y97" s="39">
        <f t="shared" si="18"/>
        <v>46157</v>
      </c>
      <c r="Z97" s="39">
        <f t="shared" si="18"/>
        <v>46158</v>
      </c>
      <c r="AA97" s="39">
        <f t="shared" si="18"/>
        <v>46159</v>
      </c>
      <c r="AB97" s="39">
        <f t="shared" si="18"/>
        <v>46160</v>
      </c>
      <c r="AC97" s="39">
        <f t="shared" si="18"/>
        <v>46161</v>
      </c>
      <c r="AD97" s="39">
        <f t="shared" si="18"/>
        <v>46162</v>
      </c>
      <c r="AE97" s="39">
        <f t="shared" si="18"/>
        <v>46163</v>
      </c>
      <c r="AF97" s="39">
        <f t="shared" si="18"/>
        <v>46164</v>
      </c>
      <c r="AG97" s="40" t="str">
        <f t="shared" si="18"/>
        <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399" t="s">
        <v>333</v>
      </c>
      <c r="D98" s="399" t="s">
        <v>333</v>
      </c>
      <c r="E98" s="399" t="str">
        <f t="shared" ref="E98:AG98" si="19">IF(E$97="","",IF(E$97=$K$153,"ハローワーク来所日④",""))</f>
        <v/>
      </c>
      <c r="F98" s="399" t="str">
        <f t="shared" si="19"/>
        <v/>
      </c>
      <c r="G98" s="399" t="s">
        <v>334</v>
      </c>
      <c r="H98" s="399" t="s">
        <v>335</v>
      </c>
      <c r="I98" s="399" t="str">
        <f t="shared" si="19"/>
        <v/>
      </c>
      <c r="J98" s="399" t="s">
        <v>333</v>
      </c>
      <c r="K98" s="399" t="s">
        <v>336</v>
      </c>
      <c r="L98" s="399" t="str">
        <f t="shared" si="19"/>
        <v/>
      </c>
      <c r="M98" s="399" t="str">
        <f t="shared" si="19"/>
        <v/>
      </c>
      <c r="N98" s="399" t="str">
        <f t="shared" si="19"/>
        <v/>
      </c>
      <c r="O98" s="399" t="str">
        <f t="shared" si="19"/>
        <v/>
      </c>
      <c r="P98" s="399" t="str">
        <f t="shared" si="19"/>
        <v/>
      </c>
      <c r="Q98" s="399" t="str">
        <f t="shared" si="19"/>
        <v>ハローワーク来所日④</v>
      </c>
      <c r="R98" s="399" t="s">
        <v>336</v>
      </c>
      <c r="S98" s="399" t="str">
        <f t="shared" si="19"/>
        <v/>
      </c>
      <c r="T98" s="399" t="str">
        <f t="shared" si="19"/>
        <v/>
      </c>
      <c r="U98" s="399"/>
      <c r="V98" s="399" t="s">
        <v>337</v>
      </c>
      <c r="W98" s="399" t="str">
        <f t="shared" si="19"/>
        <v/>
      </c>
      <c r="X98" s="399" t="s">
        <v>337</v>
      </c>
      <c r="Y98" s="399" t="s">
        <v>337</v>
      </c>
      <c r="Z98" s="399" t="str">
        <f t="shared" si="19"/>
        <v/>
      </c>
      <c r="AA98" s="399" t="str">
        <f t="shared" si="19"/>
        <v/>
      </c>
      <c r="AB98" s="399"/>
      <c r="AC98" s="399" t="s">
        <v>337</v>
      </c>
      <c r="AD98" s="399" t="s">
        <v>337</v>
      </c>
      <c r="AE98" s="399" t="s">
        <v>338</v>
      </c>
      <c r="AF98" s="399" t="s">
        <v>339</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00"/>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00"/>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00"/>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00"/>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00"/>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00"/>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00"/>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00"/>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00"/>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00"/>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01"/>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9"/>
      <c r="J110" s="44"/>
      <c r="K110" s="44"/>
      <c r="L110" s="44"/>
      <c r="M110" s="44"/>
      <c r="N110" s="44"/>
      <c r="O110" s="49"/>
      <c r="P110" s="49"/>
      <c r="Q110" s="44"/>
      <c r="R110" s="44"/>
      <c r="S110" s="44"/>
      <c r="T110" s="49"/>
      <c r="U110" s="49"/>
      <c r="V110" s="49"/>
      <c r="W110" s="49"/>
      <c r="X110" s="44"/>
      <c r="Y110" s="44"/>
      <c r="Z110" s="44"/>
      <c r="AA110" s="44"/>
      <c r="AB110" s="49"/>
      <c r="AC110" s="49"/>
      <c r="AD110" s="44" t="s">
        <v>64</v>
      </c>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3"/>
      <c r="T111" s="54"/>
      <c r="U111" s="54"/>
      <c r="V111" s="54"/>
      <c r="W111" s="54"/>
      <c r="X111" s="53"/>
      <c r="Y111" s="53"/>
      <c r="Z111" s="53"/>
      <c r="AA111" s="53"/>
      <c r="AB111" s="54"/>
      <c r="AC111" s="54"/>
      <c r="AD111" s="53"/>
      <c r="AE111" s="53"/>
      <c r="AF111" s="53"/>
      <c r="AG111" s="71"/>
      <c r="AH111" s="132" t="str">
        <f>IF(AI111="","","←")</f>
        <v/>
      </c>
      <c r="AI111" s="416" t="str">
        <f>[5]機構処理!BI89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v>6</v>
      </c>
      <c r="D112" s="57">
        <v>6</v>
      </c>
      <c r="E112" s="57"/>
      <c r="F112" s="57"/>
      <c r="G112" s="57">
        <v>6</v>
      </c>
      <c r="H112" s="57">
        <v>6</v>
      </c>
      <c r="I112" s="57"/>
      <c r="J112" s="57">
        <v>6</v>
      </c>
      <c r="K112" s="57">
        <v>6</v>
      </c>
      <c r="L112" s="57"/>
      <c r="M112" s="57"/>
      <c r="N112" s="57"/>
      <c r="O112" s="57"/>
      <c r="P112" s="57"/>
      <c r="Q112" s="57"/>
      <c r="R112" s="57">
        <v>6</v>
      </c>
      <c r="S112" s="57"/>
      <c r="T112" s="57"/>
      <c r="U112" s="57"/>
      <c r="V112" s="57">
        <v>6</v>
      </c>
      <c r="W112" s="57"/>
      <c r="X112" s="57">
        <v>6</v>
      </c>
      <c r="Y112" s="57">
        <v>6</v>
      </c>
      <c r="Z112" s="57"/>
      <c r="AA112" s="57"/>
      <c r="AB112" s="57"/>
      <c r="AC112" s="57">
        <v>6</v>
      </c>
      <c r="AD112" s="57">
        <v>6</v>
      </c>
      <c r="AE112" s="57">
        <v>6</v>
      </c>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IF(C95="","",[5]機構処理!BF53)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
      </c>
      <c r="AE115" s="28" t="str">
        <f t="shared" si="20"/>
        <v/>
      </c>
      <c r="AF115" s="28" t="str">
        <f t="shared" si="20"/>
        <v/>
      </c>
      <c r="AG115" s="28" t="str">
        <f t="shared" si="20"/>
        <v>修了日</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46165</v>
      </c>
      <c r="D116" s="33">
        <f t="shared" ref="D116:AD116" si="21">IF(OR(C116="",C115="修了日"),"",C116+1)</f>
        <v>46166</v>
      </c>
      <c r="E116" s="33">
        <f t="shared" si="21"/>
        <v>46167</v>
      </c>
      <c r="F116" s="33">
        <f t="shared" si="21"/>
        <v>46168</v>
      </c>
      <c r="G116" s="33">
        <f t="shared" si="21"/>
        <v>46169</v>
      </c>
      <c r="H116" s="33">
        <f t="shared" si="21"/>
        <v>46170</v>
      </c>
      <c r="I116" s="33">
        <f t="shared" si="21"/>
        <v>46171</v>
      </c>
      <c r="J116" s="33">
        <f t="shared" si="21"/>
        <v>46172</v>
      </c>
      <c r="K116" s="33">
        <f t="shared" si="21"/>
        <v>46173</v>
      </c>
      <c r="L116" s="33">
        <f t="shared" si="21"/>
        <v>46174</v>
      </c>
      <c r="M116" s="33">
        <f t="shared" si="21"/>
        <v>46175</v>
      </c>
      <c r="N116" s="33">
        <f t="shared" si="21"/>
        <v>46176</v>
      </c>
      <c r="O116" s="33">
        <f t="shared" si="21"/>
        <v>46177</v>
      </c>
      <c r="P116" s="33">
        <f t="shared" si="21"/>
        <v>46178</v>
      </c>
      <c r="Q116" s="33">
        <f t="shared" si="21"/>
        <v>46179</v>
      </c>
      <c r="R116" s="33">
        <f t="shared" si="21"/>
        <v>46180</v>
      </c>
      <c r="S116" s="33">
        <f t="shared" si="21"/>
        <v>46181</v>
      </c>
      <c r="T116" s="33">
        <f t="shared" si="21"/>
        <v>46182</v>
      </c>
      <c r="U116" s="33">
        <f t="shared" si="21"/>
        <v>46183</v>
      </c>
      <c r="V116" s="33">
        <f t="shared" si="21"/>
        <v>46184</v>
      </c>
      <c r="W116" s="33">
        <f t="shared" si="21"/>
        <v>46185</v>
      </c>
      <c r="X116" s="33">
        <f t="shared" si="21"/>
        <v>46186</v>
      </c>
      <c r="Y116" s="33">
        <f t="shared" si="21"/>
        <v>46187</v>
      </c>
      <c r="Z116" s="33">
        <f t="shared" si="21"/>
        <v>46188</v>
      </c>
      <c r="AA116" s="33">
        <f t="shared" si="21"/>
        <v>46189</v>
      </c>
      <c r="AB116" s="33">
        <f t="shared" si="21"/>
        <v>46190</v>
      </c>
      <c r="AC116" s="33">
        <f t="shared" si="21"/>
        <v>46191</v>
      </c>
      <c r="AD116" s="33">
        <f t="shared" si="21"/>
        <v>46192</v>
      </c>
      <c r="AE116" s="33">
        <f>IF(OR(AD116="",AD115="修了日"),"",IF(AND(DAY(DATE(YEAR(C116),2,29))=29,MONTH(C116)=2),AD116+1,IF(MONTH(C116)=2,"",AD116+1)))</f>
        <v>46193</v>
      </c>
      <c r="AF116" s="33">
        <f>IF(OR(AE116="",AE115="修了日"),"",IF(MONTH(C116)=2,"",AE116+1))</f>
        <v>46194</v>
      </c>
      <c r="AG116" s="65">
        <f>IF(OR(AF116="",AF115="修了日"),"",IF(OR(MONTH(C116)=2,MONTH(C116)=4,MONTH(C116)=6,MONTH(C116)=9,MONTH(C116)=11),"",AF116+1))</f>
        <v>46195</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46165</v>
      </c>
      <c r="D117" s="67">
        <f t="shared" ref="D117:AG118" si="22">IF(D116="","",+D116)</f>
        <v>46166</v>
      </c>
      <c r="E117" s="67">
        <f t="shared" si="22"/>
        <v>46167</v>
      </c>
      <c r="F117" s="67">
        <f t="shared" si="22"/>
        <v>46168</v>
      </c>
      <c r="G117" s="67">
        <f t="shared" si="22"/>
        <v>46169</v>
      </c>
      <c r="H117" s="67">
        <f t="shared" si="22"/>
        <v>46170</v>
      </c>
      <c r="I117" s="67">
        <f t="shared" si="22"/>
        <v>46171</v>
      </c>
      <c r="J117" s="67">
        <f t="shared" si="22"/>
        <v>46172</v>
      </c>
      <c r="K117" s="67">
        <f t="shared" si="22"/>
        <v>46173</v>
      </c>
      <c r="L117" s="67">
        <f t="shared" si="22"/>
        <v>46174</v>
      </c>
      <c r="M117" s="67">
        <f t="shared" si="22"/>
        <v>46175</v>
      </c>
      <c r="N117" s="67">
        <f t="shared" si="22"/>
        <v>46176</v>
      </c>
      <c r="O117" s="67">
        <f t="shared" si="22"/>
        <v>46177</v>
      </c>
      <c r="P117" s="67">
        <f t="shared" si="22"/>
        <v>46178</v>
      </c>
      <c r="Q117" s="67">
        <f t="shared" si="22"/>
        <v>46179</v>
      </c>
      <c r="R117" s="67">
        <f t="shared" si="22"/>
        <v>46180</v>
      </c>
      <c r="S117" s="67">
        <f t="shared" si="22"/>
        <v>46181</v>
      </c>
      <c r="T117" s="67">
        <f t="shared" si="22"/>
        <v>46182</v>
      </c>
      <c r="U117" s="67">
        <f t="shared" si="22"/>
        <v>46183</v>
      </c>
      <c r="V117" s="67">
        <f t="shared" si="22"/>
        <v>46184</v>
      </c>
      <c r="W117" s="67">
        <f t="shared" si="22"/>
        <v>46185</v>
      </c>
      <c r="X117" s="67">
        <f t="shared" si="22"/>
        <v>46186</v>
      </c>
      <c r="Y117" s="67">
        <f t="shared" si="22"/>
        <v>46187</v>
      </c>
      <c r="Z117" s="67">
        <f t="shared" si="22"/>
        <v>46188</v>
      </c>
      <c r="AA117" s="67">
        <f t="shared" si="22"/>
        <v>46189</v>
      </c>
      <c r="AB117" s="67">
        <f t="shared" si="22"/>
        <v>46190</v>
      </c>
      <c r="AC117" s="67">
        <f t="shared" si="22"/>
        <v>46191</v>
      </c>
      <c r="AD117" s="67">
        <f t="shared" si="22"/>
        <v>46192</v>
      </c>
      <c r="AE117" s="67">
        <f t="shared" si="22"/>
        <v>46193</v>
      </c>
      <c r="AF117" s="67">
        <f t="shared" si="22"/>
        <v>46194</v>
      </c>
      <c r="AG117" s="38">
        <f t="shared" si="22"/>
        <v>46195</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46165</v>
      </c>
      <c r="D118" s="39">
        <f t="shared" si="22"/>
        <v>46166</v>
      </c>
      <c r="E118" s="39">
        <f t="shared" si="22"/>
        <v>46167</v>
      </c>
      <c r="F118" s="39">
        <f t="shared" si="22"/>
        <v>46168</v>
      </c>
      <c r="G118" s="39">
        <f t="shared" si="22"/>
        <v>46169</v>
      </c>
      <c r="H118" s="39">
        <f t="shared" si="22"/>
        <v>46170</v>
      </c>
      <c r="I118" s="39">
        <f t="shared" si="22"/>
        <v>46171</v>
      </c>
      <c r="J118" s="39">
        <f t="shared" si="22"/>
        <v>46172</v>
      </c>
      <c r="K118" s="39">
        <f t="shared" si="22"/>
        <v>46173</v>
      </c>
      <c r="L118" s="39">
        <f t="shared" si="22"/>
        <v>46174</v>
      </c>
      <c r="M118" s="39">
        <f t="shared" si="22"/>
        <v>46175</v>
      </c>
      <c r="N118" s="39">
        <f t="shared" si="22"/>
        <v>46176</v>
      </c>
      <c r="O118" s="39">
        <f t="shared" si="22"/>
        <v>46177</v>
      </c>
      <c r="P118" s="39">
        <f t="shared" si="22"/>
        <v>46178</v>
      </c>
      <c r="Q118" s="39">
        <f t="shared" si="22"/>
        <v>46179</v>
      </c>
      <c r="R118" s="39">
        <f t="shared" si="22"/>
        <v>46180</v>
      </c>
      <c r="S118" s="39">
        <f t="shared" si="22"/>
        <v>46181</v>
      </c>
      <c r="T118" s="39">
        <f t="shared" si="22"/>
        <v>46182</v>
      </c>
      <c r="U118" s="39">
        <f t="shared" si="22"/>
        <v>46183</v>
      </c>
      <c r="V118" s="39">
        <f t="shared" si="22"/>
        <v>46184</v>
      </c>
      <c r="W118" s="39">
        <f t="shared" si="22"/>
        <v>46185</v>
      </c>
      <c r="X118" s="39">
        <f t="shared" si="22"/>
        <v>46186</v>
      </c>
      <c r="Y118" s="39">
        <f t="shared" si="22"/>
        <v>46187</v>
      </c>
      <c r="Z118" s="39">
        <f t="shared" si="22"/>
        <v>46188</v>
      </c>
      <c r="AA118" s="39">
        <f t="shared" si="22"/>
        <v>46189</v>
      </c>
      <c r="AB118" s="39">
        <f t="shared" si="22"/>
        <v>46190</v>
      </c>
      <c r="AC118" s="39">
        <f t="shared" si="22"/>
        <v>46191</v>
      </c>
      <c r="AD118" s="39">
        <f t="shared" si="22"/>
        <v>46192</v>
      </c>
      <c r="AE118" s="39">
        <f t="shared" si="22"/>
        <v>46193</v>
      </c>
      <c r="AF118" s="39">
        <f t="shared" si="22"/>
        <v>46194</v>
      </c>
      <c r="AG118" s="40">
        <f t="shared" si="22"/>
        <v>46195</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F119" si="23">IF(C$118="","",IF(C$118=$K$154,"ハローワーク来所日⑤",""))</f>
        <v/>
      </c>
      <c r="D119" s="399" t="str">
        <f t="shared" si="23"/>
        <v/>
      </c>
      <c r="E119" s="399" t="s">
        <v>340</v>
      </c>
      <c r="F119" s="399" t="s">
        <v>340</v>
      </c>
      <c r="G119" s="399"/>
      <c r="H119" s="399" t="s">
        <v>340</v>
      </c>
      <c r="I119" s="399" t="s">
        <v>340</v>
      </c>
      <c r="J119" s="399" t="s">
        <v>108</v>
      </c>
      <c r="K119" s="399" t="str">
        <f t="shared" si="23"/>
        <v/>
      </c>
      <c r="L119" s="399" t="s">
        <v>340</v>
      </c>
      <c r="M119" s="399" t="str">
        <f t="shared" si="23"/>
        <v>ハローワーク来所日⑤</v>
      </c>
      <c r="N119" s="399" t="str">
        <f t="shared" si="23"/>
        <v/>
      </c>
      <c r="O119" s="399" t="s">
        <v>340</v>
      </c>
      <c r="P119" s="399" t="s">
        <v>340</v>
      </c>
      <c r="Q119" s="399" t="s">
        <v>108</v>
      </c>
      <c r="R119" s="399" t="str">
        <f t="shared" si="23"/>
        <v/>
      </c>
      <c r="S119" s="399" t="str">
        <f t="shared" si="23"/>
        <v/>
      </c>
      <c r="T119" s="399" t="s">
        <v>340</v>
      </c>
      <c r="U119" s="399" t="str">
        <f t="shared" si="23"/>
        <v/>
      </c>
      <c r="V119" s="399" t="s">
        <v>340</v>
      </c>
      <c r="W119" s="399" t="s">
        <v>340</v>
      </c>
      <c r="X119" s="399" t="str">
        <f t="shared" si="23"/>
        <v/>
      </c>
      <c r="Y119" s="399" t="str">
        <f t="shared" si="23"/>
        <v/>
      </c>
      <c r="Z119" s="399" t="s">
        <v>340</v>
      </c>
      <c r="AA119" s="399" t="str">
        <f t="shared" si="23"/>
        <v/>
      </c>
      <c r="AB119" s="399" t="s">
        <v>341</v>
      </c>
      <c r="AC119" s="399" t="s">
        <v>342</v>
      </c>
      <c r="AD119" s="399" t="s">
        <v>248</v>
      </c>
      <c r="AE119" s="399" t="str">
        <f t="shared" si="23"/>
        <v/>
      </c>
      <c r="AF119" s="399" t="str">
        <f t="shared" si="23"/>
        <v/>
      </c>
      <c r="AG119" s="402" t="s">
        <v>343</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c r="W131" s="49"/>
      <c r="X131" s="44"/>
      <c r="Y131" s="44"/>
      <c r="Z131" s="44"/>
      <c r="AA131" s="44"/>
      <c r="AB131" s="49"/>
      <c r="AC131" s="49" t="s">
        <v>69</v>
      </c>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[5]機構処理!BI93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c r="E133" s="57">
        <v>6</v>
      </c>
      <c r="F133" s="57">
        <v>6</v>
      </c>
      <c r="G133" s="57"/>
      <c r="H133" s="57">
        <v>6</v>
      </c>
      <c r="I133" s="57">
        <v>6</v>
      </c>
      <c r="J133" s="57">
        <v>0</v>
      </c>
      <c r="K133" s="57"/>
      <c r="L133" s="57">
        <v>6</v>
      </c>
      <c r="M133" s="57"/>
      <c r="N133" s="57"/>
      <c r="O133" s="57">
        <v>6</v>
      </c>
      <c r="P133" s="57">
        <v>6</v>
      </c>
      <c r="Q133" s="57">
        <v>0</v>
      </c>
      <c r="R133" s="57"/>
      <c r="S133" s="57"/>
      <c r="T133" s="57">
        <v>6</v>
      </c>
      <c r="U133" s="57"/>
      <c r="V133" s="57">
        <v>6</v>
      </c>
      <c r="W133" s="57">
        <v>6</v>
      </c>
      <c r="X133" s="57"/>
      <c r="Y133" s="57"/>
      <c r="Z133" s="57">
        <v>6</v>
      </c>
      <c r="AA133" s="57"/>
      <c r="AB133" s="57">
        <v>6</v>
      </c>
      <c r="AC133" s="57">
        <v>6</v>
      </c>
      <c r="AD133" s="57">
        <v>6</v>
      </c>
      <c r="AE133" s="57"/>
      <c r="AF133" s="57"/>
      <c r="AG133" s="73">
        <v>0</v>
      </c>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IF(C116="","",[5]機構処理!BF59)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319</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320</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0.54166666666666663</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IF([5]様式1!$E$20="","",AI21+AI44+AI66+AI88)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46015</v>
      </c>
      <c r="L140" s="385"/>
      <c r="M140" s="385"/>
      <c r="N140" s="385"/>
      <c r="O140" s="386"/>
      <c r="P140" s="96" t="s">
        <v>72</v>
      </c>
      <c r="Q140" s="387">
        <v>46044</v>
      </c>
      <c r="R140" s="385"/>
      <c r="S140" s="385"/>
      <c r="T140" s="385"/>
      <c r="U140" s="385"/>
      <c r="V140" s="390" t="s">
        <v>324</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46077</v>
      </c>
      <c r="L141" s="385"/>
      <c r="M141" s="385"/>
      <c r="N141" s="385"/>
      <c r="O141" s="386"/>
      <c r="P141" s="96" t="s">
        <v>72</v>
      </c>
      <c r="Q141" s="387">
        <v>46100</v>
      </c>
      <c r="R141" s="385"/>
      <c r="S141" s="385"/>
      <c r="T141" s="385"/>
      <c r="U141" s="385"/>
      <c r="V141" s="390" t="s">
        <v>324</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46167</v>
      </c>
      <c r="L142" s="385"/>
      <c r="M142" s="385"/>
      <c r="N142" s="385"/>
      <c r="O142" s="386"/>
      <c r="P142" s="96" t="s">
        <v>72</v>
      </c>
      <c r="Q142" s="387">
        <v>46192</v>
      </c>
      <c r="R142" s="385"/>
      <c r="S142" s="385"/>
      <c r="T142" s="385"/>
      <c r="U142" s="385"/>
      <c r="V142" s="388" t="s">
        <v>324</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0.43055555555555558</v>
      </c>
      <c r="D148" s="384"/>
      <c r="E148" s="94" t="s">
        <v>72</v>
      </c>
      <c r="F148" s="366">
        <v>0.46527777777777779</v>
      </c>
      <c r="G148" s="367"/>
      <c r="H148" s="15"/>
      <c r="I148" s="100" t="s">
        <v>86</v>
      </c>
      <c r="J148" s="15"/>
      <c r="K148" s="15"/>
      <c r="L148" s="15"/>
      <c r="M148" s="15"/>
      <c r="N148" s="15"/>
      <c r="O148" s="100" t="s">
        <v>321</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0.47222222222222221</v>
      </c>
      <c r="D149" s="366"/>
      <c r="E149" s="94" t="s">
        <v>72</v>
      </c>
      <c r="F149" s="366">
        <v>0.50694444444444442</v>
      </c>
      <c r="G149" s="367"/>
      <c r="H149" s="15"/>
      <c r="I149" s="363"/>
      <c r="J149" s="364"/>
      <c r="K149" s="349" t="s">
        <v>322</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0.51388888888888884</v>
      </c>
      <c r="D150" s="366"/>
      <c r="E150" s="94" t="s">
        <v>72</v>
      </c>
      <c r="F150" s="366">
        <v>0.54861111111111116</v>
      </c>
      <c r="G150" s="367"/>
      <c r="H150" s="15"/>
      <c r="I150" s="380" t="str">
        <f>IF(AND(ハローワーク来所日パターン&lt;&gt;"",$C$29&lt;&gt;"",訓練終了日&gt;ハローワーク来所日1),"１回目","")</f>
        <v>１回目</v>
      </c>
      <c r="J150" s="381"/>
      <c r="K150" s="339">
        <f>IF($I150="","",ハローワーク来所日1)</f>
        <v>46058</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0.59027777777777779</v>
      </c>
      <c r="D151" s="366"/>
      <c r="E151" s="94" t="s">
        <v>72</v>
      </c>
      <c r="F151" s="366">
        <v>0.625</v>
      </c>
      <c r="G151" s="367"/>
      <c r="H151" s="15"/>
      <c r="I151" s="380" t="str">
        <f>IF(AND(ハローワーク来所日パターン&lt;&gt;"",$C$51&lt;&gt;"",訓練終了日&gt;ハローワーク来所日2),"２回目","")</f>
        <v>２回目</v>
      </c>
      <c r="J151" s="381"/>
      <c r="K151" s="339">
        <f>IF($I151="","",ハローワーク来所日2)</f>
        <v>46090</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0.63194444444444442</v>
      </c>
      <c r="D152" s="366"/>
      <c r="E152" s="94" t="s">
        <v>72</v>
      </c>
      <c r="F152" s="366">
        <v>0.66666666666666663</v>
      </c>
      <c r="G152" s="367"/>
      <c r="H152" s="15"/>
      <c r="I152" s="380" t="str">
        <f>IF(AND(ハローワーク来所日パターン&lt;&gt;"",$C$73&lt;&gt;"",訓練終了日&gt;ハローワーク来所日3),"３回目","")</f>
        <v>３回目</v>
      </c>
      <c r="J152" s="381"/>
      <c r="K152" s="339">
        <f>IF($I152="","",ハローワーク来所日3)</f>
        <v>46114</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0.67361111111111116</v>
      </c>
      <c r="D153" s="366"/>
      <c r="E153" s="94" t="s">
        <v>72</v>
      </c>
      <c r="F153" s="366">
        <v>0.70833333333333337</v>
      </c>
      <c r="G153" s="367"/>
      <c r="H153" s="15"/>
      <c r="I153" s="380" t="str">
        <f>IF(AND(ハローワーク来所日パターン&lt;&gt;"",$C$95&lt;&gt;"",訓練終了日&gt;ハローワーク来所日4),"４回目","")</f>
        <v>４回目</v>
      </c>
      <c r="J153" s="381"/>
      <c r="K153" s="339">
        <f>IF($I153="","",ハローワーク来所日4)</f>
        <v>46149</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0.70833333333333337</v>
      </c>
      <c r="D154" s="366"/>
      <c r="E154" s="94" t="s">
        <v>72</v>
      </c>
      <c r="F154" s="366">
        <v>0.75</v>
      </c>
      <c r="G154" s="367"/>
      <c r="H154" s="15"/>
      <c r="I154" s="380" t="str">
        <f>IF(AND(ハローワーク来所日パターン&lt;&gt;"",$C$116&lt;&gt;"",訓練終了日&gt;ハローワーク来所日5),"５回目","")</f>
        <v>５回目</v>
      </c>
      <c r="J154" s="381"/>
      <c r="K154" s="339">
        <f>IF($I154="","",ハローワーク来所日5)</f>
        <v>46175</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46014</v>
      </c>
      <c r="F172" s="340"/>
      <c r="G172" s="340"/>
      <c r="H172" s="340"/>
      <c r="I172" s="340"/>
      <c r="J172" s="94" t="s">
        <v>104</v>
      </c>
      <c r="K172" s="340">
        <f>IF(訓練開始日="","",IF(訓練終了日&lt;EDATE(訓練開始日,1)-1,訓練終了日,EDATE(E172,1)-1))</f>
        <v>46044</v>
      </c>
      <c r="L172" s="340"/>
      <c r="M172" s="340"/>
      <c r="N172" s="340"/>
      <c r="O172" s="341"/>
      <c r="P172" s="108"/>
      <c r="Q172" s="215">
        <f>IF(E172="","",(K172-E172+1))</f>
        <v>31</v>
      </c>
      <c r="R172" s="112" t="s">
        <v>52</v>
      </c>
      <c r="S172" s="101"/>
      <c r="T172" s="113"/>
      <c r="U172" s="215">
        <f>IF(E172="","",[5]機構処理!$BG$24)</f>
        <v>17</v>
      </c>
      <c r="V172" s="112" t="s">
        <v>52</v>
      </c>
      <c r="W172" s="101"/>
      <c r="X172" s="353">
        <f>IF(E172="","",[5]機構処理!BG72)</f>
        <v>0</v>
      </c>
      <c r="Y172" s="354"/>
      <c r="Z172" s="354"/>
      <c r="AA172" s="114" t="s">
        <v>66</v>
      </c>
      <c r="AB172" s="107"/>
      <c r="AC172" s="344">
        <f>IF(E172="","",[5]機構処理!$BH$25)</f>
        <v>84</v>
      </c>
      <c r="AD172" s="345"/>
      <c r="AE172" s="345"/>
      <c r="AF172" s="324" t="s">
        <v>66</v>
      </c>
      <c r="AG172" s="325"/>
      <c r="AH172" s="346" t="e">
        <f>[5]機構処理!BR26</f>
        <v>#REF!</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46045</v>
      </c>
      <c r="F173" s="340"/>
      <c r="G173" s="340"/>
      <c r="H173" s="340"/>
      <c r="I173" s="340"/>
      <c r="J173" s="94" t="s">
        <v>104</v>
      </c>
      <c r="K173" s="340">
        <f>IF(E173="","",IF(EDATE(E173,1)-1&lt;訓練終了日,EDATE(E173,1)-1,訓練終了日))</f>
        <v>46075</v>
      </c>
      <c r="L173" s="340"/>
      <c r="M173" s="340"/>
      <c r="N173" s="340"/>
      <c r="O173" s="341"/>
      <c r="P173" s="108"/>
      <c r="Q173" s="215">
        <f>IF(E173="","",(K173-E173+1))</f>
        <v>31</v>
      </c>
      <c r="R173" s="109" t="s">
        <v>52</v>
      </c>
      <c r="S173" s="101"/>
      <c r="T173" s="108"/>
      <c r="U173" s="215">
        <f>IF(E173="","",[5]機構処理!$BG$30)</f>
        <v>17</v>
      </c>
      <c r="V173" s="109" t="s">
        <v>52</v>
      </c>
      <c r="W173" s="101"/>
      <c r="X173" s="342">
        <f>IF(E173="","",[5]機構処理!BG77)</f>
        <v>0</v>
      </c>
      <c r="Y173" s="343"/>
      <c r="Z173" s="343"/>
      <c r="AA173" s="114" t="s">
        <v>66</v>
      </c>
      <c r="AB173" s="107"/>
      <c r="AC173" s="344">
        <f>IF(E173="","",[5]機構処理!$BH$31)</f>
        <v>102</v>
      </c>
      <c r="AD173" s="345"/>
      <c r="AE173" s="345"/>
      <c r="AF173" s="324" t="s">
        <v>66</v>
      </c>
      <c r="AG173" s="325"/>
      <c r="AH173" s="346" t="e">
        <f>[5]機構処理!BR27</f>
        <v>#REF!</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46076</v>
      </c>
      <c r="F174" s="340"/>
      <c r="G174" s="340"/>
      <c r="H174" s="340"/>
      <c r="I174" s="340"/>
      <c r="J174" s="94" t="s">
        <v>104</v>
      </c>
      <c r="K174" s="340">
        <f>IF(E174="","",IF(EDATE(E174,1)-1&lt;訓練終了日,EDATE(E174,1)-1,訓練終了日))</f>
        <v>46103</v>
      </c>
      <c r="L174" s="340"/>
      <c r="M174" s="340"/>
      <c r="N174" s="340"/>
      <c r="O174" s="341"/>
      <c r="P174" s="108"/>
      <c r="Q174" s="215">
        <f>IF(E174="","",(K174-E174+1))</f>
        <v>28</v>
      </c>
      <c r="R174" s="109" t="s">
        <v>52</v>
      </c>
      <c r="S174" s="101"/>
      <c r="T174" s="108"/>
      <c r="U174" s="215">
        <f>IF(E174="","",[5]機構処理!$BG$36)</f>
        <v>19</v>
      </c>
      <c r="V174" s="109" t="s">
        <v>52</v>
      </c>
      <c r="W174" s="101"/>
      <c r="X174" s="342">
        <f>IF(E174="","",[5]機構処理!BG81)</f>
        <v>0</v>
      </c>
      <c r="Y174" s="343"/>
      <c r="Z174" s="343"/>
      <c r="AA174" s="114" t="s">
        <v>66</v>
      </c>
      <c r="AB174" s="107"/>
      <c r="AC174" s="344">
        <f>IF(E174="","",[5]機構処理!$BH$37)</f>
        <v>102</v>
      </c>
      <c r="AD174" s="345"/>
      <c r="AE174" s="345"/>
      <c r="AF174" s="324" t="s">
        <v>66</v>
      </c>
      <c r="AG174" s="325"/>
      <c r="AH174" s="346" t="e">
        <f>[5]機構処理!BR28</f>
        <v>#REF!</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46104</v>
      </c>
      <c r="F175" s="340"/>
      <c r="G175" s="340"/>
      <c r="H175" s="340"/>
      <c r="I175" s="340"/>
      <c r="J175" s="94" t="s">
        <v>104</v>
      </c>
      <c r="K175" s="340">
        <f>IF(E175="","",IF(EDATE(E175,1)-1&lt;訓練終了日,EDATE(E175,1)-1,訓練終了日))</f>
        <v>46134</v>
      </c>
      <c r="L175" s="340"/>
      <c r="M175" s="340"/>
      <c r="N175" s="340"/>
      <c r="O175" s="341"/>
      <c r="P175" s="108"/>
      <c r="Q175" s="215">
        <f>IF(E175="","",(K175-E175+1))</f>
        <v>31</v>
      </c>
      <c r="R175" s="109" t="s">
        <v>52</v>
      </c>
      <c r="S175" s="101"/>
      <c r="T175" s="108"/>
      <c r="U175" s="215">
        <f>IF(E175="","",[5]機構処理!$BG$42)</f>
        <v>14</v>
      </c>
      <c r="V175" s="109" t="s">
        <v>52</v>
      </c>
      <c r="W175" s="101"/>
      <c r="X175" s="342">
        <f>IF(E175="","",[5]機構処理!BG85)</f>
        <v>0</v>
      </c>
      <c r="Y175" s="343"/>
      <c r="Z175" s="343"/>
      <c r="AA175" s="114" t="s">
        <v>66</v>
      </c>
      <c r="AB175" s="107"/>
      <c r="AC175" s="344">
        <f>IF(E175="","",[5]機構処理!$BH$43)</f>
        <v>84</v>
      </c>
      <c r="AD175" s="345"/>
      <c r="AE175" s="345"/>
      <c r="AF175" s="324" t="s">
        <v>66</v>
      </c>
      <c r="AG175" s="325"/>
      <c r="AH175" s="346" t="e">
        <f>[5]機構処理!BR29</f>
        <v>#REF!</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46135</v>
      </c>
      <c r="F176" s="340"/>
      <c r="G176" s="340"/>
      <c r="H176" s="340"/>
      <c r="I176" s="340"/>
      <c r="J176" s="94" t="s">
        <v>104</v>
      </c>
      <c r="K176" s="340">
        <f>IF(E176="","",IF(EDATE(E176,1)-1&lt;訓練終了日,EDATE(E176,1)-1,訓練終了日))</f>
        <v>46164</v>
      </c>
      <c r="L176" s="340"/>
      <c r="M176" s="340"/>
      <c r="N176" s="340"/>
      <c r="O176" s="341"/>
      <c r="P176" s="108"/>
      <c r="Q176" s="215">
        <f>IF(E176="","",K176-E176+1)</f>
        <v>30</v>
      </c>
      <c r="R176" s="109" t="s">
        <v>52</v>
      </c>
      <c r="S176" s="101"/>
      <c r="T176" s="108"/>
      <c r="U176" s="215">
        <f>IF(E176="","",[5]機構処理!$BG$48)</f>
        <v>14</v>
      </c>
      <c r="V176" s="109" t="s">
        <v>52</v>
      </c>
      <c r="W176" s="101"/>
      <c r="X176" s="342">
        <f>IF(E176="","",[5]機構処理!BG89)</f>
        <v>0</v>
      </c>
      <c r="Y176" s="343"/>
      <c r="Z176" s="343"/>
      <c r="AA176" s="114" t="s">
        <v>66</v>
      </c>
      <c r="AB176" s="107"/>
      <c r="AC176" s="344">
        <f>IF(E176="","",[5]機構処理!$BH$49)</f>
        <v>84</v>
      </c>
      <c r="AD176" s="345"/>
      <c r="AE176" s="345"/>
      <c r="AF176" s="324" t="s">
        <v>66</v>
      </c>
      <c r="AG176" s="325"/>
      <c r="AH176" s="346" t="e">
        <f>[5]機構処理!BQ30</f>
        <v>#REF!</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46165</v>
      </c>
      <c r="F177" s="340"/>
      <c r="G177" s="340"/>
      <c r="H177" s="340"/>
      <c r="I177" s="340"/>
      <c r="J177" s="94" t="s">
        <v>104</v>
      </c>
      <c r="K177" s="340">
        <f>IF(E177="","",IF(EDATE(E177,1)-1&lt;訓練終了日,EDATE(E177,1)-1,訓練終了日))</f>
        <v>46195</v>
      </c>
      <c r="L177" s="340"/>
      <c r="M177" s="340"/>
      <c r="N177" s="340"/>
      <c r="O177" s="341"/>
      <c r="P177" s="108"/>
      <c r="Q177" s="215">
        <f>IF(E177="","",K177-E177+1)</f>
        <v>31</v>
      </c>
      <c r="R177" s="109" t="s">
        <v>52</v>
      </c>
      <c r="S177" s="101"/>
      <c r="T177" s="108"/>
      <c r="U177" s="215">
        <f>IF(E177="","",[5]機構処理!$BG$54)</f>
        <v>17</v>
      </c>
      <c r="V177" s="109" t="s">
        <v>52</v>
      </c>
      <c r="W177" s="101"/>
      <c r="X177" s="342">
        <f>IF(E177="","",[5]機構処理!BG93)</f>
        <v>0</v>
      </c>
      <c r="Y177" s="343"/>
      <c r="Z177" s="343"/>
      <c r="AA177" s="114" t="s">
        <v>66</v>
      </c>
      <c r="AB177" s="107"/>
      <c r="AC177" s="344">
        <f>IF(E177="","",[5]機構処理!$BH$55)</f>
        <v>84</v>
      </c>
      <c r="AD177" s="345"/>
      <c r="AE177" s="345"/>
      <c r="AF177" s="324" t="s">
        <v>66</v>
      </c>
      <c r="AG177" s="325"/>
      <c r="AH177" s="346" t="e">
        <f>[5]機構処理!BQ31</f>
        <v>#REF!</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182</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292" priority="20">
      <formula>LEN(TRIM(C160))=0</formula>
    </cfRule>
  </conditionalFormatting>
  <conditionalFormatting sqref="C54:E65 H54:I65 K54:X65">
    <cfRule type="expression" dxfId="291" priority="8">
      <formula>WORKDAY(C$51+1,-1,祝祭日)&lt;&gt;C$51</formula>
    </cfRule>
  </conditionalFormatting>
  <conditionalFormatting sqref="C76:AA87">
    <cfRule type="expression" dxfId="290" priority="3">
      <formula>WORKDAY(C$73+1,-1,祝祭日)&lt;&gt;C$73</formula>
    </cfRule>
  </conditionalFormatting>
  <conditionalFormatting sqref="C6:AG27">
    <cfRule type="expression" dxfId="289" priority="10">
      <formula>WORKDAY(C$6+1,-1,祝祭日)&lt;&gt;C$6</formula>
    </cfRule>
  </conditionalFormatting>
  <conditionalFormatting sqref="C22:AG22">
    <cfRule type="expression" dxfId="288" priority="11">
      <formula>$AH$22&lt;&gt;""</formula>
    </cfRule>
  </conditionalFormatting>
  <conditionalFormatting sqref="C29:AG31 C32:S43">
    <cfRule type="expression" dxfId="287" priority="54">
      <formula>WORKDAY(C$29+1,-1,祝祭日)&lt;&gt;C$29</formula>
    </cfRule>
  </conditionalFormatting>
  <conditionalFormatting sqref="C44:AG49">
    <cfRule type="expression" dxfId="286" priority="43">
      <formula>WORKDAY(C$29+1,-1,祝祭日)&lt;&gt;C$29</formula>
    </cfRule>
  </conditionalFormatting>
  <conditionalFormatting sqref="C45:AG45">
    <cfRule type="expression" dxfId="285" priority="58">
      <formula>+$AH$45&lt;&gt;""</formula>
    </cfRule>
  </conditionalFormatting>
  <conditionalFormatting sqref="C51:AG53 Z54:Z65 AB54:AG65">
    <cfRule type="expression" dxfId="284" priority="53">
      <formula>WORKDAY(C$51+1,-1,祝祭日)&lt;&gt;C$51</formula>
    </cfRule>
  </conditionalFormatting>
  <conditionalFormatting sqref="C66:AG71">
    <cfRule type="expression" dxfId="283" priority="42">
      <formula>WORKDAY(C$51+1,-1,祝祭日)&lt;&gt;C$51</formula>
    </cfRule>
  </conditionalFormatting>
  <conditionalFormatting sqref="C67:AG67">
    <cfRule type="expression" dxfId="282" priority="59">
      <formula>+$AH$67&lt;&gt;""</formula>
    </cfRule>
  </conditionalFormatting>
  <conditionalFormatting sqref="C73:AG75 AC76:AE87">
    <cfRule type="expression" dxfId="281" priority="52">
      <formula>WORKDAY(C$73+1,-1,祝祭日)&lt;&gt;C$73</formula>
    </cfRule>
  </conditionalFormatting>
  <conditionalFormatting sqref="C88:AG93">
    <cfRule type="expression" dxfId="280" priority="41">
      <formula>WORKDAY(C$73+1,-1,祝祭日)&lt;&gt;C$73</formula>
    </cfRule>
  </conditionalFormatting>
  <conditionalFormatting sqref="C89:AG89">
    <cfRule type="expression" dxfId="279" priority="60">
      <formula>+$AH$89&lt;&gt;""</formula>
    </cfRule>
  </conditionalFormatting>
  <conditionalFormatting sqref="C95:AG114">
    <cfRule type="expression" dxfId="278" priority="2">
      <formula>WORKDAY(C$95+1,-1,祝祭日)&lt;&gt;C$95</formula>
    </cfRule>
  </conditionalFormatting>
  <conditionalFormatting sqref="C110:AG110">
    <cfRule type="expression" dxfId="277" priority="61">
      <formula>+$AH$110&lt;&gt;""</formula>
    </cfRule>
  </conditionalFormatting>
  <conditionalFormatting sqref="C116:AG135">
    <cfRule type="expression" dxfId="276" priority="1">
      <formula>WORKDAY(C$116+1,-1,祝祭日)&lt;&gt;C$116</formula>
    </cfRule>
  </conditionalFormatting>
  <conditionalFormatting sqref="C131:AG131">
    <cfRule type="expression" dxfId="275" priority="62">
      <formula>+$AH$131&lt;&gt;""</formula>
    </cfRule>
  </conditionalFormatting>
  <conditionalFormatting sqref="D158:E158">
    <cfRule type="containsBlanks" dxfId="274" priority="47">
      <formula>LEN(TRIM(D158))=0</formula>
    </cfRule>
  </conditionalFormatting>
  <conditionalFormatting sqref="D139:F140">
    <cfRule type="cellIs" dxfId="273" priority="46" operator="equal">
      <formula>""</formula>
    </cfRule>
  </conditionalFormatting>
  <conditionalFormatting sqref="F148:F154 C149:C154">
    <cfRule type="cellIs" dxfId="272" priority="57" stopIfTrue="1" operator="equal">
      <formula>""</formula>
    </cfRule>
  </conditionalFormatting>
  <conditionalFormatting sqref="F154">
    <cfRule type="cellIs" dxfId="271" priority="56" operator="greaterThan">
      <formula>0.917</formula>
    </cfRule>
  </conditionalFormatting>
  <conditionalFormatting sqref="F155:F156 C155:C156">
    <cfRule type="containsBlanks" dxfId="270" priority="23">
      <formula>LEN(TRIM(C155))=0</formula>
    </cfRule>
  </conditionalFormatting>
  <conditionalFormatting sqref="F54:G65">
    <cfRule type="expression" dxfId="269" priority="7">
      <formula>WORKDAY(F$29+1,-1,祝祭日)&lt;&gt;F$29</formula>
    </cfRule>
  </conditionalFormatting>
  <conditionalFormatting sqref="F153:G153">
    <cfRule type="cellIs" dxfId="268" priority="15" operator="greaterThan">
      <formula>0.917</formula>
    </cfRule>
  </conditionalFormatting>
  <conditionalFormatting sqref="F156:G156">
    <cfRule type="cellIs" dxfId="267" priority="18" operator="greaterThan">
      <formula>0.917</formula>
    </cfRule>
  </conditionalFormatting>
  <conditionalFormatting sqref="F160:G168 C161:D168">
    <cfRule type="containsBlanks" dxfId="266" priority="51">
      <formula>LEN(TRIM(C160))=0</formula>
    </cfRule>
  </conditionalFormatting>
  <conditionalFormatting sqref="F166:G166">
    <cfRule type="cellIs" dxfId="265" priority="17" operator="greaterThan">
      <formula>0.917</formula>
    </cfRule>
  </conditionalFormatting>
  <conditionalFormatting sqref="F168:G168">
    <cfRule type="cellIs" dxfId="264" priority="50" operator="greaterThan">
      <formula>0.917</formula>
    </cfRule>
  </conditionalFormatting>
  <conditionalFormatting sqref="J54:J65">
    <cfRule type="expression" dxfId="263" priority="5">
      <formula>WORKDAY(J$29+1,-1,祝祭日)&lt;&gt;J$29</formula>
    </cfRule>
  </conditionalFormatting>
  <conditionalFormatting sqref="K1">
    <cfRule type="expression" dxfId="262" priority="44">
      <formula>$K$1&lt;&gt;""</formula>
    </cfRule>
  </conditionalFormatting>
  <conditionalFormatting sqref="K140:O145 Q140:AG145">
    <cfRule type="containsBlanks" dxfId="261" priority="22">
      <formula>LEN(TRIM(K140))=0</formula>
    </cfRule>
  </conditionalFormatting>
  <conditionalFormatting sqref="N160">
    <cfRule type="containsBlanks" dxfId="260" priority="19">
      <formula>LEN(TRIM(N160))=0</formula>
    </cfRule>
  </conditionalFormatting>
  <conditionalFormatting sqref="O158:P158">
    <cfRule type="containsBlanks" dxfId="259" priority="21">
      <formula>LEN(TRIM(O158))=0</formula>
    </cfRule>
  </conditionalFormatting>
  <conditionalFormatting sqref="P170:W170">
    <cfRule type="expression" dxfId="258" priority="63">
      <formula>AND(訓練種別コード="001",AI21+AI44+AI66+AI88+#REF!+#REF!&gt;0)</formula>
    </cfRule>
  </conditionalFormatting>
  <conditionalFormatting sqref="Q172:Q177">
    <cfRule type="cellIs" dxfId="257" priority="55" stopIfTrue="1" operator="lessThan">
      <formula>28</formula>
    </cfRule>
  </conditionalFormatting>
  <conditionalFormatting sqref="Q160:R168 N161:O168">
    <cfRule type="containsBlanks" dxfId="256" priority="49">
      <formula>LEN(TRIM(N160))=0</formula>
    </cfRule>
  </conditionalFormatting>
  <conditionalFormatting sqref="Q166:R166">
    <cfRule type="cellIs" dxfId="255" priority="48" operator="greaterThan">
      <formula>0.917</formula>
    </cfRule>
  </conditionalFormatting>
  <conditionalFormatting sqref="Q168:R168">
    <cfRule type="cellIs" dxfId="254" priority="16" operator="greaterThan">
      <formula>0.917</formula>
    </cfRule>
  </conditionalFormatting>
  <conditionalFormatting sqref="T32:T43">
    <cfRule type="expression" dxfId="253" priority="9">
      <formula>WORKDAY(T$51+1,-1,祝祭日)&lt;&gt;T$51</formula>
    </cfRule>
  </conditionalFormatting>
  <conditionalFormatting sqref="U32:AG43">
    <cfRule type="expression" dxfId="252" priority="6">
      <formula>WORKDAY(U$29+1,-1,祝祭日)&lt;&gt;U$29</formula>
    </cfRule>
  </conditionalFormatting>
  <conditionalFormatting sqref="X171:AB171 X172 AA172:AB172 X173:AB178">
    <cfRule type="expression" dxfId="251" priority="45">
      <formula>$X$171=""</formula>
    </cfRule>
  </conditionalFormatting>
  <conditionalFormatting sqref="Y54:Y65">
    <cfRule type="expression" dxfId="250" priority="14">
      <formula>WORKDAY(Y$73+1,-1,祝祭日)&lt;&gt;Y$73</formula>
    </cfRule>
  </conditionalFormatting>
  <conditionalFormatting sqref="AA54:AA65">
    <cfRule type="expression" dxfId="249" priority="4">
      <formula>WORKDAY(AA$73+1,-1,祝祭日)&lt;&gt;AA$73</formula>
    </cfRule>
  </conditionalFormatting>
  <conditionalFormatting sqref="AB76:AB87">
    <cfRule type="expression" dxfId="248" priority="13">
      <formula>WORKDAY(AB$95+1,-1,祝祭日)&lt;&gt;AB$95</formula>
    </cfRule>
  </conditionalFormatting>
  <conditionalFormatting sqref="AC178:AE178">
    <cfRule type="expression" dxfId="247" priority="24">
      <formula>AND(NOT(VALUE(訓練総時間)=訓練時間合計),NOT(VALUE(訓練総時間)=IF(様6_訓練時間合計="",0,様6_訓練時間合計)))</formula>
    </cfRule>
  </conditionalFormatting>
  <conditionalFormatting sqref="AE32:AE43">
    <cfRule type="expression" dxfId="246" priority="64">
      <formula>WORKDAY(F$51+1,-1,祝祭日)&lt;&gt;F$51</formula>
    </cfRule>
  </conditionalFormatting>
  <conditionalFormatting sqref="AF76:AG87">
    <cfRule type="expression" dxfId="245" priority="12">
      <formula>WORKDAY(AF$95+1,-1,祝祭日)&lt;&gt;AF$95</formula>
    </cfRule>
  </conditionalFormatting>
  <conditionalFormatting sqref="AH89:AI89">
    <cfRule type="expression" dxfId="244" priority="36">
      <formula>$AI89=""</formula>
    </cfRule>
  </conditionalFormatting>
  <conditionalFormatting sqref="AH111:AI111">
    <cfRule type="expression" dxfId="243" priority="35">
      <formula>$AI111=""</formula>
    </cfRule>
  </conditionalFormatting>
  <conditionalFormatting sqref="AH22:AJ23">
    <cfRule type="expression" dxfId="242" priority="40">
      <formula>$AI22=""</formula>
    </cfRule>
  </conditionalFormatting>
  <conditionalFormatting sqref="AH45:AJ46">
    <cfRule type="expression" dxfId="241" priority="39">
      <formula>$AI45=""</formula>
    </cfRule>
  </conditionalFormatting>
  <conditionalFormatting sqref="AH67:AJ68">
    <cfRule type="expression" dxfId="240" priority="38">
      <formula>$AI67=""</formula>
    </cfRule>
  </conditionalFormatting>
  <conditionalFormatting sqref="AH90:AJ90">
    <cfRule type="expression" dxfId="239" priority="37">
      <formula>$AI90=""</formula>
    </cfRule>
  </conditionalFormatting>
  <conditionalFormatting sqref="AH110:AJ110">
    <cfRule type="expression" dxfId="238" priority="34">
      <formula>$AI110=""</formula>
    </cfRule>
  </conditionalFormatting>
  <conditionalFormatting sqref="AH131:AJ132">
    <cfRule type="expression" dxfId="237" priority="33">
      <formula>$AI131=""</formula>
    </cfRule>
  </conditionalFormatting>
  <conditionalFormatting sqref="AH178:AL178">
    <cfRule type="expression" dxfId="236" priority="26">
      <formula>$AH$178=""</formula>
    </cfRule>
  </conditionalFormatting>
  <conditionalFormatting sqref="AI27:AL27">
    <cfRule type="expression" dxfId="235" priority="32">
      <formula>$C6=""</formula>
    </cfRule>
  </conditionalFormatting>
  <conditionalFormatting sqref="AI49:AL49">
    <cfRule type="expression" dxfId="234" priority="31">
      <formula>$C29=""</formula>
    </cfRule>
  </conditionalFormatting>
  <conditionalFormatting sqref="AI71:AL71">
    <cfRule type="expression" dxfId="233" priority="30">
      <formula>$C51=""</formula>
    </cfRule>
  </conditionalFormatting>
  <conditionalFormatting sqref="AI93:AL93">
    <cfRule type="expression" dxfId="232" priority="29">
      <formula>$C73=""</formula>
    </cfRule>
  </conditionalFormatting>
  <conditionalFormatting sqref="AI114:AL114">
    <cfRule type="expression" dxfId="231" priority="28">
      <formula>$C$95=""</formula>
    </cfRule>
  </conditionalFormatting>
  <conditionalFormatting sqref="AI135:AL135">
    <cfRule type="expression" dxfId="230" priority="27">
      <formula>$C$116=""</formula>
    </cfRule>
  </conditionalFormatting>
  <conditionalFormatting sqref="AK189:AL189">
    <cfRule type="expression" dxfId="229" priority="25">
      <formula>AND(NOT(VALUE(訓練総時間)=訓練時間合計),NOT(VALUE(訓練総時間)=IF(様6_訓練時間合計="",0,様6_訓練時間合計)))</formula>
    </cfRule>
  </conditionalFormatting>
  <dataValidations count="5">
    <dataValidation imeMode="hiragana" allowBlank="1" showInputMessage="1" showErrorMessage="1" sqref="C97:AG109 C118:AG130 C75:AG87 C8:AG20 V140:AG145 C31:AG43 C53:AG53 C54:E65 G54:AG65" xr:uid="{63422513-E62A-4CEA-8492-3DE3A7006C4A}"/>
    <dataValidation type="list" allowBlank="1" showInputMessage="1" showErrorMessage="1" sqref="C89:AG89 C45:AG45 C110:AG110 C22:AG22 C67:AG67 C131:AG131" xr:uid="{3BCEF381-1A54-4AE4-88AF-76AFE188E290}">
      <formula1>"○,◎"</formula1>
    </dataValidation>
    <dataValidation imeMode="off" allowBlank="1" showInputMessage="1" showErrorMessage="1" sqref="K140:O145 Q140:U145 K167:K168 D139:F140 O158:Q158 C148 C149:D154 F148:G154 D166 C155:C157 F155:F157 K150:K158 G166 O166 C160:C168 Q160:Q168 R166 D158:F158 F160:F168 N160:N168" xr:uid="{08C019ED-6AAF-43E4-8D51-B0B072BF1E81}"/>
    <dataValidation type="whole" imeMode="off" allowBlank="1" showInputMessage="1" showErrorMessage="1" sqref="C24:AG27 C47:AG49 C133:AG135 C91:AG93 C112:AG114 C69:AG71" xr:uid="{AC918813-3D8A-4637-AF1F-BA0FF4F1253A}">
      <formula1>0</formula1>
      <formula2>8</formula2>
    </dataValidation>
    <dataValidation type="list" imeMode="hiragana" allowBlank="1" showInputMessage="1" showErrorMessage="1" sqref="C21:AG21 C44:AG44 C66:AG66 C88:AG88" xr:uid="{E878DB62-4FDE-4D58-9BF6-2789E9D31DDF}">
      <formula1>"○"</formula1>
    </dataValidation>
  </dataValidations>
  <hyperlinks>
    <hyperlink ref="AJ150" location="様式7の１!B8" display="様式7の１作成へ" xr:uid="{E2350D93-56A5-490C-A304-09BB3492A5FA}"/>
    <hyperlink ref="AJ152" location="一覧表!M42" display="一覧表へ戻る" xr:uid="{8F806680-2527-4253-8FDC-0B856116B8B6}"/>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96641" r:id="rId4" name="来所日選択">
              <controlPr defaultSize="0" print="0" autoLine="0" autoPict="0">
                <anchor moveWithCells="1">
                  <from>
                    <xdr:col>4</xdr:col>
                    <xdr:colOff>335280</xdr:colOff>
                    <xdr:row>0</xdr:row>
                    <xdr:rowOff>182880</xdr:rowOff>
                  </from>
                  <to>
                    <xdr:col>8</xdr:col>
                    <xdr:colOff>335280</xdr:colOff>
                    <xdr:row>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AB79E-F30E-4213-BD12-ED71929E1751}">
  <dimension ref="A1:BQ248"/>
  <sheetViews>
    <sheetView view="pageBreakPreview" zoomScale="85" zoomScaleNormal="80" zoomScaleSheetLayoutView="85" workbookViewId="0">
      <selection activeCell="J71" sqref="J71"/>
    </sheetView>
  </sheetViews>
  <sheetFormatPr defaultColWidth="5" defaultRowHeight="13.2"/>
  <cols>
    <col min="1" max="33" width="5.44140625" style="14" customWidth="1"/>
    <col min="34" max="34" width="5.44140625" style="15" customWidth="1"/>
    <col min="35" max="35" width="8.5546875" style="14" customWidth="1"/>
    <col min="36" max="36" width="14.44140625" style="14" customWidth="1"/>
    <col min="37" max="37" width="6.5546875" style="14" customWidth="1"/>
    <col min="38" max="38" width="6.44140625" style="14" customWidth="1"/>
    <col min="39" max="47" width="5.44140625" style="14" customWidth="1"/>
    <col min="48" max="48" width="19" style="14" customWidth="1"/>
    <col min="49" max="52" width="5.44140625" style="14" customWidth="1"/>
    <col min="53" max="16384" width="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IF(OR(訓練月数=0,訓練月数=""),"訓練期間が入力されていません！！",IF(訓練月数=1,IF(訓練終了日&lt;=INDIRECT("開講スケジュール!D"&amp;[6]開講スケジュール!$D$2+1),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これから始める！Ｗｅｂ・ＳＮＳ動画編集＆ホームページデザイン科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46100</v>
      </c>
      <c r="D6" s="33">
        <f>IF(C6="","",C6+1)</f>
        <v>46101</v>
      </c>
      <c r="E6" s="33">
        <f t="shared" ref="E6:P6" si="1">IF(D6="","",D6+1)</f>
        <v>46102</v>
      </c>
      <c r="F6" s="33">
        <f t="shared" si="1"/>
        <v>46103</v>
      </c>
      <c r="G6" s="33">
        <f t="shared" si="1"/>
        <v>46104</v>
      </c>
      <c r="H6" s="33">
        <f t="shared" si="1"/>
        <v>46105</v>
      </c>
      <c r="I6" s="33">
        <f t="shared" si="1"/>
        <v>46106</v>
      </c>
      <c r="J6" s="33">
        <f t="shared" si="1"/>
        <v>46107</v>
      </c>
      <c r="K6" s="33">
        <f t="shared" si="1"/>
        <v>46108</v>
      </c>
      <c r="L6" s="33">
        <f t="shared" si="1"/>
        <v>46109</v>
      </c>
      <c r="M6" s="33">
        <f t="shared" si="1"/>
        <v>46110</v>
      </c>
      <c r="N6" s="33">
        <f t="shared" si="1"/>
        <v>46111</v>
      </c>
      <c r="O6" s="33">
        <f t="shared" si="1"/>
        <v>46112</v>
      </c>
      <c r="P6" s="33">
        <f t="shared" si="1"/>
        <v>46113</v>
      </c>
      <c r="Q6" s="33">
        <f t="shared" ref="Q6:AB6" si="2">IF(P6="","",IF(P6+1&gt;訓練終了日,"",P6+1))</f>
        <v>46114</v>
      </c>
      <c r="R6" s="33">
        <f t="shared" si="2"/>
        <v>46115</v>
      </c>
      <c r="S6" s="33">
        <f t="shared" si="2"/>
        <v>46116</v>
      </c>
      <c r="T6" s="33">
        <f t="shared" si="2"/>
        <v>46117</v>
      </c>
      <c r="U6" s="33">
        <f t="shared" si="2"/>
        <v>46118</v>
      </c>
      <c r="V6" s="33">
        <f t="shared" si="2"/>
        <v>46119</v>
      </c>
      <c r="W6" s="33">
        <f t="shared" si="2"/>
        <v>46120</v>
      </c>
      <c r="X6" s="33">
        <f t="shared" si="2"/>
        <v>46121</v>
      </c>
      <c r="Y6" s="33">
        <f t="shared" si="2"/>
        <v>46122</v>
      </c>
      <c r="Z6" s="33">
        <f t="shared" si="2"/>
        <v>46123</v>
      </c>
      <c r="AA6" s="33">
        <f t="shared" si="2"/>
        <v>46124</v>
      </c>
      <c r="AB6" s="33">
        <f t="shared" si="2"/>
        <v>46125</v>
      </c>
      <c r="AC6" s="33">
        <f>IF(AB6="","",IF(AB6+1&gt;訓練終了日,"",IF(AB6+1&gt;=EDATE(C6,1),"",AB6+1)))</f>
        <v>46126</v>
      </c>
      <c r="AD6" s="33">
        <f>IF(AC6="","",IF(AC6+1&gt;訓練終了日,"",IF(AC6+1&gt;=EDATE(C6,1),"",AC6+1)))</f>
        <v>46127</v>
      </c>
      <c r="AE6" s="33">
        <f>IF(AD6="","",IF(AD6+1&gt;訓練終了日,"",IF(AD6+1&gt;=EDATE(C6,1),"",AD6+1)))</f>
        <v>46128</v>
      </c>
      <c r="AF6" s="33">
        <f>IF(AE6="","",IF(AE6+1&gt;訓練終了日,"",IF(AE6+1&gt;=EDATE(C6,1),"",AE6+1)))</f>
        <v>46129</v>
      </c>
      <c r="AG6" s="33">
        <f>IF(AF6="","",IF(AF6+1&gt;訓練終了日,"",IF(AF6+1&gt;=EDATE(C6,1),"",AF6+1)))</f>
        <v>46130</v>
      </c>
      <c r="AH6" s="19"/>
      <c r="AI6" s="20"/>
      <c r="AJ6" s="20"/>
      <c r="AK6" s="20"/>
      <c r="AL6" s="20"/>
      <c r="AM6" s="20"/>
      <c r="AN6" s="20"/>
      <c r="AO6" s="34"/>
      <c r="AP6" s="20"/>
      <c r="AQ6" s="20"/>
      <c r="AR6" s="20"/>
      <c r="AS6" s="20"/>
      <c r="AT6" s="20"/>
      <c r="AU6" s="20"/>
      <c r="AV6" s="20"/>
    </row>
    <row r="7" spans="1:69" ht="18" customHeight="1">
      <c r="A7" s="35"/>
      <c r="B7" s="31" t="s">
        <v>52</v>
      </c>
      <c r="C7" s="36">
        <f t="shared" ref="C7:AG8" si="3">+C6</f>
        <v>46100</v>
      </c>
      <c r="D7" s="37">
        <f t="shared" si="3"/>
        <v>46101</v>
      </c>
      <c r="E7" s="37">
        <f t="shared" si="3"/>
        <v>46102</v>
      </c>
      <c r="F7" s="37">
        <f t="shared" si="3"/>
        <v>46103</v>
      </c>
      <c r="G7" s="37">
        <f t="shared" si="3"/>
        <v>46104</v>
      </c>
      <c r="H7" s="37">
        <f t="shared" si="3"/>
        <v>46105</v>
      </c>
      <c r="I7" s="37">
        <f t="shared" si="3"/>
        <v>46106</v>
      </c>
      <c r="J7" s="37">
        <f t="shared" si="3"/>
        <v>46107</v>
      </c>
      <c r="K7" s="37">
        <f t="shared" si="3"/>
        <v>46108</v>
      </c>
      <c r="L7" s="37">
        <f t="shared" si="3"/>
        <v>46109</v>
      </c>
      <c r="M7" s="37">
        <f t="shared" si="3"/>
        <v>46110</v>
      </c>
      <c r="N7" s="37">
        <f t="shared" si="3"/>
        <v>46111</v>
      </c>
      <c r="O7" s="37">
        <f t="shared" si="3"/>
        <v>46112</v>
      </c>
      <c r="P7" s="37">
        <f t="shared" si="3"/>
        <v>46113</v>
      </c>
      <c r="Q7" s="37">
        <f t="shared" si="3"/>
        <v>46114</v>
      </c>
      <c r="R7" s="37">
        <f t="shared" si="3"/>
        <v>46115</v>
      </c>
      <c r="S7" s="37">
        <f t="shared" si="3"/>
        <v>46116</v>
      </c>
      <c r="T7" s="37">
        <f t="shared" si="3"/>
        <v>46117</v>
      </c>
      <c r="U7" s="37">
        <f t="shared" si="3"/>
        <v>46118</v>
      </c>
      <c r="V7" s="37">
        <f t="shared" si="3"/>
        <v>46119</v>
      </c>
      <c r="W7" s="37">
        <f t="shared" si="3"/>
        <v>46120</v>
      </c>
      <c r="X7" s="37">
        <f t="shared" si="3"/>
        <v>46121</v>
      </c>
      <c r="Y7" s="37">
        <f t="shared" si="3"/>
        <v>46122</v>
      </c>
      <c r="Z7" s="37">
        <f t="shared" si="3"/>
        <v>46123</v>
      </c>
      <c r="AA7" s="37">
        <f t="shared" si="3"/>
        <v>46124</v>
      </c>
      <c r="AB7" s="37">
        <f t="shared" si="3"/>
        <v>46125</v>
      </c>
      <c r="AC7" s="37">
        <f t="shared" si="3"/>
        <v>46126</v>
      </c>
      <c r="AD7" s="37">
        <f t="shared" si="3"/>
        <v>46127</v>
      </c>
      <c r="AE7" s="37">
        <f t="shared" si="3"/>
        <v>46128</v>
      </c>
      <c r="AF7" s="37">
        <f t="shared" si="3"/>
        <v>46129</v>
      </c>
      <c r="AG7" s="38">
        <f t="shared" si="3"/>
        <v>46130</v>
      </c>
      <c r="AH7" s="19"/>
      <c r="AI7" s="20"/>
      <c r="AJ7" s="20"/>
      <c r="AK7" s="20"/>
      <c r="AL7" s="20"/>
      <c r="AM7" s="20"/>
      <c r="AN7" s="20"/>
      <c r="AO7" s="34"/>
      <c r="AP7" s="20"/>
      <c r="AQ7" s="20"/>
      <c r="AR7" s="20"/>
      <c r="AS7" s="20"/>
      <c r="AT7" s="20"/>
      <c r="AU7" s="20"/>
      <c r="AV7" s="20"/>
    </row>
    <row r="8" spans="1:69" ht="18" customHeight="1">
      <c r="A8" s="35"/>
      <c r="B8" s="31" t="s">
        <v>53</v>
      </c>
      <c r="C8" s="39">
        <f t="shared" si="3"/>
        <v>46100</v>
      </c>
      <c r="D8" s="39">
        <f t="shared" si="3"/>
        <v>46101</v>
      </c>
      <c r="E8" s="39">
        <f t="shared" si="3"/>
        <v>46102</v>
      </c>
      <c r="F8" s="39">
        <f t="shared" si="3"/>
        <v>46103</v>
      </c>
      <c r="G8" s="39">
        <f t="shared" si="3"/>
        <v>46104</v>
      </c>
      <c r="H8" s="39">
        <f t="shared" si="3"/>
        <v>46105</v>
      </c>
      <c r="I8" s="39">
        <f t="shared" si="3"/>
        <v>46106</v>
      </c>
      <c r="J8" s="39">
        <f t="shared" si="3"/>
        <v>46107</v>
      </c>
      <c r="K8" s="39">
        <f t="shared" si="3"/>
        <v>46108</v>
      </c>
      <c r="L8" s="39">
        <f t="shared" si="3"/>
        <v>46109</v>
      </c>
      <c r="M8" s="39">
        <f t="shared" si="3"/>
        <v>46110</v>
      </c>
      <c r="N8" s="39">
        <f t="shared" si="3"/>
        <v>46111</v>
      </c>
      <c r="O8" s="39">
        <f t="shared" si="3"/>
        <v>46112</v>
      </c>
      <c r="P8" s="39">
        <f t="shared" si="3"/>
        <v>46113</v>
      </c>
      <c r="Q8" s="39">
        <f t="shared" si="3"/>
        <v>46114</v>
      </c>
      <c r="R8" s="39">
        <f t="shared" si="3"/>
        <v>46115</v>
      </c>
      <c r="S8" s="39">
        <f t="shared" si="3"/>
        <v>46116</v>
      </c>
      <c r="T8" s="39">
        <f t="shared" si="3"/>
        <v>46117</v>
      </c>
      <c r="U8" s="39">
        <f t="shared" si="3"/>
        <v>46118</v>
      </c>
      <c r="V8" s="39">
        <f t="shared" si="3"/>
        <v>46119</v>
      </c>
      <c r="W8" s="39">
        <f t="shared" si="3"/>
        <v>46120</v>
      </c>
      <c r="X8" s="39">
        <f t="shared" si="3"/>
        <v>46121</v>
      </c>
      <c r="Y8" s="39">
        <f t="shared" si="3"/>
        <v>46122</v>
      </c>
      <c r="Z8" s="39">
        <f t="shared" si="3"/>
        <v>46123</v>
      </c>
      <c r="AA8" s="39">
        <f t="shared" si="3"/>
        <v>46124</v>
      </c>
      <c r="AB8" s="39">
        <f t="shared" si="3"/>
        <v>46125</v>
      </c>
      <c r="AC8" s="39">
        <f t="shared" si="3"/>
        <v>46126</v>
      </c>
      <c r="AD8" s="39">
        <f t="shared" si="3"/>
        <v>46127</v>
      </c>
      <c r="AE8" s="39">
        <f t="shared" si="3"/>
        <v>46128</v>
      </c>
      <c r="AF8" s="39">
        <f t="shared" si="3"/>
        <v>46129</v>
      </c>
      <c r="AG8" s="40">
        <f t="shared" si="3"/>
        <v>46130</v>
      </c>
      <c r="AH8" s="19"/>
      <c r="AI8" s="20"/>
      <c r="AJ8" s="20"/>
      <c r="AK8" s="20"/>
      <c r="AL8" s="20"/>
      <c r="AM8" s="20"/>
      <c r="AN8" s="20"/>
      <c r="AO8" s="20"/>
      <c r="AP8" s="20"/>
      <c r="AQ8" s="20"/>
      <c r="AR8" s="20"/>
      <c r="AS8" s="20"/>
      <c r="AT8" s="20"/>
      <c r="AU8" s="20"/>
      <c r="AV8" s="20"/>
    </row>
    <row r="9" spans="1:69" ht="18" customHeight="1">
      <c r="A9" s="411" t="s">
        <v>54</v>
      </c>
      <c r="B9" s="41"/>
      <c r="C9" s="423" t="s">
        <v>291</v>
      </c>
      <c r="D9" s="399"/>
      <c r="E9" s="399"/>
      <c r="F9" s="425"/>
      <c r="G9" s="399"/>
      <c r="H9" s="399"/>
      <c r="I9" s="399" t="s">
        <v>383</v>
      </c>
      <c r="J9" s="399" t="s">
        <v>282</v>
      </c>
      <c r="K9" s="399" t="s">
        <v>215</v>
      </c>
      <c r="L9" s="399" t="s">
        <v>57</v>
      </c>
      <c r="M9" s="399"/>
      <c r="N9" s="399" t="s">
        <v>384</v>
      </c>
      <c r="O9" s="399" t="s">
        <v>216</v>
      </c>
      <c r="P9" s="399" t="s">
        <v>216</v>
      </c>
      <c r="Q9" s="399" t="s">
        <v>216</v>
      </c>
      <c r="R9" s="399" t="s">
        <v>216</v>
      </c>
      <c r="S9" s="399" t="s">
        <v>56</v>
      </c>
      <c r="T9" s="399"/>
      <c r="U9" s="399" t="s">
        <v>216</v>
      </c>
      <c r="V9" s="399"/>
      <c r="W9" s="399" t="s">
        <v>216</v>
      </c>
      <c r="X9" s="399" t="s">
        <v>216</v>
      </c>
      <c r="Y9" s="399" t="s">
        <v>216</v>
      </c>
      <c r="Z9" s="399"/>
      <c r="AA9" s="399"/>
      <c r="AB9" s="399" t="s">
        <v>218</v>
      </c>
      <c r="AC9" s="399" t="s">
        <v>218</v>
      </c>
      <c r="AD9" s="399" t="s">
        <v>216</v>
      </c>
      <c r="AE9" s="399" t="s">
        <v>216</v>
      </c>
      <c r="AF9" s="399" t="s">
        <v>216</v>
      </c>
      <c r="AG9" s="426"/>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1"/>
      <c r="K20" s="401"/>
      <c r="L20" s="400"/>
      <c r="M20" s="400"/>
      <c r="N20" s="401"/>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5"/>
      <c r="K21" s="45"/>
      <c r="L21" s="44"/>
      <c r="M21" s="44"/>
      <c r="N21" s="45"/>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c r="E22" s="44"/>
      <c r="F22" s="44"/>
      <c r="G22" s="44"/>
      <c r="H22" s="49"/>
      <c r="I22" s="44" t="s">
        <v>64</v>
      </c>
      <c r="J22" s="49"/>
      <c r="K22" s="49"/>
      <c r="L22" s="44"/>
      <c r="M22" s="44"/>
      <c r="N22" s="49"/>
      <c r="O22" s="49"/>
      <c r="P22" s="49"/>
      <c r="Q22" s="44"/>
      <c r="R22" s="44"/>
      <c r="S22" s="44"/>
      <c r="T22" s="49"/>
      <c r="U22" s="49"/>
      <c r="V22" s="49"/>
      <c r="W22" s="49"/>
      <c r="X22" s="44"/>
      <c r="Y22" s="44"/>
      <c r="Z22" s="44"/>
      <c r="AA22" s="44"/>
      <c r="AB22" s="49"/>
      <c r="AC22" s="49"/>
      <c r="AD22" s="44"/>
      <c r="AE22" s="49"/>
      <c r="AF22" s="49"/>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3"/>
      <c r="J23" s="54"/>
      <c r="K23" s="54"/>
      <c r="L23" s="53"/>
      <c r="M23" s="53"/>
      <c r="N23" s="54"/>
      <c r="O23" s="54"/>
      <c r="P23" s="54"/>
      <c r="Q23" s="53"/>
      <c r="R23" s="53"/>
      <c r="S23" s="53"/>
      <c r="T23" s="54"/>
      <c r="U23" s="54"/>
      <c r="V23" s="54"/>
      <c r="W23" s="54"/>
      <c r="X23" s="53"/>
      <c r="Y23" s="53"/>
      <c r="Z23" s="53"/>
      <c r="AA23" s="53"/>
      <c r="AB23" s="54"/>
      <c r="AC23" s="54"/>
      <c r="AD23" s="53"/>
      <c r="AE23" s="54"/>
      <c r="AF23" s="54"/>
      <c r="AG23" s="55"/>
      <c r="AH23" s="132" t="str">
        <f>IF(AI23="","","←")</f>
        <v/>
      </c>
      <c r="AI23" s="418" t="str">
        <f>[6]機構処理!BI72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c r="E24" s="57"/>
      <c r="F24" s="57"/>
      <c r="G24" s="57"/>
      <c r="H24" s="57"/>
      <c r="I24" s="57">
        <v>1</v>
      </c>
      <c r="J24" s="57">
        <v>6</v>
      </c>
      <c r="K24" s="57">
        <v>6</v>
      </c>
      <c r="L24" s="57">
        <v>0</v>
      </c>
      <c r="M24" s="57"/>
      <c r="N24" s="57">
        <v>6</v>
      </c>
      <c r="O24" s="57">
        <v>6</v>
      </c>
      <c r="P24" s="57">
        <v>6</v>
      </c>
      <c r="Q24" s="57">
        <v>6</v>
      </c>
      <c r="R24" s="57">
        <v>6</v>
      </c>
      <c r="S24" s="57">
        <v>0</v>
      </c>
      <c r="T24" s="57"/>
      <c r="U24" s="57">
        <v>6</v>
      </c>
      <c r="V24" s="57"/>
      <c r="W24" s="57">
        <v>6</v>
      </c>
      <c r="X24" s="57">
        <v>6</v>
      </c>
      <c r="Y24" s="57">
        <v>6</v>
      </c>
      <c r="Z24" s="57"/>
      <c r="AA24" s="57"/>
      <c r="AB24" s="57">
        <v>6</v>
      </c>
      <c r="AC24" s="57">
        <v>6</v>
      </c>
      <c r="AD24" s="57">
        <v>6</v>
      </c>
      <c r="AE24" s="57">
        <v>6</v>
      </c>
      <c r="AF24" s="57">
        <v>6</v>
      </c>
      <c r="AG24" s="58"/>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c r="E27" s="254"/>
      <c r="F27" s="254"/>
      <c r="G27" s="254"/>
      <c r="H27" s="254"/>
      <c r="I27" s="254">
        <v>5</v>
      </c>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IF(C6="","",[6]機構処理!BF29)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46131</v>
      </c>
      <c r="D29" s="33">
        <f t="shared" ref="D29:AD29" si="5">IF(OR(C29="",C28="修了日"),"",C29+1)</f>
        <v>46132</v>
      </c>
      <c r="E29" s="33">
        <f t="shared" si="5"/>
        <v>46133</v>
      </c>
      <c r="F29" s="33">
        <f t="shared" si="5"/>
        <v>46134</v>
      </c>
      <c r="G29" s="33">
        <f t="shared" si="5"/>
        <v>46135</v>
      </c>
      <c r="H29" s="33">
        <f t="shared" si="5"/>
        <v>46136</v>
      </c>
      <c r="I29" s="33">
        <f t="shared" si="5"/>
        <v>46137</v>
      </c>
      <c r="J29" s="33">
        <f t="shared" si="5"/>
        <v>46138</v>
      </c>
      <c r="K29" s="33">
        <f t="shared" si="5"/>
        <v>46139</v>
      </c>
      <c r="L29" s="33">
        <f t="shared" si="5"/>
        <v>46140</v>
      </c>
      <c r="M29" s="33">
        <f t="shared" si="5"/>
        <v>46141</v>
      </c>
      <c r="N29" s="33">
        <f t="shared" si="5"/>
        <v>46142</v>
      </c>
      <c r="O29" s="33">
        <f t="shared" si="5"/>
        <v>46143</v>
      </c>
      <c r="P29" s="33">
        <f t="shared" si="5"/>
        <v>46144</v>
      </c>
      <c r="Q29" s="33">
        <f t="shared" si="5"/>
        <v>46145</v>
      </c>
      <c r="R29" s="33">
        <f t="shared" si="5"/>
        <v>46146</v>
      </c>
      <c r="S29" s="33">
        <f t="shared" si="5"/>
        <v>46147</v>
      </c>
      <c r="T29" s="33">
        <f t="shared" si="5"/>
        <v>46148</v>
      </c>
      <c r="U29" s="33">
        <f t="shared" si="5"/>
        <v>46149</v>
      </c>
      <c r="V29" s="33">
        <f t="shared" si="5"/>
        <v>46150</v>
      </c>
      <c r="W29" s="33">
        <f t="shared" si="5"/>
        <v>46151</v>
      </c>
      <c r="X29" s="33">
        <f t="shared" si="5"/>
        <v>46152</v>
      </c>
      <c r="Y29" s="33">
        <f t="shared" si="5"/>
        <v>46153</v>
      </c>
      <c r="Z29" s="33">
        <f t="shared" si="5"/>
        <v>46154</v>
      </c>
      <c r="AA29" s="33">
        <f t="shared" si="5"/>
        <v>46155</v>
      </c>
      <c r="AB29" s="33">
        <f t="shared" si="5"/>
        <v>46156</v>
      </c>
      <c r="AC29" s="33">
        <f t="shared" si="5"/>
        <v>46157</v>
      </c>
      <c r="AD29" s="33">
        <f t="shared" si="5"/>
        <v>46158</v>
      </c>
      <c r="AE29" s="33">
        <f>IF(OR(AD29="",AD28="修了日"),"",IF(AND(DAY(DATE(YEAR(C29),2,29))=29,MONTH(C29)=2),AD29+1,IF(MONTH(C29)=2,"",AD29+1)))</f>
        <v>46159</v>
      </c>
      <c r="AF29" s="33">
        <f>IF(OR(AE29="",AE28="修了日"),"",IF(MONTH(C29)=2,"",AE29+1))</f>
        <v>46160</v>
      </c>
      <c r="AG29" s="65" t="str">
        <f>IF(OR(AF29="",AF28="修了日"),"",IF(OR(MONTH(C29)=2,MONTH(C29)=4,MONTH(C29)=6,MONTH(C29)=9,MONTH(C29)=11),"",AF29+1))</f>
        <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46131</v>
      </c>
      <c r="D30" s="67">
        <f t="shared" si="6"/>
        <v>46132</v>
      </c>
      <c r="E30" s="67">
        <f t="shared" si="6"/>
        <v>46133</v>
      </c>
      <c r="F30" s="67">
        <f t="shared" si="6"/>
        <v>46134</v>
      </c>
      <c r="G30" s="67">
        <f t="shared" si="6"/>
        <v>46135</v>
      </c>
      <c r="H30" s="67">
        <f t="shared" si="6"/>
        <v>46136</v>
      </c>
      <c r="I30" s="67">
        <f t="shared" si="6"/>
        <v>46137</v>
      </c>
      <c r="J30" s="67">
        <f t="shared" si="6"/>
        <v>46138</v>
      </c>
      <c r="K30" s="67">
        <f t="shared" si="6"/>
        <v>46139</v>
      </c>
      <c r="L30" s="67">
        <f t="shared" si="6"/>
        <v>46140</v>
      </c>
      <c r="M30" s="67">
        <f t="shared" si="6"/>
        <v>46141</v>
      </c>
      <c r="N30" s="67">
        <f t="shared" si="6"/>
        <v>46142</v>
      </c>
      <c r="O30" s="67">
        <f t="shared" si="6"/>
        <v>46143</v>
      </c>
      <c r="P30" s="67">
        <f t="shared" si="6"/>
        <v>46144</v>
      </c>
      <c r="Q30" s="67">
        <f t="shared" si="6"/>
        <v>46145</v>
      </c>
      <c r="R30" s="67">
        <f t="shared" si="6"/>
        <v>46146</v>
      </c>
      <c r="S30" s="67">
        <f t="shared" si="6"/>
        <v>46147</v>
      </c>
      <c r="T30" s="67">
        <f t="shared" si="6"/>
        <v>46148</v>
      </c>
      <c r="U30" s="67">
        <f t="shared" si="6"/>
        <v>46149</v>
      </c>
      <c r="V30" s="67">
        <f t="shared" si="6"/>
        <v>46150</v>
      </c>
      <c r="W30" s="67">
        <f t="shared" si="6"/>
        <v>46151</v>
      </c>
      <c r="X30" s="67">
        <f t="shared" si="6"/>
        <v>46152</v>
      </c>
      <c r="Y30" s="67">
        <f t="shared" si="6"/>
        <v>46153</v>
      </c>
      <c r="Z30" s="67">
        <f t="shared" si="6"/>
        <v>46154</v>
      </c>
      <c r="AA30" s="67">
        <f t="shared" si="6"/>
        <v>46155</v>
      </c>
      <c r="AB30" s="67">
        <f>IF(AB29="","",+AB29)</f>
        <v>46156</v>
      </c>
      <c r="AC30" s="67">
        <f t="shared" si="6"/>
        <v>46157</v>
      </c>
      <c r="AD30" s="37">
        <f t="shared" si="6"/>
        <v>46158</v>
      </c>
      <c r="AE30" s="67">
        <f t="shared" si="6"/>
        <v>46159</v>
      </c>
      <c r="AF30" s="67">
        <f t="shared" si="6"/>
        <v>46160</v>
      </c>
      <c r="AG30" s="68" t="str">
        <f t="shared" si="6"/>
        <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46131</v>
      </c>
      <c r="D31" s="39">
        <f t="shared" si="6"/>
        <v>46132</v>
      </c>
      <c r="E31" s="39">
        <f t="shared" si="6"/>
        <v>46133</v>
      </c>
      <c r="F31" s="39">
        <f t="shared" si="6"/>
        <v>46134</v>
      </c>
      <c r="G31" s="39">
        <f t="shared" si="6"/>
        <v>46135</v>
      </c>
      <c r="H31" s="39">
        <f t="shared" si="6"/>
        <v>46136</v>
      </c>
      <c r="I31" s="39">
        <f t="shared" si="6"/>
        <v>46137</v>
      </c>
      <c r="J31" s="39">
        <f t="shared" si="6"/>
        <v>46138</v>
      </c>
      <c r="K31" s="39">
        <f t="shared" si="6"/>
        <v>46139</v>
      </c>
      <c r="L31" s="39">
        <f t="shared" si="6"/>
        <v>46140</v>
      </c>
      <c r="M31" s="39">
        <f t="shared" si="6"/>
        <v>46141</v>
      </c>
      <c r="N31" s="39">
        <f t="shared" si="6"/>
        <v>46142</v>
      </c>
      <c r="O31" s="39">
        <f t="shared" si="6"/>
        <v>46143</v>
      </c>
      <c r="P31" s="39">
        <f t="shared" si="6"/>
        <v>46144</v>
      </c>
      <c r="Q31" s="39">
        <f t="shared" si="6"/>
        <v>46145</v>
      </c>
      <c r="R31" s="39">
        <f t="shared" si="6"/>
        <v>46146</v>
      </c>
      <c r="S31" s="39">
        <f t="shared" si="6"/>
        <v>46147</v>
      </c>
      <c r="T31" s="39">
        <f t="shared" si="6"/>
        <v>46148</v>
      </c>
      <c r="U31" s="39">
        <f t="shared" si="6"/>
        <v>46149</v>
      </c>
      <c r="V31" s="39">
        <f t="shared" si="6"/>
        <v>46150</v>
      </c>
      <c r="W31" s="39">
        <f t="shared" si="6"/>
        <v>46151</v>
      </c>
      <c r="X31" s="39">
        <f t="shared" si="6"/>
        <v>46152</v>
      </c>
      <c r="Y31" s="39">
        <f t="shared" si="6"/>
        <v>46153</v>
      </c>
      <c r="Z31" s="39">
        <f t="shared" si="6"/>
        <v>46154</v>
      </c>
      <c r="AA31" s="39">
        <f t="shared" si="6"/>
        <v>46155</v>
      </c>
      <c r="AB31" s="39">
        <f t="shared" si="6"/>
        <v>46156</v>
      </c>
      <c r="AC31" s="39">
        <f t="shared" si="6"/>
        <v>46157</v>
      </c>
      <c r="AD31" s="39">
        <f t="shared" si="6"/>
        <v>46158</v>
      </c>
      <c r="AE31" s="39">
        <f t="shared" si="6"/>
        <v>46159</v>
      </c>
      <c r="AF31" s="39">
        <f t="shared" si="6"/>
        <v>46160</v>
      </c>
      <c r="AG31" s="40" t="str">
        <f t="shared" si="6"/>
        <v/>
      </c>
      <c r="AH31" s="19"/>
      <c r="AI31" s="20"/>
      <c r="AJ31" s="20"/>
      <c r="AK31" s="20"/>
      <c r="AL31" s="20"/>
      <c r="AM31" s="20"/>
      <c r="AN31" s="20"/>
      <c r="AO31" s="20"/>
      <c r="AP31" s="20"/>
      <c r="AQ31" s="20"/>
      <c r="AR31" s="20"/>
      <c r="AS31" s="20"/>
      <c r="AT31" s="20"/>
      <c r="AU31" s="20"/>
      <c r="AV31" s="20"/>
    </row>
    <row r="32" spans="1:48" ht="18" customHeight="1">
      <c r="A32" s="411" t="s">
        <v>247</v>
      </c>
      <c r="B32" s="41"/>
      <c r="C32" s="412" t="str">
        <f t="shared" ref="C32:AE32" si="7">IF(C$31="","",IF(C$31=$K$150,"ハローワーク来所日①",""))</f>
        <v/>
      </c>
      <c r="D32" s="399" t="s">
        <v>216</v>
      </c>
      <c r="E32" s="399" t="str">
        <f t="shared" si="7"/>
        <v/>
      </c>
      <c r="F32" s="399" t="s">
        <v>216</v>
      </c>
      <c r="G32" s="399" t="s">
        <v>315</v>
      </c>
      <c r="H32" s="456" t="s">
        <v>315</v>
      </c>
      <c r="I32" s="399" t="str">
        <f t="shared" si="7"/>
        <v/>
      </c>
      <c r="J32" s="399" t="str">
        <f t="shared" si="7"/>
        <v/>
      </c>
      <c r="K32" s="399" t="s">
        <v>315</v>
      </c>
      <c r="L32" s="399" t="str">
        <f t="shared" si="7"/>
        <v>ハローワーク来所日①</v>
      </c>
      <c r="M32" s="399" t="str">
        <f t="shared" si="7"/>
        <v/>
      </c>
      <c r="N32" s="399" t="s">
        <v>315</v>
      </c>
      <c r="O32" s="399" t="s">
        <v>315</v>
      </c>
      <c r="P32" s="399" t="str">
        <f t="shared" si="7"/>
        <v/>
      </c>
      <c r="Q32" s="399" t="str">
        <f t="shared" si="7"/>
        <v/>
      </c>
      <c r="R32" s="399" t="str">
        <f t="shared" si="7"/>
        <v/>
      </c>
      <c r="S32" s="399" t="str">
        <f t="shared" si="7"/>
        <v/>
      </c>
      <c r="T32" s="399" t="str">
        <f t="shared" si="7"/>
        <v/>
      </c>
      <c r="U32" s="399" t="s">
        <v>315</v>
      </c>
      <c r="V32" s="399" t="s">
        <v>315</v>
      </c>
      <c r="W32" s="399" t="str">
        <f t="shared" si="7"/>
        <v/>
      </c>
      <c r="X32" s="399" t="str">
        <f t="shared" si="7"/>
        <v/>
      </c>
      <c r="Y32" s="399" t="s">
        <v>315</v>
      </c>
      <c r="Z32" s="399" t="str">
        <f t="shared" si="7"/>
        <v/>
      </c>
      <c r="AA32" s="399" t="s">
        <v>315</v>
      </c>
      <c r="AB32" s="399" t="s">
        <v>315</v>
      </c>
      <c r="AC32" s="399" t="s">
        <v>315</v>
      </c>
      <c r="AD32" s="399" t="str">
        <f t="shared" si="7"/>
        <v/>
      </c>
      <c r="AE32" s="399" t="str">
        <f t="shared" si="7"/>
        <v/>
      </c>
      <c r="AF32" s="399" t="s">
        <v>315</v>
      </c>
      <c r="AG32" s="402"/>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57"/>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57"/>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57"/>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57"/>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57"/>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57"/>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57"/>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57"/>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57"/>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57"/>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58"/>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t="s">
        <v>64</v>
      </c>
      <c r="G45" s="44"/>
      <c r="H45" s="49"/>
      <c r="I45" s="49"/>
      <c r="J45" s="44"/>
      <c r="K45" s="44"/>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[6]機構処理!BI77</f>
        <v/>
      </c>
      <c r="AJ46" s="418"/>
      <c r="AK46" s="70"/>
      <c r="AL46" s="70"/>
      <c r="AM46" s="70"/>
      <c r="AN46" s="70"/>
      <c r="AO46" s="70"/>
      <c r="AP46" s="20"/>
      <c r="AQ46" s="20"/>
      <c r="AR46" s="20"/>
      <c r="AS46" s="20"/>
      <c r="AT46" s="20"/>
      <c r="AU46" s="20"/>
      <c r="AV46" s="20"/>
    </row>
    <row r="47" spans="1:48" ht="18" customHeight="1">
      <c r="A47" s="35"/>
      <c r="B47" s="407" t="s">
        <v>66</v>
      </c>
      <c r="C47" s="56"/>
      <c r="D47" s="57">
        <v>6</v>
      </c>
      <c r="E47" s="57"/>
      <c r="F47" s="57">
        <v>6</v>
      </c>
      <c r="G47" s="57">
        <v>6</v>
      </c>
      <c r="H47" s="57">
        <v>6</v>
      </c>
      <c r="I47" s="57"/>
      <c r="J47" s="57"/>
      <c r="K47" s="57">
        <v>6</v>
      </c>
      <c r="L47" s="57"/>
      <c r="M47" s="57"/>
      <c r="N47" s="57">
        <v>6</v>
      </c>
      <c r="O47" s="57">
        <v>6</v>
      </c>
      <c r="P47" s="57"/>
      <c r="Q47" s="57"/>
      <c r="R47" s="57"/>
      <c r="S47" s="57"/>
      <c r="T47" s="57"/>
      <c r="U47" s="57">
        <v>6</v>
      </c>
      <c r="V47" s="57">
        <v>6</v>
      </c>
      <c r="W47" s="57"/>
      <c r="X47" s="57"/>
      <c r="Y47" s="57">
        <v>6</v>
      </c>
      <c r="Z47" s="57"/>
      <c r="AA47" s="57">
        <v>6</v>
      </c>
      <c r="AB47" s="57">
        <v>6</v>
      </c>
      <c r="AC47" s="57">
        <v>6</v>
      </c>
      <c r="AD47" s="57"/>
      <c r="AE47" s="57"/>
      <c r="AF47" s="57">
        <v>6</v>
      </c>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IF(C29="","",[6]機構処理!BF35)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46161</v>
      </c>
      <c r="D51" s="33">
        <f t="shared" ref="D51:AD51" si="9">IF(OR(C51="",C50="修了日"),"",C51+1)</f>
        <v>46162</v>
      </c>
      <c r="E51" s="33">
        <f t="shared" si="9"/>
        <v>46163</v>
      </c>
      <c r="F51" s="33">
        <f t="shared" si="9"/>
        <v>46164</v>
      </c>
      <c r="G51" s="33">
        <f t="shared" si="9"/>
        <v>46165</v>
      </c>
      <c r="H51" s="33">
        <f t="shared" si="9"/>
        <v>46166</v>
      </c>
      <c r="I51" s="33">
        <f t="shared" si="9"/>
        <v>46167</v>
      </c>
      <c r="J51" s="33">
        <f t="shared" si="9"/>
        <v>46168</v>
      </c>
      <c r="K51" s="33">
        <f t="shared" si="9"/>
        <v>46169</v>
      </c>
      <c r="L51" s="33">
        <f t="shared" si="9"/>
        <v>46170</v>
      </c>
      <c r="M51" s="33">
        <f t="shared" si="9"/>
        <v>46171</v>
      </c>
      <c r="N51" s="33">
        <f t="shared" si="9"/>
        <v>46172</v>
      </c>
      <c r="O51" s="33">
        <f t="shared" si="9"/>
        <v>46173</v>
      </c>
      <c r="P51" s="33">
        <f t="shared" si="9"/>
        <v>46174</v>
      </c>
      <c r="Q51" s="33">
        <f t="shared" si="9"/>
        <v>46175</v>
      </c>
      <c r="R51" s="33">
        <f t="shared" si="9"/>
        <v>46176</v>
      </c>
      <c r="S51" s="33">
        <f t="shared" si="9"/>
        <v>46177</v>
      </c>
      <c r="T51" s="33">
        <f t="shared" si="9"/>
        <v>46178</v>
      </c>
      <c r="U51" s="33">
        <f t="shared" si="9"/>
        <v>46179</v>
      </c>
      <c r="V51" s="33">
        <f t="shared" si="9"/>
        <v>46180</v>
      </c>
      <c r="W51" s="33">
        <f t="shared" si="9"/>
        <v>46181</v>
      </c>
      <c r="X51" s="33">
        <f t="shared" si="9"/>
        <v>46182</v>
      </c>
      <c r="Y51" s="33">
        <f t="shared" si="9"/>
        <v>46183</v>
      </c>
      <c r="Z51" s="33">
        <f t="shared" si="9"/>
        <v>46184</v>
      </c>
      <c r="AA51" s="33">
        <f t="shared" si="9"/>
        <v>46185</v>
      </c>
      <c r="AB51" s="33">
        <f t="shared" si="9"/>
        <v>46186</v>
      </c>
      <c r="AC51" s="33">
        <f t="shared" si="9"/>
        <v>46187</v>
      </c>
      <c r="AD51" s="33">
        <f t="shared" si="9"/>
        <v>46188</v>
      </c>
      <c r="AE51" s="33">
        <f>IF(OR(AD51="",AD50="修了日"),"",IF(AND(DAY(DATE(YEAR(C51),2,29))=29,MONTH(C51)=2),AD51+1,IF(MONTH(C51)=2,"",AD51+1)))</f>
        <v>46189</v>
      </c>
      <c r="AF51" s="33">
        <f>IF(OR(AE51="",AE50="修了日"),"",IF(MONTH(C51)=2,"",AE51+1))</f>
        <v>46190</v>
      </c>
      <c r="AG51" s="65">
        <f>IF(OR(AF51="",AF50="修了日"),"",IF(OR(MONTH(C51)=2,MONTH(C51)=4,MONTH(C51)=6,MONTH(C51)=9,MONTH(C51)=11),"",AF51+1))</f>
        <v>46191</v>
      </c>
      <c r="AH51" s="19"/>
      <c r="AI51" s="20"/>
      <c r="AJ51" s="20"/>
      <c r="AK51" s="20"/>
      <c r="AL51" s="20"/>
      <c r="AM51" s="20"/>
      <c r="AN51" s="20"/>
      <c r="AO51" s="20"/>
      <c r="AP51" s="20"/>
      <c r="AQ51" s="20"/>
      <c r="AR51" s="20"/>
      <c r="AS51" s="20"/>
      <c r="AT51" s="20"/>
      <c r="AU51" s="20"/>
      <c r="AV51" s="20"/>
    </row>
    <row r="52" spans="1:48" ht="18" customHeight="1">
      <c r="A52" s="35"/>
      <c r="B52" s="31" t="s">
        <v>52</v>
      </c>
      <c r="C52" s="67">
        <f>+C51</f>
        <v>46161</v>
      </c>
      <c r="D52" s="67">
        <f t="shared" ref="D52:AG53" si="10">IF(D51="","",+D51)</f>
        <v>46162</v>
      </c>
      <c r="E52" s="67">
        <f t="shared" si="10"/>
        <v>46163</v>
      </c>
      <c r="F52" s="67">
        <f t="shared" si="10"/>
        <v>46164</v>
      </c>
      <c r="G52" s="67">
        <f t="shared" si="10"/>
        <v>46165</v>
      </c>
      <c r="H52" s="67">
        <f t="shared" si="10"/>
        <v>46166</v>
      </c>
      <c r="I52" s="67">
        <f t="shared" si="10"/>
        <v>46167</v>
      </c>
      <c r="J52" s="67">
        <f t="shared" si="10"/>
        <v>46168</v>
      </c>
      <c r="K52" s="67">
        <f t="shared" si="10"/>
        <v>46169</v>
      </c>
      <c r="L52" s="67">
        <f t="shared" si="10"/>
        <v>46170</v>
      </c>
      <c r="M52" s="67">
        <f t="shared" si="10"/>
        <v>46171</v>
      </c>
      <c r="N52" s="67">
        <f t="shared" si="10"/>
        <v>46172</v>
      </c>
      <c r="O52" s="67">
        <f t="shared" si="10"/>
        <v>46173</v>
      </c>
      <c r="P52" s="67">
        <f t="shared" si="10"/>
        <v>46174</v>
      </c>
      <c r="Q52" s="67">
        <f t="shared" si="10"/>
        <v>46175</v>
      </c>
      <c r="R52" s="67">
        <f t="shared" si="10"/>
        <v>46176</v>
      </c>
      <c r="S52" s="67">
        <f t="shared" si="10"/>
        <v>46177</v>
      </c>
      <c r="T52" s="67">
        <f t="shared" si="10"/>
        <v>46178</v>
      </c>
      <c r="U52" s="67">
        <f t="shared" si="10"/>
        <v>46179</v>
      </c>
      <c r="V52" s="67">
        <f t="shared" si="10"/>
        <v>46180</v>
      </c>
      <c r="W52" s="67">
        <f t="shared" si="10"/>
        <v>46181</v>
      </c>
      <c r="X52" s="67">
        <f t="shared" si="10"/>
        <v>46182</v>
      </c>
      <c r="Y52" s="67">
        <f t="shared" si="10"/>
        <v>46183</v>
      </c>
      <c r="Z52" s="67">
        <f t="shared" si="10"/>
        <v>46184</v>
      </c>
      <c r="AA52" s="67">
        <f t="shared" si="10"/>
        <v>46185</v>
      </c>
      <c r="AB52" s="67">
        <f t="shared" si="10"/>
        <v>46186</v>
      </c>
      <c r="AC52" s="67">
        <f t="shared" si="10"/>
        <v>46187</v>
      </c>
      <c r="AD52" s="67">
        <f t="shared" si="10"/>
        <v>46188</v>
      </c>
      <c r="AE52" s="67">
        <f t="shared" si="10"/>
        <v>46189</v>
      </c>
      <c r="AF52" s="67">
        <f t="shared" si="10"/>
        <v>46190</v>
      </c>
      <c r="AG52" s="38">
        <f t="shared" si="10"/>
        <v>46191</v>
      </c>
      <c r="AH52" s="19"/>
      <c r="AI52" s="20"/>
      <c r="AJ52" s="20"/>
      <c r="AK52" s="20"/>
      <c r="AL52" s="20"/>
      <c r="AM52" s="20"/>
      <c r="AN52" s="20"/>
      <c r="AO52" s="20"/>
      <c r="AP52" s="20"/>
      <c r="AQ52" s="20"/>
      <c r="AR52" s="20"/>
      <c r="AS52" s="20"/>
      <c r="AT52" s="20"/>
      <c r="AU52" s="20"/>
      <c r="AV52" s="20"/>
    </row>
    <row r="53" spans="1:48" ht="18" customHeight="1">
      <c r="A53" s="35"/>
      <c r="B53" s="31" t="s">
        <v>53</v>
      </c>
      <c r="C53" s="39">
        <f>+C52</f>
        <v>46161</v>
      </c>
      <c r="D53" s="39">
        <f t="shared" si="10"/>
        <v>46162</v>
      </c>
      <c r="E53" s="39">
        <f t="shared" si="10"/>
        <v>46163</v>
      </c>
      <c r="F53" s="39">
        <f t="shared" si="10"/>
        <v>46164</v>
      </c>
      <c r="G53" s="39">
        <f t="shared" si="10"/>
        <v>46165</v>
      </c>
      <c r="H53" s="39">
        <f t="shared" si="10"/>
        <v>46166</v>
      </c>
      <c r="I53" s="39">
        <f t="shared" si="10"/>
        <v>46167</v>
      </c>
      <c r="J53" s="39">
        <f t="shared" si="10"/>
        <v>46168</v>
      </c>
      <c r="K53" s="39">
        <f t="shared" si="10"/>
        <v>46169</v>
      </c>
      <c r="L53" s="39">
        <f t="shared" si="10"/>
        <v>46170</v>
      </c>
      <c r="M53" s="39">
        <f t="shared" si="10"/>
        <v>46171</v>
      </c>
      <c r="N53" s="39">
        <f t="shared" si="10"/>
        <v>46172</v>
      </c>
      <c r="O53" s="39">
        <f t="shared" si="10"/>
        <v>46173</v>
      </c>
      <c r="P53" s="39">
        <f t="shared" si="10"/>
        <v>46174</v>
      </c>
      <c r="Q53" s="39">
        <f t="shared" si="10"/>
        <v>46175</v>
      </c>
      <c r="R53" s="39">
        <f t="shared" si="10"/>
        <v>46176</v>
      </c>
      <c r="S53" s="39">
        <f t="shared" si="10"/>
        <v>46177</v>
      </c>
      <c r="T53" s="39">
        <f t="shared" si="10"/>
        <v>46178</v>
      </c>
      <c r="U53" s="39">
        <f t="shared" si="10"/>
        <v>46179</v>
      </c>
      <c r="V53" s="39">
        <f t="shared" si="10"/>
        <v>46180</v>
      </c>
      <c r="W53" s="39">
        <f t="shared" si="10"/>
        <v>46181</v>
      </c>
      <c r="X53" s="39">
        <f t="shared" si="10"/>
        <v>46182</v>
      </c>
      <c r="Y53" s="39">
        <f t="shared" si="10"/>
        <v>46183</v>
      </c>
      <c r="Z53" s="39">
        <f t="shared" si="10"/>
        <v>46184</v>
      </c>
      <c r="AA53" s="39">
        <f t="shared" si="10"/>
        <v>46185</v>
      </c>
      <c r="AB53" s="39">
        <f t="shared" si="10"/>
        <v>46186</v>
      </c>
      <c r="AC53" s="39">
        <f t="shared" si="10"/>
        <v>46187</v>
      </c>
      <c r="AD53" s="39">
        <f t="shared" si="10"/>
        <v>46188</v>
      </c>
      <c r="AE53" s="39">
        <f t="shared" si="10"/>
        <v>46189</v>
      </c>
      <c r="AF53" s="39">
        <f t="shared" si="10"/>
        <v>46190</v>
      </c>
      <c r="AG53" s="40">
        <f t="shared" si="10"/>
        <v>46191</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
        <v>315</v>
      </c>
      <c r="D54" s="399" t="str">
        <f t="shared" ref="D54:AE54" si="11">IF(D$53="","",IF(D$53=$K$151,"ハローワーク来所日②",""))</f>
        <v/>
      </c>
      <c r="E54" s="399" t="s">
        <v>317</v>
      </c>
      <c r="F54" s="430" t="s">
        <v>315</v>
      </c>
      <c r="G54" s="399" t="str">
        <f t="shared" si="11"/>
        <v/>
      </c>
      <c r="H54" s="399" t="str">
        <f t="shared" si="11"/>
        <v/>
      </c>
      <c r="I54" s="399" t="s">
        <v>315</v>
      </c>
      <c r="J54" s="399" t="s">
        <v>284</v>
      </c>
      <c r="K54" s="399" t="s">
        <v>284</v>
      </c>
      <c r="L54" s="399" t="str">
        <f t="shared" si="11"/>
        <v>ハローワーク来所日②</v>
      </c>
      <c r="M54" s="399" t="s">
        <v>284</v>
      </c>
      <c r="N54" s="399"/>
      <c r="O54" s="399" t="str">
        <f t="shared" si="11"/>
        <v/>
      </c>
      <c r="P54" s="399" t="s">
        <v>286</v>
      </c>
      <c r="Q54" s="399" t="str">
        <f t="shared" si="11"/>
        <v/>
      </c>
      <c r="R54" s="399"/>
      <c r="S54" s="399" t="s">
        <v>316</v>
      </c>
      <c r="T54" s="399" t="s">
        <v>316</v>
      </c>
      <c r="U54" s="399" t="s">
        <v>107</v>
      </c>
      <c r="V54" s="399" t="str">
        <f t="shared" si="11"/>
        <v/>
      </c>
      <c r="W54" s="399" t="s">
        <v>283</v>
      </c>
      <c r="X54" s="399" t="str">
        <f t="shared" si="11"/>
        <v/>
      </c>
      <c r="Y54" s="399" t="s">
        <v>283</v>
      </c>
      <c r="Z54" s="399" t="s">
        <v>283</v>
      </c>
      <c r="AA54" s="399" t="s">
        <v>283</v>
      </c>
      <c r="AB54" s="399" t="s">
        <v>107</v>
      </c>
      <c r="AC54" s="399" t="str">
        <f t="shared" si="11"/>
        <v/>
      </c>
      <c r="AD54" s="399" t="s">
        <v>283</v>
      </c>
      <c r="AE54" s="399" t="str">
        <f t="shared" si="11"/>
        <v/>
      </c>
      <c r="AF54" s="399" t="s">
        <v>283</v>
      </c>
      <c r="AG54" s="402" t="s">
        <v>283</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31"/>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31"/>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31"/>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31"/>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31"/>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31"/>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31"/>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31"/>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31"/>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31"/>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32"/>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4"/>
      <c r="P66" s="44"/>
      <c r="Q66" s="45"/>
      <c r="R66" s="45"/>
      <c r="S66" s="45"/>
      <c r="T66" s="44"/>
      <c r="U66" s="45"/>
      <c r="V66" s="44"/>
      <c r="W66" s="44"/>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c r="H67" s="49"/>
      <c r="I67" s="49" t="s">
        <v>64</v>
      </c>
      <c r="J67" s="44"/>
      <c r="K67" s="44"/>
      <c r="L67" s="44"/>
      <c r="M67" s="44"/>
      <c r="N67" s="44"/>
      <c r="O67" s="44"/>
      <c r="P67" s="44"/>
      <c r="Q67" s="44"/>
      <c r="R67" s="44"/>
      <c r="S67" s="44"/>
      <c r="T67" s="44"/>
      <c r="U67" s="49"/>
      <c r="V67" s="44"/>
      <c r="W67" s="44"/>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3"/>
      <c r="P68" s="53"/>
      <c r="Q68" s="53"/>
      <c r="R68" s="53"/>
      <c r="S68" s="53"/>
      <c r="T68" s="53"/>
      <c r="U68" s="54"/>
      <c r="V68" s="53"/>
      <c r="W68" s="53"/>
      <c r="X68" s="53"/>
      <c r="Y68" s="53"/>
      <c r="Z68" s="53"/>
      <c r="AA68" s="53"/>
      <c r="AB68" s="54"/>
      <c r="AC68" s="54"/>
      <c r="AD68" s="53"/>
      <c r="AE68" s="53"/>
      <c r="AF68" s="53"/>
      <c r="AG68" s="71"/>
      <c r="AH68" s="132" t="str">
        <f>IF(AI68="","","←")</f>
        <v/>
      </c>
      <c r="AI68" s="416" t="str">
        <f>[6]機構処理!BI81</f>
        <v/>
      </c>
      <c r="AJ68" s="416"/>
      <c r="AK68" s="72"/>
      <c r="AL68" s="70"/>
      <c r="AM68" s="72"/>
      <c r="AN68" s="72"/>
      <c r="AO68" s="72"/>
      <c r="AP68" s="20"/>
      <c r="AQ68" s="20"/>
      <c r="AR68" s="20"/>
      <c r="AS68" s="20"/>
      <c r="AT68" s="20"/>
      <c r="AU68" s="20"/>
      <c r="AV68" s="20"/>
    </row>
    <row r="69" spans="1:48" ht="18" customHeight="1">
      <c r="A69" s="35"/>
      <c r="B69" s="407" t="s">
        <v>66</v>
      </c>
      <c r="C69" s="56">
        <v>6</v>
      </c>
      <c r="D69" s="57"/>
      <c r="E69" s="57">
        <v>6</v>
      </c>
      <c r="F69" s="57">
        <v>6</v>
      </c>
      <c r="G69" s="57"/>
      <c r="H69" s="57"/>
      <c r="I69" s="57">
        <v>6</v>
      </c>
      <c r="J69" s="57">
        <v>6</v>
      </c>
      <c r="K69" s="57">
        <v>6</v>
      </c>
      <c r="L69" s="57"/>
      <c r="M69" s="57">
        <v>6</v>
      </c>
      <c r="N69" s="57"/>
      <c r="O69" s="57"/>
      <c r="P69" s="57">
        <v>6</v>
      </c>
      <c r="Q69" s="57"/>
      <c r="R69" s="57"/>
      <c r="S69" s="57">
        <v>6</v>
      </c>
      <c r="T69" s="57">
        <v>6</v>
      </c>
      <c r="U69" s="57">
        <v>0</v>
      </c>
      <c r="V69" s="57"/>
      <c r="W69" s="57">
        <v>6</v>
      </c>
      <c r="X69" s="57"/>
      <c r="Y69" s="57">
        <v>6</v>
      </c>
      <c r="Z69" s="57">
        <v>6</v>
      </c>
      <c r="AA69" s="57">
        <v>6</v>
      </c>
      <c r="AB69" s="57">
        <v>0</v>
      </c>
      <c r="AC69" s="57"/>
      <c r="AD69" s="57">
        <v>6</v>
      </c>
      <c r="AE69" s="57"/>
      <c r="AF69" s="57">
        <v>6</v>
      </c>
      <c r="AG69" s="73">
        <v>6</v>
      </c>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IF(C51="","",[6]機構処理!BF41)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46192</v>
      </c>
      <c r="D73" s="33">
        <f t="shared" ref="D73:AD73" si="13">IF(OR(C73="",C72="修了日"),"",C73+1)</f>
        <v>46193</v>
      </c>
      <c r="E73" s="33">
        <f t="shared" si="13"/>
        <v>46194</v>
      </c>
      <c r="F73" s="33">
        <f t="shared" si="13"/>
        <v>46195</v>
      </c>
      <c r="G73" s="33">
        <f t="shared" si="13"/>
        <v>46196</v>
      </c>
      <c r="H73" s="33">
        <f t="shared" si="13"/>
        <v>46197</v>
      </c>
      <c r="I73" s="33">
        <f t="shared" si="13"/>
        <v>46198</v>
      </c>
      <c r="J73" s="33">
        <f t="shared" si="13"/>
        <v>46199</v>
      </c>
      <c r="K73" s="33">
        <f t="shared" si="13"/>
        <v>46200</v>
      </c>
      <c r="L73" s="33">
        <f t="shared" si="13"/>
        <v>46201</v>
      </c>
      <c r="M73" s="33">
        <f t="shared" si="13"/>
        <v>46202</v>
      </c>
      <c r="N73" s="33">
        <f t="shared" si="13"/>
        <v>46203</v>
      </c>
      <c r="O73" s="33">
        <f t="shared" si="13"/>
        <v>46204</v>
      </c>
      <c r="P73" s="33">
        <f t="shared" si="13"/>
        <v>46205</v>
      </c>
      <c r="Q73" s="33">
        <f t="shared" si="13"/>
        <v>46206</v>
      </c>
      <c r="R73" s="33">
        <f t="shared" si="13"/>
        <v>46207</v>
      </c>
      <c r="S73" s="33">
        <f t="shared" si="13"/>
        <v>46208</v>
      </c>
      <c r="T73" s="33">
        <f t="shared" si="13"/>
        <v>46209</v>
      </c>
      <c r="U73" s="33">
        <f t="shared" si="13"/>
        <v>46210</v>
      </c>
      <c r="V73" s="33">
        <f t="shared" si="13"/>
        <v>46211</v>
      </c>
      <c r="W73" s="33">
        <f t="shared" si="13"/>
        <v>46212</v>
      </c>
      <c r="X73" s="33">
        <f t="shared" si="13"/>
        <v>46213</v>
      </c>
      <c r="Y73" s="33">
        <f t="shared" si="13"/>
        <v>46214</v>
      </c>
      <c r="Z73" s="33">
        <f t="shared" si="13"/>
        <v>46215</v>
      </c>
      <c r="AA73" s="33">
        <f t="shared" si="13"/>
        <v>46216</v>
      </c>
      <c r="AB73" s="33">
        <f t="shared" si="13"/>
        <v>46217</v>
      </c>
      <c r="AC73" s="33">
        <f t="shared" si="13"/>
        <v>46218</v>
      </c>
      <c r="AD73" s="33">
        <f t="shared" si="13"/>
        <v>46219</v>
      </c>
      <c r="AE73" s="33">
        <f>IF(OR(AD73="",AD72="修了日"),"",IF(AND(DAY(DATE(YEAR(C73),2,29))=29,MONTH(C73)=2),AD73+1,IF(MONTH(C73)=2,"",AD73+1)))</f>
        <v>46220</v>
      </c>
      <c r="AF73" s="33">
        <f>IF(OR(AE73="",AE72="修了日"),"",IF(MONTH(C73)=2,"",AE73+1))</f>
        <v>46221</v>
      </c>
      <c r="AG73" s="65" t="str">
        <f>IF(OR(AF73="",AF72="修了日"),"",IF(OR(MONTH(C73)=2,MONTH(C73)=4,MONTH(C73)=6,MONTH(C73)=9,MONTH(C73)=11),"",AF73+1))</f>
        <v/>
      </c>
      <c r="AH73" s="19"/>
      <c r="AI73" s="20"/>
      <c r="AJ73" s="20"/>
      <c r="AK73" s="20"/>
      <c r="AL73" s="20"/>
      <c r="AM73" s="20"/>
      <c r="AN73" s="20"/>
      <c r="AO73" s="20"/>
      <c r="AP73" s="20"/>
      <c r="AQ73" s="20"/>
      <c r="AR73" s="20"/>
      <c r="AS73" s="20"/>
      <c r="AT73" s="20"/>
      <c r="AU73" s="20"/>
      <c r="AV73" s="20"/>
    </row>
    <row r="74" spans="1:48" ht="18.75" customHeight="1">
      <c r="A74" s="35"/>
      <c r="B74" s="31" t="s">
        <v>52</v>
      </c>
      <c r="C74" s="67">
        <f>+C73</f>
        <v>46192</v>
      </c>
      <c r="D74" s="67">
        <f t="shared" ref="D74:AG75" si="14">IF(D73="","",+D73)</f>
        <v>46193</v>
      </c>
      <c r="E74" s="67">
        <f t="shared" si="14"/>
        <v>46194</v>
      </c>
      <c r="F74" s="67">
        <f t="shared" si="14"/>
        <v>46195</v>
      </c>
      <c r="G74" s="67">
        <f t="shared" si="14"/>
        <v>46196</v>
      </c>
      <c r="H74" s="67">
        <f t="shared" si="14"/>
        <v>46197</v>
      </c>
      <c r="I74" s="67">
        <f t="shared" si="14"/>
        <v>46198</v>
      </c>
      <c r="J74" s="67">
        <f t="shared" si="14"/>
        <v>46199</v>
      </c>
      <c r="K74" s="67">
        <f t="shared" si="14"/>
        <v>46200</v>
      </c>
      <c r="L74" s="67">
        <f t="shared" si="14"/>
        <v>46201</v>
      </c>
      <c r="M74" s="67">
        <f t="shared" si="14"/>
        <v>46202</v>
      </c>
      <c r="N74" s="67">
        <f t="shared" si="14"/>
        <v>46203</v>
      </c>
      <c r="O74" s="67">
        <f t="shared" si="14"/>
        <v>46204</v>
      </c>
      <c r="P74" s="67">
        <f t="shared" si="14"/>
        <v>46205</v>
      </c>
      <c r="Q74" s="67">
        <f t="shared" si="14"/>
        <v>46206</v>
      </c>
      <c r="R74" s="67">
        <f t="shared" si="14"/>
        <v>46207</v>
      </c>
      <c r="S74" s="67">
        <f t="shared" si="14"/>
        <v>46208</v>
      </c>
      <c r="T74" s="67">
        <f t="shared" si="14"/>
        <v>46209</v>
      </c>
      <c r="U74" s="67">
        <f t="shared" si="14"/>
        <v>46210</v>
      </c>
      <c r="V74" s="67">
        <f t="shared" si="14"/>
        <v>46211</v>
      </c>
      <c r="W74" s="67">
        <f t="shared" si="14"/>
        <v>46212</v>
      </c>
      <c r="X74" s="67">
        <f t="shared" si="14"/>
        <v>46213</v>
      </c>
      <c r="Y74" s="67">
        <f t="shared" si="14"/>
        <v>46214</v>
      </c>
      <c r="Z74" s="67">
        <f t="shared" si="14"/>
        <v>46215</v>
      </c>
      <c r="AA74" s="67">
        <f t="shared" si="14"/>
        <v>46216</v>
      </c>
      <c r="AB74" s="67">
        <f t="shared" si="14"/>
        <v>46217</v>
      </c>
      <c r="AC74" s="67">
        <f t="shared" si="14"/>
        <v>46218</v>
      </c>
      <c r="AD74" s="67">
        <f t="shared" si="14"/>
        <v>46219</v>
      </c>
      <c r="AE74" s="67">
        <f t="shared" si="14"/>
        <v>46220</v>
      </c>
      <c r="AF74" s="67">
        <f t="shared" si="14"/>
        <v>46221</v>
      </c>
      <c r="AG74" s="38" t="str">
        <f t="shared" si="14"/>
        <v/>
      </c>
      <c r="AH74" s="19"/>
      <c r="AI74" s="20"/>
      <c r="AJ74" s="20"/>
      <c r="AK74" s="20"/>
      <c r="AL74" s="20"/>
      <c r="AM74" s="20"/>
      <c r="AN74" s="20"/>
      <c r="AO74" s="20"/>
      <c r="AP74" s="20"/>
      <c r="AQ74" s="20"/>
      <c r="AR74" s="20"/>
      <c r="AS74" s="20"/>
      <c r="AT74" s="20"/>
      <c r="AU74" s="20"/>
      <c r="AV74" s="20"/>
    </row>
    <row r="75" spans="1:48" ht="18.75" customHeight="1">
      <c r="A75" s="35"/>
      <c r="B75" s="31" t="s">
        <v>53</v>
      </c>
      <c r="C75" s="39">
        <f>+C74</f>
        <v>46192</v>
      </c>
      <c r="D75" s="39">
        <f t="shared" si="14"/>
        <v>46193</v>
      </c>
      <c r="E75" s="39">
        <f t="shared" si="14"/>
        <v>46194</v>
      </c>
      <c r="F75" s="39">
        <f t="shared" si="14"/>
        <v>46195</v>
      </c>
      <c r="G75" s="39">
        <f t="shared" si="14"/>
        <v>46196</v>
      </c>
      <c r="H75" s="39">
        <f t="shared" si="14"/>
        <v>46197</v>
      </c>
      <c r="I75" s="39">
        <f t="shared" si="14"/>
        <v>46198</v>
      </c>
      <c r="J75" s="39">
        <f t="shared" si="14"/>
        <v>46199</v>
      </c>
      <c r="K75" s="39">
        <f t="shared" si="14"/>
        <v>46200</v>
      </c>
      <c r="L75" s="39">
        <f t="shared" si="14"/>
        <v>46201</v>
      </c>
      <c r="M75" s="39">
        <f t="shared" si="14"/>
        <v>46202</v>
      </c>
      <c r="N75" s="39">
        <f t="shared" si="14"/>
        <v>46203</v>
      </c>
      <c r="O75" s="39">
        <f t="shared" si="14"/>
        <v>46204</v>
      </c>
      <c r="P75" s="39">
        <f t="shared" si="14"/>
        <v>46205</v>
      </c>
      <c r="Q75" s="39">
        <f t="shared" si="14"/>
        <v>46206</v>
      </c>
      <c r="R75" s="39">
        <f t="shared" si="14"/>
        <v>46207</v>
      </c>
      <c r="S75" s="39">
        <f t="shared" si="14"/>
        <v>46208</v>
      </c>
      <c r="T75" s="39">
        <f t="shared" si="14"/>
        <v>46209</v>
      </c>
      <c r="U75" s="39">
        <f t="shared" si="14"/>
        <v>46210</v>
      </c>
      <c r="V75" s="39">
        <f t="shared" si="14"/>
        <v>46211</v>
      </c>
      <c r="W75" s="39">
        <f t="shared" si="14"/>
        <v>46212</v>
      </c>
      <c r="X75" s="39">
        <f t="shared" si="14"/>
        <v>46213</v>
      </c>
      <c r="Y75" s="39">
        <f t="shared" si="14"/>
        <v>46214</v>
      </c>
      <c r="Z75" s="39">
        <f t="shared" si="14"/>
        <v>46215</v>
      </c>
      <c r="AA75" s="39">
        <f t="shared" si="14"/>
        <v>46216</v>
      </c>
      <c r="AB75" s="39">
        <f t="shared" si="14"/>
        <v>46217</v>
      </c>
      <c r="AC75" s="39">
        <f t="shared" si="14"/>
        <v>46218</v>
      </c>
      <c r="AD75" s="39">
        <f t="shared" si="14"/>
        <v>46219</v>
      </c>
      <c r="AE75" s="39">
        <f t="shared" si="14"/>
        <v>46220</v>
      </c>
      <c r="AF75" s="39">
        <f t="shared" si="14"/>
        <v>46221</v>
      </c>
      <c r="AG75" s="40" t="str">
        <f t="shared" si="14"/>
        <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
        <v>283</v>
      </c>
      <c r="D76" s="399" t="str">
        <f t="shared" ref="D76:AF76" si="15">IF(D$75="","",IF(D$75=$K$152,"ハローワーク来所日③",""))</f>
        <v/>
      </c>
      <c r="E76" s="399" t="str">
        <f t="shared" si="15"/>
        <v/>
      </c>
      <c r="F76" s="399" t="s">
        <v>283</v>
      </c>
      <c r="G76" s="399" t="str">
        <f t="shared" si="15"/>
        <v/>
      </c>
      <c r="H76" s="399" t="s">
        <v>283</v>
      </c>
      <c r="I76" s="399" t="s">
        <v>283</v>
      </c>
      <c r="J76" s="399" t="str">
        <f t="shared" si="15"/>
        <v>ハローワーク来所日③</v>
      </c>
      <c r="K76" s="399" t="str">
        <f t="shared" si="15"/>
        <v/>
      </c>
      <c r="L76" s="399" t="str">
        <f t="shared" si="15"/>
        <v/>
      </c>
      <c r="M76" s="399"/>
      <c r="N76" s="399" t="s">
        <v>283</v>
      </c>
      <c r="O76" s="399" t="str">
        <f t="shared" si="15"/>
        <v/>
      </c>
      <c r="P76" s="399" t="s">
        <v>283</v>
      </c>
      <c r="Q76" s="399" t="s">
        <v>283</v>
      </c>
      <c r="R76" s="399" t="str">
        <f t="shared" si="15"/>
        <v/>
      </c>
      <c r="S76" s="399" t="str">
        <f t="shared" si="15"/>
        <v/>
      </c>
      <c r="T76" s="399" t="s">
        <v>283</v>
      </c>
      <c r="U76" s="399" t="str">
        <f t="shared" si="15"/>
        <v/>
      </c>
      <c r="V76" s="399" t="str">
        <f>IF(V$75="","",IF(V$75=$K$152,"ハローワーク来所日③",""))</f>
        <v/>
      </c>
      <c r="W76" s="399" t="s">
        <v>318</v>
      </c>
      <c r="X76" s="399" t="s">
        <v>318</v>
      </c>
      <c r="Y76" s="399" t="str">
        <f t="shared" si="15"/>
        <v/>
      </c>
      <c r="Z76" s="399" t="str">
        <f t="shared" si="15"/>
        <v/>
      </c>
      <c r="AA76" s="399" t="s">
        <v>318</v>
      </c>
      <c r="AB76" s="399" t="str">
        <f t="shared" si="15"/>
        <v/>
      </c>
      <c r="AC76" s="399" t="s">
        <v>224</v>
      </c>
      <c r="AD76" s="399" t="s">
        <v>318</v>
      </c>
      <c r="AE76" s="399" t="s">
        <v>318</v>
      </c>
      <c r="AF76" s="399" t="str">
        <f t="shared" si="15"/>
        <v/>
      </c>
      <c r="AG76" s="402"/>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9"/>
      <c r="T89" s="49"/>
      <c r="U89" s="49"/>
      <c r="V89" s="49"/>
      <c r="W89" s="49"/>
      <c r="X89" s="49"/>
      <c r="Y89" s="44"/>
      <c r="Z89" s="44"/>
      <c r="AA89" s="44"/>
      <c r="AB89" s="49"/>
      <c r="AC89" s="49"/>
      <c r="AD89" s="44"/>
      <c r="AE89" s="44" t="s">
        <v>64</v>
      </c>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4"/>
      <c r="T90" s="54"/>
      <c r="U90" s="54"/>
      <c r="V90" s="54"/>
      <c r="W90" s="54"/>
      <c r="X90" s="54"/>
      <c r="Y90" s="53"/>
      <c r="Z90" s="53"/>
      <c r="AA90" s="53"/>
      <c r="AB90" s="54"/>
      <c r="AC90" s="54"/>
      <c r="AD90" s="53"/>
      <c r="AE90" s="53"/>
      <c r="AF90" s="53"/>
      <c r="AG90" s="71"/>
      <c r="AH90" s="132" t="str">
        <f>IF(AI90="","","←")</f>
        <v/>
      </c>
      <c r="AI90" s="417" t="str">
        <f>[6]機構処理!BI85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c r="H91" s="57">
        <v>6</v>
      </c>
      <c r="I91" s="57">
        <v>6</v>
      </c>
      <c r="J91" s="57"/>
      <c r="K91" s="57"/>
      <c r="L91" s="57"/>
      <c r="M91" s="57"/>
      <c r="N91" s="57">
        <v>6</v>
      </c>
      <c r="O91" s="57"/>
      <c r="P91" s="57">
        <v>6</v>
      </c>
      <c r="Q91" s="57">
        <v>6</v>
      </c>
      <c r="R91" s="57"/>
      <c r="S91" s="57"/>
      <c r="T91" s="57">
        <v>6</v>
      </c>
      <c r="U91" s="57"/>
      <c r="V91" s="57"/>
      <c r="W91" s="57">
        <v>6</v>
      </c>
      <c r="X91" s="57">
        <v>6</v>
      </c>
      <c r="Y91" s="57"/>
      <c r="Z91" s="57"/>
      <c r="AA91" s="57">
        <v>6</v>
      </c>
      <c r="AB91" s="57"/>
      <c r="AC91" s="57">
        <v>6</v>
      </c>
      <c r="AD91" s="57">
        <v>6</v>
      </c>
      <c r="AE91" s="57">
        <v>6</v>
      </c>
      <c r="AF91" s="57"/>
      <c r="AG91" s="73"/>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IF(C73="","",[6]機構処理!BF47)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46222</v>
      </c>
      <c r="D95" s="33">
        <f t="shared" ref="D95:AD95" si="17">IF(OR(C95="",C94="修了日"),"",C95+1)</f>
        <v>46223</v>
      </c>
      <c r="E95" s="33">
        <f t="shared" si="17"/>
        <v>46224</v>
      </c>
      <c r="F95" s="33">
        <f t="shared" si="17"/>
        <v>46225</v>
      </c>
      <c r="G95" s="33">
        <f t="shared" si="17"/>
        <v>46226</v>
      </c>
      <c r="H95" s="33">
        <f t="shared" si="17"/>
        <v>46227</v>
      </c>
      <c r="I95" s="33">
        <f t="shared" si="17"/>
        <v>46228</v>
      </c>
      <c r="J95" s="33">
        <f t="shared" si="17"/>
        <v>46229</v>
      </c>
      <c r="K95" s="33">
        <f t="shared" si="17"/>
        <v>46230</v>
      </c>
      <c r="L95" s="33">
        <f t="shared" si="17"/>
        <v>46231</v>
      </c>
      <c r="M95" s="33">
        <f t="shared" si="17"/>
        <v>46232</v>
      </c>
      <c r="N95" s="33">
        <f t="shared" si="17"/>
        <v>46233</v>
      </c>
      <c r="O95" s="33">
        <f t="shared" si="17"/>
        <v>46234</v>
      </c>
      <c r="P95" s="33">
        <f t="shared" si="17"/>
        <v>46235</v>
      </c>
      <c r="Q95" s="33">
        <f t="shared" si="17"/>
        <v>46236</v>
      </c>
      <c r="R95" s="33">
        <f t="shared" si="17"/>
        <v>46237</v>
      </c>
      <c r="S95" s="33">
        <f t="shared" si="17"/>
        <v>46238</v>
      </c>
      <c r="T95" s="33">
        <f t="shared" si="17"/>
        <v>46239</v>
      </c>
      <c r="U95" s="33">
        <f t="shared" si="17"/>
        <v>46240</v>
      </c>
      <c r="V95" s="33">
        <f t="shared" si="17"/>
        <v>46241</v>
      </c>
      <c r="W95" s="33">
        <f t="shared" si="17"/>
        <v>46242</v>
      </c>
      <c r="X95" s="33">
        <f t="shared" si="17"/>
        <v>46243</v>
      </c>
      <c r="Y95" s="33">
        <f t="shared" si="17"/>
        <v>46244</v>
      </c>
      <c r="Z95" s="33">
        <f t="shared" si="17"/>
        <v>46245</v>
      </c>
      <c r="AA95" s="33">
        <f t="shared" si="17"/>
        <v>46246</v>
      </c>
      <c r="AB95" s="33">
        <f t="shared" si="17"/>
        <v>46247</v>
      </c>
      <c r="AC95" s="33">
        <f t="shared" si="17"/>
        <v>46248</v>
      </c>
      <c r="AD95" s="33">
        <f t="shared" si="17"/>
        <v>46249</v>
      </c>
      <c r="AE95" s="33">
        <f>IF(OR(AD95="",AD94="修了日"),"",IF(AND(DAY(DATE(YEAR(C95),2,29))=29,MONTH(C95)=2),AD95+1,IF(MONTH(C95)=2,"",AD95+1)))</f>
        <v>46250</v>
      </c>
      <c r="AF95" s="33">
        <f>IF(OR(AE95="",AE94="修了日"),"",IF(MONTH(C95)=2,"",AE95+1))</f>
        <v>46251</v>
      </c>
      <c r="AG95" s="65">
        <f>IF(OR(AF95="",AF94="修了日"),"",IF(OR(MONTH(C95)=2,MONTH(C95)=4,MONTH(C95)=6,MONTH(C95)=9,MONTH(C95)=11),"",AF95+1))</f>
        <v>46252</v>
      </c>
      <c r="AH95" s="19"/>
      <c r="AI95" s="20"/>
      <c r="AJ95" s="20"/>
      <c r="AK95" s="20"/>
      <c r="AL95" s="20"/>
      <c r="AM95" s="20"/>
      <c r="AN95" s="20"/>
      <c r="AO95" s="20"/>
      <c r="AP95" s="20"/>
      <c r="AQ95" s="20"/>
      <c r="AR95" s="20"/>
      <c r="AS95" s="20"/>
      <c r="AT95" s="20"/>
      <c r="AU95" s="20"/>
      <c r="AV95" s="20"/>
    </row>
    <row r="96" spans="1:48" ht="18" customHeight="1">
      <c r="A96" s="35"/>
      <c r="B96" s="79" t="s">
        <v>52</v>
      </c>
      <c r="C96" s="36">
        <f>+C95</f>
        <v>46222</v>
      </c>
      <c r="D96" s="67">
        <f t="shared" ref="D96:AG97" si="18">IF(D95="","",+D95)</f>
        <v>46223</v>
      </c>
      <c r="E96" s="67">
        <f t="shared" si="18"/>
        <v>46224</v>
      </c>
      <c r="F96" s="67">
        <f t="shared" si="18"/>
        <v>46225</v>
      </c>
      <c r="G96" s="67">
        <f t="shared" si="18"/>
        <v>46226</v>
      </c>
      <c r="H96" s="67">
        <f t="shared" si="18"/>
        <v>46227</v>
      </c>
      <c r="I96" s="67">
        <f t="shared" si="18"/>
        <v>46228</v>
      </c>
      <c r="J96" s="67">
        <f t="shared" si="18"/>
        <v>46229</v>
      </c>
      <c r="K96" s="67">
        <f t="shared" si="18"/>
        <v>46230</v>
      </c>
      <c r="L96" s="67">
        <f t="shared" si="18"/>
        <v>46231</v>
      </c>
      <c r="M96" s="67">
        <f t="shared" si="18"/>
        <v>46232</v>
      </c>
      <c r="N96" s="67">
        <f t="shared" si="18"/>
        <v>46233</v>
      </c>
      <c r="O96" s="67">
        <f t="shared" si="18"/>
        <v>46234</v>
      </c>
      <c r="P96" s="67">
        <f t="shared" si="18"/>
        <v>46235</v>
      </c>
      <c r="Q96" s="67">
        <f t="shared" si="18"/>
        <v>46236</v>
      </c>
      <c r="R96" s="67">
        <f t="shared" si="18"/>
        <v>46237</v>
      </c>
      <c r="S96" s="67">
        <f t="shared" si="18"/>
        <v>46238</v>
      </c>
      <c r="T96" s="67">
        <f t="shared" si="18"/>
        <v>46239</v>
      </c>
      <c r="U96" s="67">
        <f t="shared" si="18"/>
        <v>46240</v>
      </c>
      <c r="V96" s="67">
        <f t="shared" si="18"/>
        <v>46241</v>
      </c>
      <c r="W96" s="67">
        <f t="shared" si="18"/>
        <v>46242</v>
      </c>
      <c r="X96" s="67">
        <f t="shared" si="18"/>
        <v>46243</v>
      </c>
      <c r="Y96" s="67">
        <f t="shared" si="18"/>
        <v>46244</v>
      </c>
      <c r="Z96" s="67">
        <f t="shared" si="18"/>
        <v>46245</v>
      </c>
      <c r="AA96" s="67">
        <f t="shared" si="18"/>
        <v>46246</v>
      </c>
      <c r="AB96" s="67">
        <f t="shared" si="18"/>
        <v>46247</v>
      </c>
      <c r="AC96" s="67">
        <f t="shared" si="18"/>
        <v>46248</v>
      </c>
      <c r="AD96" s="67">
        <f t="shared" si="18"/>
        <v>46249</v>
      </c>
      <c r="AE96" s="67">
        <f t="shared" si="18"/>
        <v>46250</v>
      </c>
      <c r="AF96" s="67">
        <f t="shared" si="18"/>
        <v>46251</v>
      </c>
      <c r="AG96" s="38">
        <f t="shared" si="18"/>
        <v>46252</v>
      </c>
      <c r="AH96" s="19"/>
      <c r="AI96" s="20"/>
      <c r="AJ96" s="20"/>
      <c r="AK96" s="20"/>
      <c r="AL96" s="20"/>
      <c r="AM96" s="20"/>
      <c r="AN96" s="20"/>
      <c r="AO96" s="20"/>
      <c r="AP96" s="20"/>
      <c r="AQ96" s="20"/>
      <c r="AR96" s="20"/>
      <c r="AS96" s="20"/>
      <c r="AT96" s="20"/>
      <c r="AU96" s="20"/>
      <c r="AV96" s="20"/>
    </row>
    <row r="97" spans="1:48" ht="18" customHeight="1">
      <c r="A97" s="35"/>
      <c r="B97" s="80" t="s">
        <v>53</v>
      </c>
      <c r="C97" s="81">
        <f>+C96</f>
        <v>46222</v>
      </c>
      <c r="D97" s="39">
        <f t="shared" si="18"/>
        <v>46223</v>
      </c>
      <c r="E97" s="39">
        <f t="shared" si="18"/>
        <v>46224</v>
      </c>
      <c r="F97" s="39">
        <f t="shared" si="18"/>
        <v>46225</v>
      </c>
      <c r="G97" s="39">
        <f t="shared" si="18"/>
        <v>46226</v>
      </c>
      <c r="H97" s="39">
        <f t="shared" si="18"/>
        <v>46227</v>
      </c>
      <c r="I97" s="39">
        <f t="shared" si="18"/>
        <v>46228</v>
      </c>
      <c r="J97" s="39">
        <f t="shared" si="18"/>
        <v>46229</v>
      </c>
      <c r="K97" s="39">
        <f t="shared" si="18"/>
        <v>46230</v>
      </c>
      <c r="L97" s="39">
        <f t="shared" si="18"/>
        <v>46231</v>
      </c>
      <c r="M97" s="39">
        <f t="shared" si="18"/>
        <v>46232</v>
      </c>
      <c r="N97" s="39">
        <f t="shared" si="18"/>
        <v>46233</v>
      </c>
      <c r="O97" s="39">
        <f t="shared" si="18"/>
        <v>46234</v>
      </c>
      <c r="P97" s="39">
        <f t="shared" si="18"/>
        <v>46235</v>
      </c>
      <c r="Q97" s="39">
        <f t="shared" si="18"/>
        <v>46236</v>
      </c>
      <c r="R97" s="39">
        <f t="shared" si="18"/>
        <v>46237</v>
      </c>
      <c r="S97" s="39">
        <f t="shared" si="18"/>
        <v>46238</v>
      </c>
      <c r="T97" s="39">
        <f t="shared" si="18"/>
        <v>46239</v>
      </c>
      <c r="U97" s="39">
        <f t="shared" si="18"/>
        <v>46240</v>
      </c>
      <c r="V97" s="39">
        <f t="shared" si="18"/>
        <v>46241</v>
      </c>
      <c r="W97" s="39">
        <f t="shared" si="18"/>
        <v>46242</v>
      </c>
      <c r="X97" s="39">
        <f t="shared" si="18"/>
        <v>46243</v>
      </c>
      <c r="Y97" s="39">
        <f t="shared" si="18"/>
        <v>46244</v>
      </c>
      <c r="Z97" s="39">
        <f t="shared" si="18"/>
        <v>46245</v>
      </c>
      <c r="AA97" s="39">
        <f t="shared" si="18"/>
        <v>46246</v>
      </c>
      <c r="AB97" s="39">
        <f t="shared" si="18"/>
        <v>46247</v>
      </c>
      <c r="AC97" s="39">
        <f t="shared" si="18"/>
        <v>46248</v>
      </c>
      <c r="AD97" s="39">
        <f t="shared" si="18"/>
        <v>46249</v>
      </c>
      <c r="AE97" s="39">
        <f t="shared" si="18"/>
        <v>46250</v>
      </c>
      <c r="AF97" s="39">
        <f t="shared" si="18"/>
        <v>46251</v>
      </c>
      <c r="AG97" s="40">
        <f t="shared" si="18"/>
        <v>46252</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23" t="str">
        <f t="shared" ref="C98:AG98" si="19">IF(C$97="","",IF(C$97=$K$153,"ハローワーク来所日④",""))</f>
        <v/>
      </c>
      <c r="D98" s="399" t="str">
        <f t="shared" si="19"/>
        <v/>
      </c>
      <c r="E98" s="399" t="str">
        <f t="shared" si="19"/>
        <v/>
      </c>
      <c r="F98" s="399" t="s">
        <v>204</v>
      </c>
      <c r="G98" s="399" t="s">
        <v>317</v>
      </c>
      <c r="H98" s="456" t="s">
        <v>284</v>
      </c>
      <c r="I98" s="399" t="str">
        <f t="shared" si="19"/>
        <v/>
      </c>
      <c r="J98" s="399" t="str">
        <f t="shared" si="19"/>
        <v/>
      </c>
      <c r="K98" s="399" t="s">
        <v>284</v>
      </c>
      <c r="L98" s="399" t="str">
        <f t="shared" si="19"/>
        <v>ハローワーク来所日④</v>
      </c>
      <c r="M98" s="399" t="str">
        <f t="shared" si="19"/>
        <v/>
      </c>
      <c r="N98" s="399" t="s">
        <v>284</v>
      </c>
      <c r="O98" s="399" t="s">
        <v>284</v>
      </c>
      <c r="P98" s="399" t="str">
        <f t="shared" si="19"/>
        <v/>
      </c>
      <c r="Q98" s="399" t="str">
        <f t="shared" si="19"/>
        <v/>
      </c>
      <c r="R98" s="399" t="s">
        <v>284</v>
      </c>
      <c r="S98" s="399" t="s">
        <v>221</v>
      </c>
      <c r="T98" s="399" t="s">
        <v>221</v>
      </c>
      <c r="U98" s="399" t="s">
        <v>221</v>
      </c>
      <c r="V98" s="399" t="s">
        <v>204</v>
      </c>
      <c r="W98" s="399" t="str">
        <f t="shared" si="19"/>
        <v/>
      </c>
      <c r="X98" s="399" t="str">
        <f t="shared" si="19"/>
        <v/>
      </c>
      <c r="Y98" s="399" t="s">
        <v>385</v>
      </c>
      <c r="Z98" s="399" t="str">
        <f t="shared" si="19"/>
        <v/>
      </c>
      <c r="AA98" s="399" t="s">
        <v>385</v>
      </c>
      <c r="AB98" s="399"/>
      <c r="AC98" s="399"/>
      <c r="AD98" s="399" t="str">
        <f t="shared" si="19"/>
        <v/>
      </c>
      <c r="AE98" s="399" t="str">
        <f t="shared" si="19"/>
        <v/>
      </c>
      <c r="AF98" s="399" t="s">
        <v>285</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24"/>
      <c r="D99" s="400"/>
      <c r="E99" s="400"/>
      <c r="F99" s="400"/>
      <c r="G99" s="400"/>
      <c r="H99" s="457"/>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24"/>
      <c r="D100" s="400"/>
      <c r="E100" s="400"/>
      <c r="F100" s="400"/>
      <c r="G100" s="400"/>
      <c r="H100" s="457"/>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24"/>
      <c r="D101" s="400"/>
      <c r="E101" s="400"/>
      <c r="F101" s="400"/>
      <c r="G101" s="400"/>
      <c r="H101" s="457"/>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24"/>
      <c r="D102" s="400"/>
      <c r="E102" s="400"/>
      <c r="F102" s="400"/>
      <c r="G102" s="400"/>
      <c r="H102" s="457"/>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24"/>
      <c r="D103" s="400"/>
      <c r="E103" s="400"/>
      <c r="F103" s="400"/>
      <c r="G103" s="400"/>
      <c r="H103" s="457"/>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24"/>
      <c r="D104" s="400"/>
      <c r="E104" s="400"/>
      <c r="F104" s="400"/>
      <c r="G104" s="400"/>
      <c r="H104" s="457"/>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24"/>
      <c r="D105" s="400"/>
      <c r="E105" s="400"/>
      <c r="F105" s="400"/>
      <c r="G105" s="400"/>
      <c r="H105" s="457"/>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24"/>
      <c r="D106" s="400"/>
      <c r="E106" s="400"/>
      <c r="F106" s="400"/>
      <c r="G106" s="400"/>
      <c r="H106" s="457"/>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24"/>
      <c r="D107" s="400"/>
      <c r="E107" s="400"/>
      <c r="F107" s="400"/>
      <c r="G107" s="400"/>
      <c r="H107" s="457"/>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24"/>
      <c r="D108" s="400"/>
      <c r="E108" s="400"/>
      <c r="F108" s="400"/>
      <c r="G108" s="400"/>
      <c r="H108" s="457"/>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29"/>
      <c r="D109" s="401"/>
      <c r="E109" s="401"/>
      <c r="F109" s="401"/>
      <c r="G109" s="401"/>
      <c r="H109" s="458"/>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4"/>
      <c r="I110" s="44"/>
      <c r="J110" s="44"/>
      <c r="K110" s="44"/>
      <c r="L110" s="44"/>
      <c r="M110" s="44"/>
      <c r="N110" s="44"/>
      <c r="O110" s="49"/>
      <c r="P110" s="49"/>
      <c r="Q110" s="44"/>
      <c r="R110" s="44"/>
      <c r="S110" s="44"/>
      <c r="T110" s="49"/>
      <c r="U110" s="49" t="s">
        <v>64</v>
      </c>
      <c r="V110" s="49"/>
      <c r="W110" s="49"/>
      <c r="X110" s="44"/>
      <c r="Y110" s="49"/>
      <c r="Z110" s="44"/>
      <c r="AA110" s="44"/>
      <c r="AB110" s="44"/>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3"/>
      <c r="I111" s="53"/>
      <c r="J111" s="53"/>
      <c r="K111" s="53"/>
      <c r="L111" s="53"/>
      <c r="M111" s="53"/>
      <c r="N111" s="53"/>
      <c r="O111" s="54"/>
      <c r="P111" s="54"/>
      <c r="Q111" s="53"/>
      <c r="R111" s="53"/>
      <c r="S111" s="53"/>
      <c r="T111" s="54"/>
      <c r="U111" s="54"/>
      <c r="V111" s="54"/>
      <c r="W111" s="54"/>
      <c r="X111" s="53"/>
      <c r="Y111" s="54"/>
      <c r="Z111" s="53"/>
      <c r="AA111" s="53"/>
      <c r="AB111" s="53"/>
      <c r="AC111" s="54"/>
      <c r="AD111" s="53"/>
      <c r="AE111" s="53"/>
      <c r="AF111" s="53"/>
      <c r="AG111" s="71"/>
      <c r="AH111" s="132" t="str">
        <f>IF(AI111="","","←")</f>
        <v/>
      </c>
      <c r="AI111" s="416" t="str">
        <f>[6]機構処理!BI89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c r="D112" s="57"/>
      <c r="E112" s="57"/>
      <c r="F112" s="57">
        <v>6</v>
      </c>
      <c r="G112" s="57">
        <v>6</v>
      </c>
      <c r="H112" s="57">
        <v>6</v>
      </c>
      <c r="I112" s="57"/>
      <c r="J112" s="57"/>
      <c r="K112" s="57">
        <v>6</v>
      </c>
      <c r="L112" s="57"/>
      <c r="M112" s="57"/>
      <c r="N112" s="57">
        <v>6</v>
      </c>
      <c r="O112" s="57">
        <v>6</v>
      </c>
      <c r="P112" s="57"/>
      <c r="Q112" s="57"/>
      <c r="R112" s="57">
        <v>6</v>
      </c>
      <c r="S112" s="57">
        <v>6</v>
      </c>
      <c r="T112" s="57">
        <v>6</v>
      </c>
      <c r="U112" s="57">
        <v>6</v>
      </c>
      <c r="V112" s="57">
        <v>6</v>
      </c>
      <c r="W112" s="57"/>
      <c r="X112" s="57"/>
      <c r="Y112" s="57">
        <v>6</v>
      </c>
      <c r="Z112" s="57"/>
      <c r="AA112" s="57">
        <v>6</v>
      </c>
      <c r="AB112" s="57"/>
      <c r="AC112" s="57"/>
      <c r="AD112" s="57"/>
      <c r="AE112" s="57"/>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IF(C95="","",[6]機構処理!BF53)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
      </c>
      <c r="AE115" s="28" t="str">
        <f t="shared" si="20"/>
        <v/>
      </c>
      <c r="AF115" s="28" t="str">
        <f t="shared" si="20"/>
        <v/>
      </c>
      <c r="AG115" s="28" t="str">
        <f t="shared" si="20"/>
        <v>修了日</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46253</v>
      </c>
      <c r="D116" s="33">
        <f t="shared" ref="D116:AD116" si="21">IF(OR(C116="",C115="修了日"),"",C116+1)</f>
        <v>46254</v>
      </c>
      <c r="E116" s="33">
        <f t="shared" si="21"/>
        <v>46255</v>
      </c>
      <c r="F116" s="33">
        <f t="shared" si="21"/>
        <v>46256</v>
      </c>
      <c r="G116" s="33">
        <f t="shared" si="21"/>
        <v>46257</v>
      </c>
      <c r="H116" s="33">
        <f t="shared" si="21"/>
        <v>46258</v>
      </c>
      <c r="I116" s="33">
        <f t="shared" si="21"/>
        <v>46259</v>
      </c>
      <c r="J116" s="33">
        <f t="shared" si="21"/>
        <v>46260</v>
      </c>
      <c r="K116" s="33">
        <f t="shared" si="21"/>
        <v>46261</v>
      </c>
      <c r="L116" s="33">
        <f t="shared" si="21"/>
        <v>46262</v>
      </c>
      <c r="M116" s="33">
        <f t="shared" si="21"/>
        <v>46263</v>
      </c>
      <c r="N116" s="33">
        <f t="shared" si="21"/>
        <v>46264</v>
      </c>
      <c r="O116" s="33">
        <f t="shared" si="21"/>
        <v>46265</v>
      </c>
      <c r="P116" s="33">
        <f t="shared" si="21"/>
        <v>46266</v>
      </c>
      <c r="Q116" s="33">
        <f t="shared" si="21"/>
        <v>46267</v>
      </c>
      <c r="R116" s="33">
        <f t="shared" si="21"/>
        <v>46268</v>
      </c>
      <c r="S116" s="33">
        <f t="shared" si="21"/>
        <v>46269</v>
      </c>
      <c r="T116" s="33">
        <f t="shared" si="21"/>
        <v>46270</v>
      </c>
      <c r="U116" s="33">
        <f t="shared" si="21"/>
        <v>46271</v>
      </c>
      <c r="V116" s="33">
        <f t="shared" si="21"/>
        <v>46272</v>
      </c>
      <c r="W116" s="33">
        <f t="shared" si="21"/>
        <v>46273</v>
      </c>
      <c r="X116" s="33">
        <f t="shared" si="21"/>
        <v>46274</v>
      </c>
      <c r="Y116" s="33">
        <f t="shared" si="21"/>
        <v>46275</v>
      </c>
      <c r="Z116" s="33">
        <f t="shared" si="21"/>
        <v>46276</v>
      </c>
      <c r="AA116" s="33">
        <f t="shared" si="21"/>
        <v>46277</v>
      </c>
      <c r="AB116" s="33">
        <f t="shared" si="21"/>
        <v>46278</v>
      </c>
      <c r="AC116" s="33">
        <f t="shared" si="21"/>
        <v>46279</v>
      </c>
      <c r="AD116" s="33">
        <f t="shared" si="21"/>
        <v>46280</v>
      </c>
      <c r="AE116" s="33">
        <f>IF(OR(AD116="",AD115="修了日"),"",IF(AND(DAY(DATE(YEAR(C116),2,29))=29,MONTH(C116)=2),AD116+1,IF(MONTH(C116)=2,"",AD116+1)))</f>
        <v>46281</v>
      </c>
      <c r="AF116" s="33">
        <f>IF(OR(AE116="",AE115="修了日"),"",IF(MONTH(C116)=2,"",AE116+1))</f>
        <v>46282</v>
      </c>
      <c r="AG116" s="65">
        <f>IF(OR(AF116="",AF115="修了日"),"",IF(OR(MONTH(C116)=2,MONTH(C116)=4,MONTH(C116)=6,MONTH(C116)=9,MONTH(C116)=11),"",AF116+1))</f>
        <v>46283</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46253</v>
      </c>
      <c r="D117" s="67">
        <f t="shared" ref="D117:AG118" si="22">IF(D116="","",+D116)</f>
        <v>46254</v>
      </c>
      <c r="E117" s="67">
        <f t="shared" si="22"/>
        <v>46255</v>
      </c>
      <c r="F117" s="67">
        <f t="shared" si="22"/>
        <v>46256</v>
      </c>
      <c r="G117" s="67">
        <f t="shared" si="22"/>
        <v>46257</v>
      </c>
      <c r="H117" s="67">
        <f t="shared" si="22"/>
        <v>46258</v>
      </c>
      <c r="I117" s="67">
        <f t="shared" si="22"/>
        <v>46259</v>
      </c>
      <c r="J117" s="67">
        <f t="shared" si="22"/>
        <v>46260</v>
      </c>
      <c r="K117" s="67">
        <f t="shared" si="22"/>
        <v>46261</v>
      </c>
      <c r="L117" s="67">
        <f t="shared" si="22"/>
        <v>46262</v>
      </c>
      <c r="M117" s="67">
        <f t="shared" si="22"/>
        <v>46263</v>
      </c>
      <c r="N117" s="67">
        <f t="shared" si="22"/>
        <v>46264</v>
      </c>
      <c r="O117" s="67">
        <f t="shared" si="22"/>
        <v>46265</v>
      </c>
      <c r="P117" s="67">
        <f t="shared" si="22"/>
        <v>46266</v>
      </c>
      <c r="Q117" s="67">
        <f t="shared" si="22"/>
        <v>46267</v>
      </c>
      <c r="R117" s="67">
        <f t="shared" si="22"/>
        <v>46268</v>
      </c>
      <c r="S117" s="67">
        <f t="shared" si="22"/>
        <v>46269</v>
      </c>
      <c r="T117" s="67">
        <f t="shared" si="22"/>
        <v>46270</v>
      </c>
      <c r="U117" s="67">
        <f t="shared" si="22"/>
        <v>46271</v>
      </c>
      <c r="V117" s="67">
        <f t="shared" si="22"/>
        <v>46272</v>
      </c>
      <c r="W117" s="67">
        <f t="shared" si="22"/>
        <v>46273</v>
      </c>
      <c r="X117" s="67">
        <f t="shared" si="22"/>
        <v>46274</v>
      </c>
      <c r="Y117" s="67">
        <f t="shared" si="22"/>
        <v>46275</v>
      </c>
      <c r="Z117" s="67">
        <f t="shared" si="22"/>
        <v>46276</v>
      </c>
      <c r="AA117" s="67">
        <f t="shared" si="22"/>
        <v>46277</v>
      </c>
      <c r="AB117" s="67">
        <f t="shared" si="22"/>
        <v>46278</v>
      </c>
      <c r="AC117" s="67">
        <f t="shared" si="22"/>
        <v>46279</v>
      </c>
      <c r="AD117" s="67">
        <f t="shared" si="22"/>
        <v>46280</v>
      </c>
      <c r="AE117" s="67">
        <f t="shared" si="22"/>
        <v>46281</v>
      </c>
      <c r="AF117" s="67">
        <f t="shared" si="22"/>
        <v>46282</v>
      </c>
      <c r="AG117" s="38">
        <f t="shared" si="22"/>
        <v>46283</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46253</v>
      </c>
      <c r="D118" s="39">
        <f t="shared" si="22"/>
        <v>46254</v>
      </c>
      <c r="E118" s="39">
        <f t="shared" si="22"/>
        <v>46255</v>
      </c>
      <c r="F118" s="39">
        <f t="shared" si="22"/>
        <v>46256</v>
      </c>
      <c r="G118" s="39">
        <f t="shared" si="22"/>
        <v>46257</v>
      </c>
      <c r="H118" s="39">
        <f t="shared" si="22"/>
        <v>46258</v>
      </c>
      <c r="I118" s="39">
        <f t="shared" si="22"/>
        <v>46259</v>
      </c>
      <c r="J118" s="39">
        <f t="shared" si="22"/>
        <v>46260</v>
      </c>
      <c r="K118" s="39">
        <f t="shared" si="22"/>
        <v>46261</v>
      </c>
      <c r="L118" s="39">
        <f t="shared" si="22"/>
        <v>46262</v>
      </c>
      <c r="M118" s="39">
        <f t="shared" si="22"/>
        <v>46263</v>
      </c>
      <c r="N118" s="39">
        <f t="shared" si="22"/>
        <v>46264</v>
      </c>
      <c r="O118" s="39">
        <f t="shared" si="22"/>
        <v>46265</v>
      </c>
      <c r="P118" s="39">
        <f t="shared" si="22"/>
        <v>46266</v>
      </c>
      <c r="Q118" s="39">
        <f t="shared" si="22"/>
        <v>46267</v>
      </c>
      <c r="R118" s="39">
        <f t="shared" si="22"/>
        <v>46268</v>
      </c>
      <c r="S118" s="39">
        <f t="shared" si="22"/>
        <v>46269</v>
      </c>
      <c r="T118" s="39">
        <f t="shared" si="22"/>
        <v>46270</v>
      </c>
      <c r="U118" s="39">
        <f t="shared" si="22"/>
        <v>46271</v>
      </c>
      <c r="V118" s="39">
        <f t="shared" si="22"/>
        <v>46272</v>
      </c>
      <c r="W118" s="39">
        <f t="shared" si="22"/>
        <v>46273</v>
      </c>
      <c r="X118" s="39">
        <f t="shared" si="22"/>
        <v>46274</v>
      </c>
      <c r="Y118" s="39">
        <f t="shared" si="22"/>
        <v>46275</v>
      </c>
      <c r="Z118" s="39">
        <f t="shared" si="22"/>
        <v>46276</v>
      </c>
      <c r="AA118" s="39">
        <f t="shared" si="22"/>
        <v>46277</v>
      </c>
      <c r="AB118" s="39">
        <f t="shared" si="22"/>
        <v>46278</v>
      </c>
      <c r="AC118" s="39">
        <f t="shared" si="22"/>
        <v>46279</v>
      </c>
      <c r="AD118" s="39">
        <f t="shared" si="22"/>
        <v>46280</v>
      </c>
      <c r="AE118" s="39">
        <f t="shared" si="22"/>
        <v>46281</v>
      </c>
      <c r="AF118" s="39">
        <f t="shared" si="22"/>
        <v>46282</v>
      </c>
      <c r="AG118" s="40">
        <f t="shared" si="22"/>
        <v>46283</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
        <v>285</v>
      </c>
      <c r="D119" s="399" t="s">
        <v>285</v>
      </c>
      <c r="E119" s="399" t="s">
        <v>285</v>
      </c>
      <c r="F119" s="399" t="s">
        <v>108</v>
      </c>
      <c r="G119" s="399" t="str">
        <f t="shared" ref="G119:AE119" si="23">IF(G$118="","",IF(G$118=$K$154,"ハローワーク来所日⑤",""))</f>
        <v/>
      </c>
      <c r="H119" s="399" t="s">
        <v>285</v>
      </c>
      <c r="I119" s="399" t="str">
        <f t="shared" si="23"/>
        <v>ハローワーク来所日⑤</v>
      </c>
      <c r="J119" s="399" t="str">
        <f t="shared" si="23"/>
        <v/>
      </c>
      <c r="K119" s="399" t="s">
        <v>285</v>
      </c>
      <c r="L119" s="399" t="s">
        <v>285</v>
      </c>
      <c r="M119" s="399" t="s">
        <v>108</v>
      </c>
      <c r="N119" s="399" t="str">
        <f t="shared" si="23"/>
        <v/>
      </c>
      <c r="O119" s="399" t="s">
        <v>285</v>
      </c>
      <c r="P119" s="399" t="str">
        <f t="shared" si="23"/>
        <v/>
      </c>
      <c r="Q119" s="399" t="str">
        <f t="shared" si="23"/>
        <v/>
      </c>
      <c r="R119" s="399" t="s">
        <v>285</v>
      </c>
      <c r="S119" s="399" t="s">
        <v>285</v>
      </c>
      <c r="T119" s="399"/>
      <c r="U119" s="399" t="str">
        <f t="shared" si="23"/>
        <v/>
      </c>
      <c r="V119" s="399"/>
      <c r="W119" s="399" t="str">
        <f t="shared" si="23"/>
        <v/>
      </c>
      <c r="X119" s="399" t="s">
        <v>385</v>
      </c>
      <c r="Y119" s="399" t="s">
        <v>285</v>
      </c>
      <c r="Z119" s="399" t="s">
        <v>285</v>
      </c>
      <c r="AA119" s="399" t="str">
        <f t="shared" si="23"/>
        <v/>
      </c>
      <c r="AB119" s="399" t="str">
        <f t="shared" si="23"/>
        <v/>
      </c>
      <c r="AC119" s="399" t="s">
        <v>285</v>
      </c>
      <c r="AD119" s="399" t="str">
        <f t="shared" si="23"/>
        <v/>
      </c>
      <c r="AE119" s="399" t="str">
        <f t="shared" si="23"/>
        <v/>
      </c>
      <c r="AF119" s="399" t="s">
        <v>286</v>
      </c>
      <c r="AG119" s="402" t="s">
        <v>205</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9"/>
      <c r="E131" s="44"/>
      <c r="F131" s="44"/>
      <c r="G131" s="44"/>
      <c r="H131" s="49"/>
      <c r="I131" s="49"/>
      <c r="J131" s="44"/>
      <c r="K131" s="44"/>
      <c r="L131" s="44"/>
      <c r="M131" s="44"/>
      <c r="N131" s="49"/>
      <c r="O131" s="49"/>
      <c r="P131" s="49"/>
      <c r="Q131" s="44"/>
      <c r="R131" s="49"/>
      <c r="S131" s="49"/>
      <c r="T131" s="49"/>
      <c r="U131" s="49"/>
      <c r="V131" s="49"/>
      <c r="W131" s="49"/>
      <c r="X131" s="44"/>
      <c r="Y131" s="44"/>
      <c r="Z131" s="44"/>
      <c r="AA131" s="44"/>
      <c r="AB131" s="49"/>
      <c r="AC131" s="49" t="s">
        <v>69</v>
      </c>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4"/>
      <c r="E132" s="53"/>
      <c r="F132" s="53"/>
      <c r="G132" s="53"/>
      <c r="H132" s="54"/>
      <c r="I132" s="54"/>
      <c r="J132" s="53"/>
      <c r="K132" s="53"/>
      <c r="L132" s="53"/>
      <c r="M132" s="53"/>
      <c r="N132" s="54"/>
      <c r="O132" s="54"/>
      <c r="P132" s="54"/>
      <c r="Q132" s="53"/>
      <c r="R132" s="54"/>
      <c r="S132" s="54"/>
      <c r="T132" s="54"/>
      <c r="U132" s="54"/>
      <c r="V132" s="54"/>
      <c r="W132" s="54"/>
      <c r="X132" s="53"/>
      <c r="Y132" s="53"/>
      <c r="Z132" s="53"/>
      <c r="AA132" s="53"/>
      <c r="AB132" s="54"/>
      <c r="AC132" s="54"/>
      <c r="AD132" s="53"/>
      <c r="AE132" s="53"/>
      <c r="AF132" s="53"/>
      <c r="AG132" s="71"/>
      <c r="AH132" s="132" t="str">
        <f>IF(AI132="","","←")</f>
        <v/>
      </c>
      <c r="AI132" s="406" t="str">
        <f>[6]機構処理!BI93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v>6</v>
      </c>
      <c r="D133" s="57">
        <v>6</v>
      </c>
      <c r="E133" s="57">
        <v>6</v>
      </c>
      <c r="F133" s="57">
        <v>0</v>
      </c>
      <c r="G133" s="57"/>
      <c r="H133" s="57">
        <v>6</v>
      </c>
      <c r="I133" s="57"/>
      <c r="J133" s="57"/>
      <c r="K133" s="57">
        <v>6</v>
      </c>
      <c r="L133" s="57">
        <v>6</v>
      </c>
      <c r="M133" s="57">
        <v>0</v>
      </c>
      <c r="N133" s="57"/>
      <c r="O133" s="57">
        <v>6</v>
      </c>
      <c r="P133" s="57"/>
      <c r="Q133" s="57"/>
      <c r="R133" s="57">
        <v>6</v>
      </c>
      <c r="S133" s="57">
        <v>6</v>
      </c>
      <c r="T133" s="57"/>
      <c r="U133" s="57"/>
      <c r="V133" s="57"/>
      <c r="W133" s="57"/>
      <c r="X133" s="57">
        <v>6</v>
      </c>
      <c r="Y133" s="57">
        <v>6</v>
      </c>
      <c r="Z133" s="57">
        <v>6</v>
      </c>
      <c r="AA133" s="57"/>
      <c r="AB133" s="57"/>
      <c r="AC133" s="57">
        <v>6</v>
      </c>
      <c r="AD133" s="57"/>
      <c r="AE133" s="57"/>
      <c r="AF133" s="57">
        <v>6</v>
      </c>
      <c r="AG133" s="73">
        <v>0</v>
      </c>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IF(C116="","",[6]機構処理!BF59)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386</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387</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IF([6]様式1!$E$20="","",AI21+AI44+AI66+AI88)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46106</v>
      </c>
      <c r="L140" s="385"/>
      <c r="M140" s="385"/>
      <c r="N140" s="385"/>
      <c r="O140" s="386"/>
      <c r="P140" s="96" t="s">
        <v>72</v>
      </c>
      <c r="Q140" s="387">
        <v>46129</v>
      </c>
      <c r="R140" s="385"/>
      <c r="S140" s="385"/>
      <c r="T140" s="385"/>
      <c r="U140" s="385"/>
      <c r="V140" s="390" t="s">
        <v>324</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46161</v>
      </c>
      <c r="L141" s="385"/>
      <c r="M141" s="385"/>
      <c r="N141" s="385"/>
      <c r="O141" s="386"/>
      <c r="P141" s="96" t="s">
        <v>72</v>
      </c>
      <c r="Q141" s="387">
        <v>46191</v>
      </c>
      <c r="R141" s="385"/>
      <c r="S141" s="385"/>
      <c r="T141" s="385"/>
      <c r="U141" s="385"/>
      <c r="V141" s="390" t="s">
        <v>324</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46253</v>
      </c>
      <c r="L142" s="385"/>
      <c r="M142" s="385"/>
      <c r="N142" s="385"/>
      <c r="O142" s="386"/>
      <c r="P142" s="96" t="s">
        <v>72</v>
      </c>
      <c r="Q142" s="387">
        <v>46282</v>
      </c>
      <c r="R142" s="385"/>
      <c r="S142" s="385"/>
      <c r="T142" s="385"/>
      <c r="U142" s="385"/>
      <c r="V142" s="388" t="s">
        <v>324</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0.41666666666666669</v>
      </c>
      <c r="D148" s="384"/>
      <c r="E148" s="94" t="s">
        <v>72</v>
      </c>
      <c r="F148" s="366">
        <v>0.4513888888888889</v>
      </c>
      <c r="G148" s="367"/>
      <c r="H148" s="15"/>
      <c r="I148" s="100" t="s">
        <v>86</v>
      </c>
      <c r="J148" s="15"/>
      <c r="K148" s="15"/>
      <c r="L148" s="15"/>
      <c r="M148" s="15"/>
      <c r="N148" s="15"/>
      <c r="O148" s="100" t="s">
        <v>388</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0.45833333333333331</v>
      </c>
      <c r="D149" s="366"/>
      <c r="E149" s="94" t="s">
        <v>72</v>
      </c>
      <c r="F149" s="366">
        <v>0.49305555555555558</v>
      </c>
      <c r="G149" s="367"/>
      <c r="H149" s="15"/>
      <c r="I149" s="363"/>
      <c r="J149" s="364"/>
      <c r="K149" s="349" t="s">
        <v>389</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v>
      </c>
      <c r="D150" s="366"/>
      <c r="E150" s="94" t="s">
        <v>72</v>
      </c>
      <c r="F150" s="366">
        <v>0.53472222222222221</v>
      </c>
      <c r="G150" s="367"/>
      <c r="H150" s="15"/>
      <c r="I150" s="380" t="str">
        <f>IF(AND(ハローワーク来所日パターン&lt;&gt;"",$C$29&lt;&gt;"",訓練終了日&gt;ハローワーク来所日1),"１回目","")</f>
        <v>１回目</v>
      </c>
      <c r="J150" s="381"/>
      <c r="K150" s="339">
        <f>IF($I150="","",ハローワーク来所日1)</f>
        <v>46140</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0.57638888888888884</v>
      </c>
      <c r="D151" s="366"/>
      <c r="E151" s="94" t="s">
        <v>72</v>
      </c>
      <c r="F151" s="366">
        <v>0.61111111111111116</v>
      </c>
      <c r="G151" s="367"/>
      <c r="H151" s="15"/>
      <c r="I151" s="380" t="str">
        <f>IF(AND(ハローワーク来所日パターン&lt;&gt;"",$C$51&lt;&gt;"",訓練終了日&gt;ハローワーク来所日2),"２回目","")</f>
        <v>２回目</v>
      </c>
      <c r="J151" s="381"/>
      <c r="K151" s="339">
        <f>IF($I151="","",ハローワーク来所日2)</f>
        <v>46170</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0.61805555555555558</v>
      </c>
      <c r="D152" s="366"/>
      <c r="E152" s="94" t="s">
        <v>72</v>
      </c>
      <c r="F152" s="366">
        <v>0.65277777777777779</v>
      </c>
      <c r="G152" s="367"/>
      <c r="H152" s="15"/>
      <c r="I152" s="380" t="str">
        <f>IF(AND(ハローワーク来所日パターン&lt;&gt;"",$C$73&lt;&gt;"",訓練終了日&gt;ハローワーク来所日3),"３回目","")</f>
        <v>３回目</v>
      </c>
      <c r="J152" s="381"/>
      <c r="K152" s="339">
        <f>IF($I152="","",ハローワーク来所日3)</f>
        <v>46199</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0.65972222222222221</v>
      </c>
      <c r="D153" s="366"/>
      <c r="E153" s="94" t="s">
        <v>72</v>
      </c>
      <c r="F153" s="366">
        <v>0.69444444444444442</v>
      </c>
      <c r="G153" s="367"/>
      <c r="H153" s="15"/>
      <c r="I153" s="380" t="str">
        <f>IF(AND(ハローワーク来所日パターン&lt;&gt;"",$C$95&lt;&gt;"",訓練終了日&gt;ハローワーク来所日4),"４回目","")</f>
        <v>４回目</v>
      </c>
      <c r="J153" s="381"/>
      <c r="K153" s="339">
        <f>IF($I153="","",ハローワーク来所日4)</f>
        <v>46231</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0.69444444444444442</v>
      </c>
      <c r="D154" s="366"/>
      <c r="E154" s="94" t="s">
        <v>72</v>
      </c>
      <c r="F154" s="366">
        <v>0.73611111111111116</v>
      </c>
      <c r="G154" s="367"/>
      <c r="H154" s="15"/>
      <c r="I154" s="380" t="str">
        <f>IF(AND(ハローワーク来所日パターン&lt;&gt;"",$C$116&lt;&gt;"",訓練終了日&gt;ハローワーク来所日5),"５回目","")</f>
        <v>５回目</v>
      </c>
      <c r="J154" s="381"/>
      <c r="K154" s="339">
        <f>IF($I154="","",ハローワーク来所日5)</f>
        <v>46259</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46100</v>
      </c>
      <c r="F172" s="340"/>
      <c r="G172" s="340"/>
      <c r="H172" s="340"/>
      <c r="I172" s="340"/>
      <c r="J172" s="94" t="s">
        <v>104</v>
      </c>
      <c r="K172" s="340">
        <f>IF(訓練開始日="","",IF(訓練終了日&lt;EDATE(訓練開始日,1)-1,訓練終了日,EDATE(E172,1)-1))</f>
        <v>46130</v>
      </c>
      <c r="L172" s="340"/>
      <c r="M172" s="340"/>
      <c r="N172" s="340"/>
      <c r="O172" s="341"/>
      <c r="P172" s="108"/>
      <c r="Q172" s="215">
        <f>IF(E172="","",(K172-E172+1))</f>
        <v>31</v>
      </c>
      <c r="R172" s="112" t="s">
        <v>52</v>
      </c>
      <c r="S172" s="101"/>
      <c r="T172" s="113"/>
      <c r="U172" s="215">
        <f>IF(E172="","",[6]機構処理!$BG$24)</f>
        <v>20</v>
      </c>
      <c r="V172" s="112" t="s">
        <v>52</v>
      </c>
      <c r="W172" s="101"/>
      <c r="X172" s="353">
        <f>IF(E172="","",[6]機構処理!BG72)</f>
        <v>0</v>
      </c>
      <c r="Y172" s="354"/>
      <c r="Z172" s="354"/>
      <c r="AA172" s="114" t="s">
        <v>66</v>
      </c>
      <c r="AB172" s="107"/>
      <c r="AC172" s="344">
        <f>IF(E172="","",[6]機構処理!$BH$25)</f>
        <v>102</v>
      </c>
      <c r="AD172" s="345"/>
      <c r="AE172" s="345"/>
      <c r="AF172" s="324" t="s">
        <v>66</v>
      </c>
      <c r="AG172" s="325"/>
      <c r="AH172" s="346" t="str">
        <f>[6]機構処理!BR26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46131</v>
      </c>
      <c r="F173" s="340"/>
      <c r="G173" s="340"/>
      <c r="H173" s="340"/>
      <c r="I173" s="340"/>
      <c r="J173" s="94" t="s">
        <v>104</v>
      </c>
      <c r="K173" s="340">
        <f>IF(E173="","",IF(EDATE(E173,1)-1&lt;訓練終了日,EDATE(E173,1)-1,訓練終了日))</f>
        <v>46160</v>
      </c>
      <c r="L173" s="340"/>
      <c r="M173" s="340"/>
      <c r="N173" s="340"/>
      <c r="O173" s="341"/>
      <c r="P173" s="108"/>
      <c r="Q173" s="215">
        <f>IF(E173="","",(K173-E173+1))</f>
        <v>30</v>
      </c>
      <c r="R173" s="109" t="s">
        <v>52</v>
      </c>
      <c r="S173" s="101"/>
      <c r="T173" s="108"/>
      <c r="U173" s="215">
        <f>IF(E173="","",[6]機構処理!$BG$30)</f>
        <v>14</v>
      </c>
      <c r="V173" s="109" t="s">
        <v>52</v>
      </c>
      <c r="W173" s="101"/>
      <c r="X173" s="342">
        <f>IF(E173="","",[6]機構処理!BG77)</f>
        <v>0</v>
      </c>
      <c r="Y173" s="343"/>
      <c r="Z173" s="343"/>
      <c r="AA173" s="114" t="s">
        <v>66</v>
      </c>
      <c r="AB173" s="107"/>
      <c r="AC173" s="344">
        <f>IF(E173="","",[6]機構処理!$BH$31)</f>
        <v>84</v>
      </c>
      <c r="AD173" s="345"/>
      <c r="AE173" s="345"/>
      <c r="AF173" s="324" t="s">
        <v>66</v>
      </c>
      <c r="AG173" s="325"/>
      <c r="AH173" s="346" t="str">
        <f>[6]機構処理!BR27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46161</v>
      </c>
      <c r="F174" s="340"/>
      <c r="G174" s="340"/>
      <c r="H174" s="340"/>
      <c r="I174" s="340"/>
      <c r="J174" s="94" t="s">
        <v>104</v>
      </c>
      <c r="K174" s="340">
        <f>IF(E174="","",IF(EDATE(E174,1)-1&lt;訓練終了日,EDATE(E174,1)-1,訓練終了日))</f>
        <v>46191</v>
      </c>
      <c r="L174" s="340"/>
      <c r="M174" s="340"/>
      <c r="N174" s="340"/>
      <c r="O174" s="341"/>
      <c r="P174" s="108"/>
      <c r="Q174" s="215">
        <f>IF(E174="","",(K174-E174+1))</f>
        <v>31</v>
      </c>
      <c r="R174" s="109" t="s">
        <v>52</v>
      </c>
      <c r="S174" s="101"/>
      <c r="T174" s="108"/>
      <c r="U174" s="215">
        <f>IF(E174="","",[6]機構処理!$BG$36)</f>
        <v>19</v>
      </c>
      <c r="V174" s="109" t="s">
        <v>52</v>
      </c>
      <c r="W174" s="101"/>
      <c r="X174" s="342">
        <f>IF(E174="","",[6]機構処理!BG81)</f>
        <v>0</v>
      </c>
      <c r="Y174" s="343"/>
      <c r="Z174" s="343"/>
      <c r="AA174" s="114" t="s">
        <v>66</v>
      </c>
      <c r="AB174" s="107"/>
      <c r="AC174" s="344">
        <f>IF(E174="","",[6]機構処理!$BH$37)</f>
        <v>102</v>
      </c>
      <c r="AD174" s="345"/>
      <c r="AE174" s="345"/>
      <c r="AF174" s="324" t="s">
        <v>66</v>
      </c>
      <c r="AG174" s="325"/>
      <c r="AH174" s="346" t="str">
        <f>[6]機構処理!BR28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46192</v>
      </c>
      <c r="F175" s="340"/>
      <c r="G175" s="340"/>
      <c r="H175" s="340"/>
      <c r="I175" s="340"/>
      <c r="J175" s="94" t="s">
        <v>104</v>
      </c>
      <c r="K175" s="340">
        <f>IF(E175="","",IF(EDATE(E175,1)-1&lt;訓練終了日,EDATE(E175,1)-1,訓練終了日))</f>
        <v>46221</v>
      </c>
      <c r="L175" s="340"/>
      <c r="M175" s="340"/>
      <c r="N175" s="340"/>
      <c r="O175" s="341"/>
      <c r="P175" s="108"/>
      <c r="Q175" s="215">
        <f>IF(E175="","",(K175-E175+1))</f>
        <v>30</v>
      </c>
      <c r="R175" s="109" t="s">
        <v>52</v>
      </c>
      <c r="S175" s="101"/>
      <c r="T175" s="108"/>
      <c r="U175" s="215">
        <f>IF(E175="","",[6]機構処理!$BG$42)</f>
        <v>14</v>
      </c>
      <c r="V175" s="109" t="s">
        <v>52</v>
      </c>
      <c r="W175" s="101"/>
      <c r="X175" s="342">
        <f>IF(E175="","",[6]機構処理!BG85)</f>
        <v>0</v>
      </c>
      <c r="Y175" s="343"/>
      <c r="Z175" s="343"/>
      <c r="AA175" s="114" t="s">
        <v>66</v>
      </c>
      <c r="AB175" s="107"/>
      <c r="AC175" s="344">
        <f>IF(E175="","",[6]機構処理!$BH$43)</f>
        <v>84</v>
      </c>
      <c r="AD175" s="345"/>
      <c r="AE175" s="345"/>
      <c r="AF175" s="324" t="s">
        <v>66</v>
      </c>
      <c r="AG175" s="325"/>
      <c r="AH175" s="346" t="str">
        <f>[6]機構処理!BR29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46222</v>
      </c>
      <c r="F176" s="340"/>
      <c r="G176" s="340"/>
      <c r="H176" s="340"/>
      <c r="I176" s="340"/>
      <c r="J176" s="94" t="s">
        <v>104</v>
      </c>
      <c r="K176" s="340">
        <f>IF(E176="","",IF(EDATE(E176,1)-1&lt;訓練終了日,EDATE(E176,1)-1,訓練終了日))</f>
        <v>46252</v>
      </c>
      <c r="L176" s="340"/>
      <c r="M176" s="340"/>
      <c r="N176" s="340"/>
      <c r="O176" s="341"/>
      <c r="P176" s="108"/>
      <c r="Q176" s="215">
        <f>IF(E176="","",K176-E176+1)</f>
        <v>31</v>
      </c>
      <c r="R176" s="109" t="s">
        <v>52</v>
      </c>
      <c r="S176" s="101"/>
      <c r="T176" s="108"/>
      <c r="U176" s="215">
        <f>IF(E176="","",[6]機構処理!$BG$48)</f>
        <v>14</v>
      </c>
      <c r="V176" s="109" t="s">
        <v>52</v>
      </c>
      <c r="W176" s="101"/>
      <c r="X176" s="342">
        <f>IF(E176="","",[6]機構処理!BG89)</f>
        <v>0</v>
      </c>
      <c r="Y176" s="343"/>
      <c r="Z176" s="343"/>
      <c r="AA176" s="114" t="s">
        <v>66</v>
      </c>
      <c r="AB176" s="107"/>
      <c r="AC176" s="344">
        <f>IF(E176="","",[6]機構処理!$BH$49)</f>
        <v>84</v>
      </c>
      <c r="AD176" s="345"/>
      <c r="AE176" s="345"/>
      <c r="AF176" s="324" t="s">
        <v>66</v>
      </c>
      <c r="AG176" s="325"/>
      <c r="AH176" s="346" t="str">
        <f>[6]機構処理!BQ30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46253</v>
      </c>
      <c r="F177" s="340"/>
      <c r="G177" s="340"/>
      <c r="H177" s="340"/>
      <c r="I177" s="340"/>
      <c r="J177" s="94" t="s">
        <v>104</v>
      </c>
      <c r="K177" s="340">
        <f>IF(E177="","",IF(EDATE(E177,1)-1&lt;訓練終了日,EDATE(E177,1)-1,訓練終了日))</f>
        <v>46283</v>
      </c>
      <c r="L177" s="340"/>
      <c r="M177" s="340"/>
      <c r="N177" s="340"/>
      <c r="O177" s="341"/>
      <c r="P177" s="108"/>
      <c r="Q177" s="215">
        <f>IF(E177="","",K177-E177+1)</f>
        <v>31</v>
      </c>
      <c r="R177" s="109" t="s">
        <v>52</v>
      </c>
      <c r="S177" s="101"/>
      <c r="T177" s="108"/>
      <c r="U177" s="215">
        <f>IF(E177="","",[6]機構処理!$BG$54)</f>
        <v>17</v>
      </c>
      <c r="V177" s="109" t="s">
        <v>52</v>
      </c>
      <c r="W177" s="101"/>
      <c r="X177" s="342">
        <f>IF(E177="","",[6]機構処理!BG93)</f>
        <v>0</v>
      </c>
      <c r="Y177" s="343"/>
      <c r="Z177" s="343"/>
      <c r="AA177" s="114" t="s">
        <v>66</v>
      </c>
      <c r="AB177" s="107"/>
      <c r="AC177" s="344">
        <f>IF(E177="","",[6]機構処理!$BH$55)</f>
        <v>84</v>
      </c>
      <c r="AD177" s="345"/>
      <c r="AE177" s="345"/>
      <c r="AF177" s="324" t="s">
        <v>66</v>
      </c>
      <c r="AG177" s="325"/>
      <c r="AH177" s="346" t="str">
        <f>[6]機構処理!BQ31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184</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2.9" customHeight="1">
      <c r="AH181" s="100"/>
    </row>
    <row r="182" spans="1:48" ht="12.9" customHeight="1">
      <c r="AH182" s="100"/>
    </row>
    <row r="183" spans="1:48" ht="12.9"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228" priority="12">
      <formula>LEN(TRIM(C160))=0</formula>
    </cfRule>
  </conditionalFormatting>
  <conditionalFormatting sqref="C119:AA133">
    <cfRule type="expression" dxfId="227" priority="2">
      <formula>WORKDAY(C$116+1,-1,祝祭日)&lt;&gt;C$116</formula>
    </cfRule>
  </conditionalFormatting>
  <conditionalFormatting sqref="C131:AA131">
    <cfRule type="expression" dxfId="226" priority="3">
      <formula>+$AH$131&lt;&gt;""</formula>
    </cfRule>
  </conditionalFormatting>
  <conditionalFormatting sqref="C6:AG27">
    <cfRule type="expression" dxfId="225" priority="42">
      <formula>WORKDAY(C$6+1,-1,祝祭日)&lt;&gt;C$6</formula>
    </cfRule>
  </conditionalFormatting>
  <conditionalFormatting sqref="C22:AG22">
    <cfRule type="expression" dxfId="224" priority="49">
      <formula>$AH$22&lt;&gt;""</formula>
    </cfRule>
  </conditionalFormatting>
  <conditionalFormatting sqref="C29:AG49">
    <cfRule type="expression" dxfId="223" priority="6">
      <formula>WORKDAY(C$29+1,-1,祝祭日)&lt;&gt;C$29</formula>
    </cfRule>
  </conditionalFormatting>
  <conditionalFormatting sqref="C45:AG45">
    <cfRule type="expression" dxfId="222" priority="48">
      <formula>+$AH$45&lt;&gt;""</formula>
    </cfRule>
  </conditionalFormatting>
  <conditionalFormatting sqref="C51:AG71">
    <cfRule type="expression" dxfId="221" priority="33">
      <formula>WORKDAY(C$51+1,-1,祝祭日)&lt;&gt;C$51</formula>
    </cfRule>
  </conditionalFormatting>
  <conditionalFormatting sqref="C67:AG67">
    <cfRule type="expression" dxfId="220" priority="50">
      <formula>+$AH$67&lt;&gt;""</formula>
    </cfRule>
  </conditionalFormatting>
  <conditionalFormatting sqref="C73:AG93">
    <cfRule type="expression" dxfId="219" priority="1">
      <formula>WORKDAY(C$73+1,-1,祝祭日)&lt;&gt;C$73</formula>
    </cfRule>
  </conditionalFormatting>
  <conditionalFormatting sqref="C89:AG89">
    <cfRule type="expression" dxfId="218" priority="4">
      <formula>+$AH$89&lt;&gt;""</formula>
    </cfRule>
  </conditionalFormatting>
  <conditionalFormatting sqref="C95:AG114">
    <cfRule type="expression" dxfId="217" priority="44">
      <formula>WORKDAY(C$95+1,-1,祝祭日)&lt;&gt;C$95</formula>
    </cfRule>
  </conditionalFormatting>
  <conditionalFormatting sqref="C110:AG110">
    <cfRule type="expression" dxfId="216" priority="51">
      <formula>+$AH$110&lt;&gt;""</formula>
    </cfRule>
  </conditionalFormatting>
  <conditionalFormatting sqref="C116:AG118 AB119:AB130 AD119:AG130 AB131:AG133 C134:AG135">
    <cfRule type="expression" dxfId="215" priority="43">
      <formula>WORKDAY(C$116+1,-1,祝祭日)&lt;&gt;C$116</formula>
    </cfRule>
  </conditionalFormatting>
  <conditionalFormatting sqref="D158:E158">
    <cfRule type="containsBlanks" dxfId="214" priority="37">
      <formula>LEN(TRIM(D158))=0</formula>
    </cfRule>
  </conditionalFormatting>
  <conditionalFormatting sqref="D139:F140">
    <cfRule type="cellIs" dxfId="213" priority="36" operator="equal">
      <formula>""</formula>
    </cfRule>
  </conditionalFormatting>
  <conditionalFormatting sqref="F148:F154 C149:C154">
    <cfRule type="cellIs" dxfId="212" priority="47" stopIfTrue="1" operator="equal">
      <formula>""</formula>
    </cfRule>
  </conditionalFormatting>
  <conditionalFormatting sqref="F154">
    <cfRule type="cellIs" dxfId="211" priority="46" operator="greaterThan">
      <formula>0.917</formula>
    </cfRule>
  </conditionalFormatting>
  <conditionalFormatting sqref="F155:F156 C155:C156">
    <cfRule type="containsBlanks" dxfId="210" priority="15">
      <formula>LEN(TRIM(C155))=0</formula>
    </cfRule>
  </conditionalFormatting>
  <conditionalFormatting sqref="F153:G153">
    <cfRule type="cellIs" dxfId="209" priority="7" operator="greaterThan">
      <formula>0.917</formula>
    </cfRule>
  </conditionalFormatting>
  <conditionalFormatting sqref="F156:G156">
    <cfRule type="cellIs" dxfId="208" priority="10" operator="greaterThan">
      <formula>0.917</formula>
    </cfRule>
  </conditionalFormatting>
  <conditionalFormatting sqref="F160:G168 C161:D168">
    <cfRule type="containsBlanks" dxfId="207" priority="41">
      <formula>LEN(TRIM(C160))=0</formula>
    </cfRule>
  </conditionalFormatting>
  <conditionalFormatting sqref="F166:G166">
    <cfRule type="cellIs" dxfId="206" priority="9" operator="greaterThan">
      <formula>0.917</formula>
    </cfRule>
  </conditionalFormatting>
  <conditionalFormatting sqref="F168:G168">
    <cfRule type="cellIs" dxfId="205" priority="40" operator="greaterThan">
      <formula>0.917</formula>
    </cfRule>
  </conditionalFormatting>
  <conditionalFormatting sqref="K1">
    <cfRule type="expression" dxfId="204" priority="34">
      <formula>$K$1&lt;&gt;""</formula>
    </cfRule>
  </conditionalFormatting>
  <conditionalFormatting sqref="K140:O145 Q140:AG145">
    <cfRule type="containsBlanks" dxfId="203" priority="14">
      <formula>LEN(TRIM(K140))=0</formula>
    </cfRule>
  </conditionalFormatting>
  <conditionalFormatting sqref="N160">
    <cfRule type="containsBlanks" dxfId="202" priority="11">
      <formula>LEN(TRIM(N160))=0</formula>
    </cfRule>
  </conditionalFormatting>
  <conditionalFormatting sqref="O158:P158">
    <cfRule type="containsBlanks" dxfId="201" priority="13">
      <formula>LEN(TRIM(O158))=0</formula>
    </cfRule>
  </conditionalFormatting>
  <conditionalFormatting sqref="P170:W170">
    <cfRule type="expression" dxfId="200" priority="53">
      <formula>AND(訓練種別コード="001",AI21+AI44+AI66+AI88+#REF!+#REF!&gt;0)</formula>
    </cfRule>
  </conditionalFormatting>
  <conditionalFormatting sqref="Q172:Q177">
    <cfRule type="cellIs" dxfId="199" priority="45" stopIfTrue="1" operator="lessThan">
      <formula>28</formula>
    </cfRule>
  </conditionalFormatting>
  <conditionalFormatting sqref="Q160:R168 N161:O168">
    <cfRule type="containsBlanks" dxfId="198" priority="39">
      <formula>LEN(TRIM(N160))=0</formula>
    </cfRule>
  </conditionalFormatting>
  <conditionalFormatting sqref="Q166:R166">
    <cfRule type="cellIs" dxfId="197" priority="38" operator="greaterThan">
      <formula>0.917</formula>
    </cfRule>
  </conditionalFormatting>
  <conditionalFormatting sqref="Q168:R168">
    <cfRule type="cellIs" dxfId="196" priority="8" operator="greaterThan">
      <formula>0.917</formula>
    </cfRule>
  </conditionalFormatting>
  <conditionalFormatting sqref="X171:AB171 X172 AA172:AB172 X173:AB178">
    <cfRule type="expression" dxfId="195" priority="35">
      <formula>$X$171=""</formula>
    </cfRule>
  </conditionalFormatting>
  <conditionalFormatting sqref="AB131:AG131">
    <cfRule type="expression" dxfId="194" priority="52">
      <formula>+$AH$131&lt;&gt;""</formula>
    </cfRule>
  </conditionalFormatting>
  <conditionalFormatting sqref="AC119:AC130">
    <cfRule type="expression" dxfId="193" priority="5">
      <formula>WORKDAY(AC$95+1,-1,祝祭日)&lt;&gt;AC$95</formula>
    </cfRule>
  </conditionalFormatting>
  <conditionalFormatting sqref="AC178:AE178">
    <cfRule type="expression" dxfId="192" priority="16">
      <formula>AND(NOT(VALUE(訓練総時間)=訓練時間合計),NOT(VALUE(訓練総時間)=IF(様6_訓練時間合計="",0,様6_訓練時間合計)))</formula>
    </cfRule>
  </conditionalFormatting>
  <conditionalFormatting sqref="AH89:AI89">
    <cfRule type="expression" dxfId="191" priority="28">
      <formula>$AI89=""</formula>
    </cfRule>
  </conditionalFormatting>
  <conditionalFormatting sqref="AH111:AI111">
    <cfRule type="expression" dxfId="190" priority="27">
      <formula>$AI111=""</formula>
    </cfRule>
  </conditionalFormatting>
  <conditionalFormatting sqref="AH22:AJ23">
    <cfRule type="expression" dxfId="189" priority="32">
      <formula>$AI22=""</formula>
    </cfRule>
  </conditionalFormatting>
  <conditionalFormatting sqref="AH45:AJ46">
    <cfRule type="expression" dxfId="188" priority="31">
      <formula>$AI45=""</formula>
    </cfRule>
  </conditionalFormatting>
  <conditionalFormatting sqref="AH67:AJ68">
    <cfRule type="expression" dxfId="187" priority="30">
      <formula>$AI67=""</formula>
    </cfRule>
  </conditionalFormatting>
  <conditionalFormatting sqref="AH90:AJ90">
    <cfRule type="expression" dxfId="186" priority="29">
      <formula>$AI90=""</formula>
    </cfRule>
  </conditionalFormatting>
  <conditionalFormatting sqref="AH110:AJ110">
    <cfRule type="expression" dxfId="185" priority="26">
      <formula>$AI110=""</formula>
    </cfRule>
  </conditionalFormatting>
  <conditionalFormatting sqref="AH131:AJ132">
    <cfRule type="expression" dxfId="184" priority="25">
      <formula>$AI131=""</formula>
    </cfRule>
  </conditionalFormatting>
  <conditionalFormatting sqref="AH178:AL178">
    <cfRule type="expression" dxfId="183" priority="18">
      <formula>$AH$178=""</formula>
    </cfRule>
  </conditionalFormatting>
  <conditionalFormatting sqref="AI27:AL27">
    <cfRule type="expression" dxfId="182" priority="24">
      <formula>$C6=""</formula>
    </cfRule>
  </conditionalFormatting>
  <conditionalFormatting sqref="AI49:AL49">
    <cfRule type="expression" dxfId="181" priority="23">
      <formula>$C29=""</formula>
    </cfRule>
  </conditionalFormatting>
  <conditionalFormatting sqref="AI71:AL71">
    <cfRule type="expression" dxfId="180" priority="22">
      <formula>$C51=""</formula>
    </cfRule>
  </conditionalFormatting>
  <conditionalFormatting sqref="AI93:AL93">
    <cfRule type="expression" dxfId="179" priority="21">
      <formula>$C73=""</formula>
    </cfRule>
  </conditionalFormatting>
  <conditionalFormatting sqref="AI114:AL114">
    <cfRule type="expression" dxfId="178" priority="20">
      <formula>$C$95=""</formula>
    </cfRule>
  </conditionalFormatting>
  <conditionalFormatting sqref="AI135:AL135">
    <cfRule type="expression" dxfId="177" priority="19">
      <formula>$C$116=""</formula>
    </cfRule>
  </conditionalFormatting>
  <conditionalFormatting sqref="AK189:AL189">
    <cfRule type="expression" dxfId="176" priority="17">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D16F8B09-4255-4191-9771-D8DB3C8ED616}">
      <formula1>"○"</formula1>
    </dataValidation>
    <dataValidation type="whole" imeMode="off" allowBlank="1" showInputMessage="1" showErrorMessage="1" sqref="C24:AG27 C47:AG49 C133:AG135 C91:AG93 C112:AG114 C69:AG71" xr:uid="{A5C2E63A-75A4-4228-A23C-A2926B64E7CC}">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87AD8BEA-5C76-4BA2-A1E6-1E73635DD0DC}"/>
    <dataValidation type="list" allowBlank="1" showInputMessage="1" showErrorMessage="1" sqref="C89:AG89 C45:AG45 C110:AG110 C22:AG22 C67:AG67 C131:AG131" xr:uid="{E4FBB9BE-384E-4F65-BA72-5E5476E2E4E7}">
      <formula1>"○,◎"</formula1>
    </dataValidation>
    <dataValidation imeMode="hiragana" allowBlank="1" showInputMessage="1" showErrorMessage="1" sqref="C97:AG109 C118:AG130 C75:AG87 C53:AG65 C31:AG43 C8:AG20 V140:AG145" xr:uid="{00FE297E-9C11-4929-9698-972B79E412FD}"/>
  </dataValidations>
  <hyperlinks>
    <hyperlink ref="AJ150" location="様式7の１!B8" display="様式7の１作成へ" xr:uid="{F6AD62F3-B70E-451F-B145-F4BADD9283D7}"/>
    <hyperlink ref="AJ152" location="一覧表!M42" display="一覧表へ戻る" xr:uid="{8D5B4744-13F1-481D-B727-17F4B95BFF2F}"/>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51937" r:id="rId4" name="来所日選択">
              <controlPr defaultSize="0" print="0" autoLine="0" autoPict="0">
                <anchor moveWithCells="1">
                  <from>
                    <xdr:col>4</xdr:col>
                    <xdr:colOff>312420</xdr:colOff>
                    <xdr:row>0</xdr:row>
                    <xdr:rowOff>182880</xdr:rowOff>
                  </from>
                  <to>
                    <xdr:col>8</xdr:col>
                    <xdr:colOff>312420</xdr:colOff>
                    <xdr:row>1</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8EE30-DF46-405D-9CA9-DCF8DF80B0A2}">
  <sheetPr codeName="Sheet16"/>
  <dimension ref="A1:BQ248"/>
  <sheetViews>
    <sheetView view="pageBreakPreview" zoomScale="80" zoomScaleNormal="80" zoomScaleSheetLayoutView="80" workbookViewId="0">
      <selection activeCell="P119" sqref="P119:P130"/>
    </sheetView>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IF(OR(訓練月数=0,訓練月数=""),"訓練期間が入力されていません！！",IF(訓練月数=1,IF(訓練終了日&lt;=INDIRECT("開講スケジュール!D"&amp;[7]開講スケジュール!$D$2+1),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これから始める！Ｗｅｂ・ＳＮＳ動画編集＆ホームページデザイン科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46043</v>
      </c>
      <c r="D6" s="33">
        <f>IF(C6="","",C6+1)</f>
        <v>46044</v>
      </c>
      <c r="E6" s="33">
        <f t="shared" ref="E6:P6" si="1">IF(D6="","",D6+1)</f>
        <v>46045</v>
      </c>
      <c r="F6" s="33">
        <f t="shared" si="1"/>
        <v>46046</v>
      </c>
      <c r="G6" s="33">
        <f t="shared" si="1"/>
        <v>46047</v>
      </c>
      <c r="H6" s="33">
        <f t="shared" si="1"/>
        <v>46048</v>
      </c>
      <c r="I6" s="33">
        <f t="shared" si="1"/>
        <v>46049</v>
      </c>
      <c r="J6" s="33">
        <f t="shared" si="1"/>
        <v>46050</v>
      </c>
      <c r="K6" s="33">
        <f t="shared" si="1"/>
        <v>46051</v>
      </c>
      <c r="L6" s="33">
        <f t="shared" si="1"/>
        <v>46052</v>
      </c>
      <c r="M6" s="33">
        <f t="shared" si="1"/>
        <v>46053</v>
      </c>
      <c r="N6" s="33">
        <f t="shared" si="1"/>
        <v>46054</v>
      </c>
      <c r="O6" s="33">
        <f t="shared" si="1"/>
        <v>46055</v>
      </c>
      <c r="P6" s="33">
        <f t="shared" si="1"/>
        <v>46056</v>
      </c>
      <c r="Q6" s="33">
        <f t="shared" ref="Q6:AB6" si="2">IF(P6="","",IF(P6+1&gt;訓練終了日,"",P6+1))</f>
        <v>46057</v>
      </c>
      <c r="R6" s="33">
        <f t="shared" si="2"/>
        <v>46058</v>
      </c>
      <c r="S6" s="33">
        <f t="shared" si="2"/>
        <v>46059</v>
      </c>
      <c r="T6" s="33">
        <f t="shared" si="2"/>
        <v>46060</v>
      </c>
      <c r="U6" s="33">
        <f t="shared" si="2"/>
        <v>46061</v>
      </c>
      <c r="V6" s="33">
        <f t="shared" si="2"/>
        <v>46062</v>
      </c>
      <c r="W6" s="33">
        <f t="shared" si="2"/>
        <v>46063</v>
      </c>
      <c r="X6" s="33">
        <f t="shared" si="2"/>
        <v>46064</v>
      </c>
      <c r="Y6" s="33">
        <f t="shared" si="2"/>
        <v>46065</v>
      </c>
      <c r="Z6" s="33">
        <f t="shared" si="2"/>
        <v>46066</v>
      </c>
      <c r="AA6" s="33">
        <f t="shared" si="2"/>
        <v>46067</v>
      </c>
      <c r="AB6" s="33">
        <f t="shared" si="2"/>
        <v>46068</v>
      </c>
      <c r="AC6" s="33">
        <f>IF(AB6="","",IF(AB6+1&gt;訓練終了日,"",IF(AB6+1&gt;=EDATE(C6,1),"",AB6+1)))</f>
        <v>46069</v>
      </c>
      <c r="AD6" s="33">
        <f>IF(AC6="","",IF(AC6+1&gt;訓練終了日,"",IF(AC6+1&gt;=EDATE(C6,1),"",AC6+1)))</f>
        <v>46070</v>
      </c>
      <c r="AE6" s="33">
        <f>IF(AD6="","",IF(AD6+1&gt;訓練終了日,"",IF(AD6+1&gt;=EDATE(C6,1),"",AD6+1)))</f>
        <v>46071</v>
      </c>
      <c r="AF6" s="33">
        <f>IF(AE6="","",IF(AE6+1&gt;訓練終了日,"",IF(AE6+1&gt;=EDATE(C6,1),"",AE6+1)))</f>
        <v>46072</v>
      </c>
      <c r="AG6" s="33">
        <f>IF(AF6="","",IF(AF6+1&gt;訓練終了日,"",IF(AF6+1&gt;=EDATE(C6,1),"",AF6+1)))</f>
        <v>46073</v>
      </c>
      <c r="AH6" s="19"/>
      <c r="AI6" s="20"/>
      <c r="AJ6" s="20"/>
      <c r="AK6" s="20"/>
      <c r="AL6" s="20"/>
      <c r="AM6" s="20"/>
      <c r="AN6" s="20"/>
      <c r="AO6" s="34"/>
      <c r="AP6" s="20"/>
      <c r="AQ6" s="20"/>
      <c r="AR6" s="20"/>
      <c r="AS6" s="20"/>
      <c r="AT6" s="20"/>
      <c r="AU6" s="20"/>
      <c r="AV6" s="20"/>
    </row>
    <row r="7" spans="1:69" ht="18" customHeight="1">
      <c r="A7" s="35"/>
      <c r="B7" s="31" t="s">
        <v>52</v>
      </c>
      <c r="C7" s="36">
        <f t="shared" ref="C7:AG8" si="3">+C6</f>
        <v>46043</v>
      </c>
      <c r="D7" s="37">
        <f t="shared" si="3"/>
        <v>46044</v>
      </c>
      <c r="E7" s="37">
        <f t="shared" si="3"/>
        <v>46045</v>
      </c>
      <c r="F7" s="37">
        <f t="shared" si="3"/>
        <v>46046</v>
      </c>
      <c r="G7" s="37">
        <f t="shared" si="3"/>
        <v>46047</v>
      </c>
      <c r="H7" s="37">
        <f t="shared" si="3"/>
        <v>46048</v>
      </c>
      <c r="I7" s="37">
        <f t="shared" si="3"/>
        <v>46049</v>
      </c>
      <c r="J7" s="37">
        <f t="shared" si="3"/>
        <v>46050</v>
      </c>
      <c r="K7" s="37">
        <f t="shared" si="3"/>
        <v>46051</v>
      </c>
      <c r="L7" s="37">
        <f t="shared" si="3"/>
        <v>46052</v>
      </c>
      <c r="M7" s="37">
        <f t="shared" si="3"/>
        <v>46053</v>
      </c>
      <c r="N7" s="37">
        <f t="shared" si="3"/>
        <v>46054</v>
      </c>
      <c r="O7" s="37">
        <f t="shared" si="3"/>
        <v>46055</v>
      </c>
      <c r="P7" s="37">
        <f t="shared" si="3"/>
        <v>46056</v>
      </c>
      <c r="Q7" s="37">
        <f t="shared" si="3"/>
        <v>46057</v>
      </c>
      <c r="R7" s="37">
        <f t="shared" si="3"/>
        <v>46058</v>
      </c>
      <c r="S7" s="37">
        <f t="shared" si="3"/>
        <v>46059</v>
      </c>
      <c r="T7" s="37">
        <f t="shared" si="3"/>
        <v>46060</v>
      </c>
      <c r="U7" s="37">
        <f t="shared" si="3"/>
        <v>46061</v>
      </c>
      <c r="V7" s="37">
        <f t="shared" si="3"/>
        <v>46062</v>
      </c>
      <c r="W7" s="37">
        <f t="shared" si="3"/>
        <v>46063</v>
      </c>
      <c r="X7" s="37">
        <f t="shared" si="3"/>
        <v>46064</v>
      </c>
      <c r="Y7" s="37">
        <f t="shared" si="3"/>
        <v>46065</v>
      </c>
      <c r="Z7" s="37">
        <f t="shared" si="3"/>
        <v>46066</v>
      </c>
      <c r="AA7" s="37">
        <f t="shared" si="3"/>
        <v>46067</v>
      </c>
      <c r="AB7" s="37">
        <f t="shared" si="3"/>
        <v>46068</v>
      </c>
      <c r="AC7" s="37">
        <f t="shared" si="3"/>
        <v>46069</v>
      </c>
      <c r="AD7" s="37">
        <f t="shared" si="3"/>
        <v>46070</v>
      </c>
      <c r="AE7" s="37">
        <f t="shared" si="3"/>
        <v>46071</v>
      </c>
      <c r="AF7" s="37">
        <f t="shared" si="3"/>
        <v>46072</v>
      </c>
      <c r="AG7" s="38">
        <f t="shared" si="3"/>
        <v>46073</v>
      </c>
      <c r="AH7" s="19"/>
      <c r="AI7" s="20"/>
      <c r="AJ7" s="20"/>
      <c r="AK7" s="20"/>
      <c r="AL7" s="20"/>
      <c r="AM7" s="20"/>
      <c r="AN7" s="20"/>
      <c r="AO7" s="34"/>
      <c r="AP7" s="20"/>
      <c r="AQ7" s="20"/>
      <c r="AR7" s="20"/>
      <c r="AS7" s="20"/>
      <c r="AT7" s="20"/>
      <c r="AU7" s="20"/>
      <c r="AV7" s="20"/>
    </row>
    <row r="8" spans="1:69" ht="18" customHeight="1">
      <c r="A8" s="35"/>
      <c r="B8" s="31" t="s">
        <v>53</v>
      </c>
      <c r="C8" s="39">
        <f t="shared" si="3"/>
        <v>46043</v>
      </c>
      <c r="D8" s="39">
        <f t="shared" si="3"/>
        <v>46044</v>
      </c>
      <c r="E8" s="39">
        <f t="shared" si="3"/>
        <v>46045</v>
      </c>
      <c r="F8" s="39">
        <f t="shared" si="3"/>
        <v>46046</v>
      </c>
      <c r="G8" s="39">
        <f t="shared" si="3"/>
        <v>46047</v>
      </c>
      <c r="H8" s="39">
        <f t="shared" si="3"/>
        <v>46048</v>
      </c>
      <c r="I8" s="39">
        <f t="shared" si="3"/>
        <v>46049</v>
      </c>
      <c r="J8" s="39">
        <f t="shared" si="3"/>
        <v>46050</v>
      </c>
      <c r="K8" s="39">
        <f t="shared" si="3"/>
        <v>46051</v>
      </c>
      <c r="L8" s="39">
        <f t="shared" si="3"/>
        <v>46052</v>
      </c>
      <c r="M8" s="39">
        <f t="shared" si="3"/>
        <v>46053</v>
      </c>
      <c r="N8" s="39">
        <f t="shared" si="3"/>
        <v>46054</v>
      </c>
      <c r="O8" s="39">
        <f t="shared" si="3"/>
        <v>46055</v>
      </c>
      <c r="P8" s="39">
        <f t="shared" si="3"/>
        <v>46056</v>
      </c>
      <c r="Q8" s="39">
        <f t="shared" si="3"/>
        <v>46057</v>
      </c>
      <c r="R8" s="39">
        <f t="shared" si="3"/>
        <v>46058</v>
      </c>
      <c r="S8" s="39">
        <f t="shared" si="3"/>
        <v>46059</v>
      </c>
      <c r="T8" s="39">
        <f t="shared" si="3"/>
        <v>46060</v>
      </c>
      <c r="U8" s="39">
        <f t="shared" si="3"/>
        <v>46061</v>
      </c>
      <c r="V8" s="39">
        <f t="shared" si="3"/>
        <v>46062</v>
      </c>
      <c r="W8" s="39">
        <f t="shared" si="3"/>
        <v>46063</v>
      </c>
      <c r="X8" s="39">
        <f t="shared" si="3"/>
        <v>46064</v>
      </c>
      <c r="Y8" s="39">
        <f t="shared" si="3"/>
        <v>46065</v>
      </c>
      <c r="Z8" s="39">
        <f t="shared" si="3"/>
        <v>46066</v>
      </c>
      <c r="AA8" s="39">
        <f t="shared" si="3"/>
        <v>46067</v>
      </c>
      <c r="AB8" s="39">
        <f t="shared" si="3"/>
        <v>46068</v>
      </c>
      <c r="AC8" s="39">
        <f t="shared" si="3"/>
        <v>46069</v>
      </c>
      <c r="AD8" s="39">
        <f t="shared" si="3"/>
        <v>46070</v>
      </c>
      <c r="AE8" s="39">
        <f t="shared" si="3"/>
        <v>46071</v>
      </c>
      <c r="AF8" s="39">
        <f t="shared" si="3"/>
        <v>46072</v>
      </c>
      <c r="AG8" s="40">
        <f t="shared" si="3"/>
        <v>46073</v>
      </c>
      <c r="AH8" s="19"/>
      <c r="AI8" s="20"/>
      <c r="AJ8" s="20"/>
      <c r="AK8" s="20"/>
      <c r="AL8" s="20"/>
      <c r="AM8" s="20"/>
      <c r="AN8" s="20"/>
      <c r="AO8" s="20"/>
      <c r="AP8" s="20"/>
      <c r="AQ8" s="20"/>
      <c r="AR8" s="20"/>
      <c r="AS8" s="20"/>
      <c r="AT8" s="20"/>
      <c r="AU8" s="20"/>
      <c r="AV8" s="20"/>
    </row>
    <row r="9" spans="1:69" ht="18" customHeight="1">
      <c r="A9" s="411" t="s">
        <v>54</v>
      </c>
      <c r="B9" s="41"/>
      <c r="C9" s="423" t="s">
        <v>291</v>
      </c>
      <c r="D9" s="399" t="s">
        <v>314</v>
      </c>
      <c r="E9" s="399" t="s">
        <v>203</v>
      </c>
      <c r="F9" s="425"/>
      <c r="G9" s="399"/>
      <c r="H9" s="399" t="s">
        <v>282</v>
      </c>
      <c r="I9" s="399" t="s">
        <v>282</v>
      </c>
      <c r="J9" s="399" t="s">
        <v>218</v>
      </c>
      <c r="K9" s="399" t="s">
        <v>216</v>
      </c>
      <c r="L9" s="399"/>
      <c r="M9" s="399"/>
      <c r="N9" s="399"/>
      <c r="O9" s="399" t="s">
        <v>216</v>
      </c>
      <c r="P9" s="399"/>
      <c r="Q9" s="399" t="s">
        <v>216</v>
      </c>
      <c r="R9" s="399" t="s">
        <v>216</v>
      </c>
      <c r="S9" s="399" t="s">
        <v>216</v>
      </c>
      <c r="T9" s="399" t="s">
        <v>56</v>
      </c>
      <c r="U9" s="399"/>
      <c r="V9" s="399" t="s">
        <v>216</v>
      </c>
      <c r="W9" s="399"/>
      <c r="X9" s="399"/>
      <c r="Y9" s="399" t="s">
        <v>216</v>
      </c>
      <c r="Z9" s="399" t="s">
        <v>216</v>
      </c>
      <c r="AA9" s="399" t="s">
        <v>56</v>
      </c>
      <c r="AB9" s="399"/>
      <c r="AC9" s="399" t="s">
        <v>216</v>
      </c>
      <c r="AD9" s="399"/>
      <c r="AE9" s="399" t="s">
        <v>216</v>
      </c>
      <c r="AF9" s="399" t="s">
        <v>216</v>
      </c>
      <c r="AG9" s="426" t="s">
        <v>216</v>
      </c>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0"/>
      <c r="K20" s="400"/>
      <c r="L20" s="400"/>
      <c r="M20" s="400"/>
      <c r="N20" s="400"/>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9"/>
      <c r="AF22" s="49"/>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4"/>
      <c r="AF23" s="54"/>
      <c r="AG23" s="55"/>
      <c r="AH23" s="132" t="str">
        <f>IF(AI23="","","←")</f>
        <v/>
      </c>
      <c r="AI23" s="418" t="str">
        <f>[7]機構処理!BI72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1</v>
      </c>
      <c r="E24" s="57">
        <v>6</v>
      </c>
      <c r="F24" s="57"/>
      <c r="G24" s="57"/>
      <c r="H24" s="57">
        <v>6</v>
      </c>
      <c r="I24" s="57">
        <v>6</v>
      </c>
      <c r="J24" s="57">
        <v>6</v>
      </c>
      <c r="K24" s="57">
        <v>6</v>
      </c>
      <c r="L24" s="57"/>
      <c r="M24" s="57"/>
      <c r="N24" s="57"/>
      <c r="O24" s="57">
        <v>6</v>
      </c>
      <c r="P24" s="57"/>
      <c r="Q24" s="57">
        <v>6</v>
      </c>
      <c r="R24" s="57">
        <v>6</v>
      </c>
      <c r="S24" s="57">
        <v>6</v>
      </c>
      <c r="T24" s="57">
        <v>0</v>
      </c>
      <c r="U24" s="57"/>
      <c r="V24" s="57">
        <v>6</v>
      </c>
      <c r="W24" s="57"/>
      <c r="X24" s="57"/>
      <c r="Y24" s="57">
        <v>6</v>
      </c>
      <c r="Z24" s="57">
        <v>6</v>
      </c>
      <c r="AA24" s="57">
        <v>0</v>
      </c>
      <c r="AB24" s="57"/>
      <c r="AC24" s="57">
        <v>6</v>
      </c>
      <c r="AD24" s="57"/>
      <c r="AE24" s="57">
        <v>6</v>
      </c>
      <c r="AF24" s="57">
        <v>6</v>
      </c>
      <c r="AG24" s="58">
        <v>6</v>
      </c>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5</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IF(C6="","",[7]機構処理!BF29)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46074</v>
      </c>
      <c r="D29" s="33">
        <f t="shared" ref="D29:AD29" si="5">IF(OR(C29="",C28="修了日"),"",C29+1)</f>
        <v>46075</v>
      </c>
      <c r="E29" s="33">
        <f t="shared" si="5"/>
        <v>46076</v>
      </c>
      <c r="F29" s="33">
        <f t="shared" si="5"/>
        <v>46077</v>
      </c>
      <c r="G29" s="33">
        <f t="shared" si="5"/>
        <v>46078</v>
      </c>
      <c r="H29" s="33">
        <f t="shared" si="5"/>
        <v>46079</v>
      </c>
      <c r="I29" s="33">
        <f t="shared" si="5"/>
        <v>46080</v>
      </c>
      <c r="J29" s="33">
        <f t="shared" si="5"/>
        <v>46081</v>
      </c>
      <c r="K29" s="33">
        <f t="shared" si="5"/>
        <v>46082</v>
      </c>
      <c r="L29" s="33">
        <f t="shared" si="5"/>
        <v>46083</v>
      </c>
      <c r="M29" s="33">
        <f t="shared" si="5"/>
        <v>46084</v>
      </c>
      <c r="N29" s="33">
        <f t="shared" si="5"/>
        <v>46085</v>
      </c>
      <c r="O29" s="33">
        <f t="shared" si="5"/>
        <v>46086</v>
      </c>
      <c r="P29" s="33">
        <f t="shared" si="5"/>
        <v>46087</v>
      </c>
      <c r="Q29" s="33">
        <f t="shared" si="5"/>
        <v>46088</v>
      </c>
      <c r="R29" s="33">
        <f t="shared" si="5"/>
        <v>46089</v>
      </c>
      <c r="S29" s="33">
        <f t="shared" si="5"/>
        <v>46090</v>
      </c>
      <c r="T29" s="33">
        <f t="shared" si="5"/>
        <v>46091</v>
      </c>
      <c r="U29" s="33">
        <f t="shared" si="5"/>
        <v>46092</v>
      </c>
      <c r="V29" s="33">
        <f t="shared" si="5"/>
        <v>46093</v>
      </c>
      <c r="W29" s="33">
        <f t="shared" si="5"/>
        <v>46094</v>
      </c>
      <c r="X29" s="33">
        <f t="shared" si="5"/>
        <v>46095</v>
      </c>
      <c r="Y29" s="33">
        <f t="shared" si="5"/>
        <v>46096</v>
      </c>
      <c r="Z29" s="33">
        <f t="shared" si="5"/>
        <v>46097</v>
      </c>
      <c r="AA29" s="33">
        <f t="shared" si="5"/>
        <v>46098</v>
      </c>
      <c r="AB29" s="33">
        <f t="shared" si="5"/>
        <v>46099</v>
      </c>
      <c r="AC29" s="33">
        <f t="shared" si="5"/>
        <v>46100</v>
      </c>
      <c r="AD29" s="33">
        <f t="shared" si="5"/>
        <v>46101</v>
      </c>
      <c r="AE29" s="33" t="str">
        <f>IF(OR(AD29="",AD28="修了日"),"",IF(AND(DAY(DATE(YEAR(C29),2,29))=29,MONTH(C29)=2),AD29+1,IF(MONTH(C29)=2,"",AD29+1)))</f>
        <v/>
      </c>
      <c r="AF29" s="33" t="str">
        <f>IF(OR(AE29="",AE28="修了日"),"",IF(MONTH(C29)=2,"",AE29+1))</f>
        <v/>
      </c>
      <c r="AG29" s="65" t="str">
        <f>IF(OR(AF29="",AF28="修了日"),"",IF(OR(MONTH(C29)=2,MONTH(C29)=4,MONTH(C29)=6,MONTH(C29)=9,MONTH(C29)=11),"",AF29+1))</f>
        <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46074</v>
      </c>
      <c r="D30" s="67">
        <f t="shared" si="6"/>
        <v>46075</v>
      </c>
      <c r="E30" s="67">
        <f t="shared" si="6"/>
        <v>46076</v>
      </c>
      <c r="F30" s="67">
        <f t="shared" si="6"/>
        <v>46077</v>
      </c>
      <c r="G30" s="67">
        <f t="shared" si="6"/>
        <v>46078</v>
      </c>
      <c r="H30" s="67">
        <f t="shared" si="6"/>
        <v>46079</v>
      </c>
      <c r="I30" s="67">
        <f t="shared" si="6"/>
        <v>46080</v>
      </c>
      <c r="J30" s="67">
        <f t="shared" si="6"/>
        <v>46081</v>
      </c>
      <c r="K30" s="67">
        <f t="shared" si="6"/>
        <v>46082</v>
      </c>
      <c r="L30" s="67">
        <f t="shared" si="6"/>
        <v>46083</v>
      </c>
      <c r="M30" s="67">
        <f t="shared" si="6"/>
        <v>46084</v>
      </c>
      <c r="N30" s="67">
        <f t="shared" si="6"/>
        <v>46085</v>
      </c>
      <c r="O30" s="67">
        <f t="shared" si="6"/>
        <v>46086</v>
      </c>
      <c r="P30" s="67">
        <f t="shared" si="6"/>
        <v>46087</v>
      </c>
      <c r="Q30" s="67">
        <f t="shared" si="6"/>
        <v>46088</v>
      </c>
      <c r="R30" s="67">
        <f t="shared" si="6"/>
        <v>46089</v>
      </c>
      <c r="S30" s="67">
        <f t="shared" si="6"/>
        <v>46090</v>
      </c>
      <c r="T30" s="67">
        <f t="shared" si="6"/>
        <v>46091</v>
      </c>
      <c r="U30" s="67">
        <f t="shared" si="6"/>
        <v>46092</v>
      </c>
      <c r="V30" s="67">
        <f t="shared" si="6"/>
        <v>46093</v>
      </c>
      <c r="W30" s="67">
        <f t="shared" si="6"/>
        <v>46094</v>
      </c>
      <c r="X30" s="67">
        <f t="shared" si="6"/>
        <v>46095</v>
      </c>
      <c r="Y30" s="67">
        <f t="shared" si="6"/>
        <v>46096</v>
      </c>
      <c r="Z30" s="67">
        <f t="shared" si="6"/>
        <v>46097</v>
      </c>
      <c r="AA30" s="67">
        <f t="shared" si="6"/>
        <v>46098</v>
      </c>
      <c r="AB30" s="67">
        <f>IF(AB29="","",+AB29)</f>
        <v>46099</v>
      </c>
      <c r="AC30" s="67">
        <f t="shared" si="6"/>
        <v>46100</v>
      </c>
      <c r="AD30" s="37">
        <f t="shared" si="6"/>
        <v>46101</v>
      </c>
      <c r="AE30" s="67" t="str">
        <f t="shared" si="6"/>
        <v/>
      </c>
      <c r="AF30" s="67" t="str">
        <f t="shared" si="6"/>
        <v/>
      </c>
      <c r="AG30" s="68" t="str">
        <f t="shared" si="6"/>
        <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46074</v>
      </c>
      <c r="D31" s="39">
        <f t="shared" si="6"/>
        <v>46075</v>
      </c>
      <c r="E31" s="39">
        <f t="shared" si="6"/>
        <v>46076</v>
      </c>
      <c r="F31" s="39">
        <f t="shared" si="6"/>
        <v>46077</v>
      </c>
      <c r="G31" s="39">
        <f t="shared" si="6"/>
        <v>46078</v>
      </c>
      <c r="H31" s="39">
        <f t="shared" si="6"/>
        <v>46079</v>
      </c>
      <c r="I31" s="39">
        <f t="shared" si="6"/>
        <v>46080</v>
      </c>
      <c r="J31" s="39">
        <f t="shared" si="6"/>
        <v>46081</v>
      </c>
      <c r="K31" s="39">
        <f t="shared" si="6"/>
        <v>46082</v>
      </c>
      <c r="L31" s="39">
        <f t="shared" si="6"/>
        <v>46083</v>
      </c>
      <c r="M31" s="39">
        <f t="shared" si="6"/>
        <v>46084</v>
      </c>
      <c r="N31" s="39">
        <f t="shared" si="6"/>
        <v>46085</v>
      </c>
      <c r="O31" s="39">
        <f t="shared" si="6"/>
        <v>46086</v>
      </c>
      <c r="P31" s="39">
        <f t="shared" si="6"/>
        <v>46087</v>
      </c>
      <c r="Q31" s="39">
        <f t="shared" si="6"/>
        <v>46088</v>
      </c>
      <c r="R31" s="39">
        <f t="shared" si="6"/>
        <v>46089</v>
      </c>
      <c r="S31" s="39">
        <f t="shared" si="6"/>
        <v>46090</v>
      </c>
      <c r="T31" s="39">
        <f t="shared" si="6"/>
        <v>46091</v>
      </c>
      <c r="U31" s="39">
        <f t="shared" si="6"/>
        <v>46092</v>
      </c>
      <c r="V31" s="39">
        <f t="shared" si="6"/>
        <v>46093</v>
      </c>
      <c r="W31" s="39">
        <f t="shared" si="6"/>
        <v>46094</v>
      </c>
      <c r="X31" s="39">
        <f t="shared" si="6"/>
        <v>46095</v>
      </c>
      <c r="Y31" s="39">
        <f t="shared" si="6"/>
        <v>46096</v>
      </c>
      <c r="Z31" s="39">
        <f t="shared" si="6"/>
        <v>46097</v>
      </c>
      <c r="AA31" s="39">
        <f t="shared" si="6"/>
        <v>46098</v>
      </c>
      <c r="AB31" s="39">
        <f t="shared" si="6"/>
        <v>46099</v>
      </c>
      <c r="AC31" s="39">
        <f t="shared" si="6"/>
        <v>46100</v>
      </c>
      <c r="AD31" s="39">
        <f t="shared" si="6"/>
        <v>46101</v>
      </c>
      <c r="AE31" s="39" t="str">
        <f t="shared" si="6"/>
        <v/>
      </c>
      <c r="AF31" s="39" t="str">
        <f t="shared" si="6"/>
        <v/>
      </c>
      <c r="AG31" s="40" t="str">
        <f t="shared" si="6"/>
        <v/>
      </c>
      <c r="AH31" s="19"/>
      <c r="AI31" s="20"/>
      <c r="AJ31" s="20"/>
      <c r="AK31" s="20"/>
      <c r="AL31" s="20"/>
      <c r="AM31" s="20"/>
      <c r="AN31" s="20"/>
      <c r="AO31" s="20"/>
      <c r="AP31" s="20"/>
      <c r="AQ31" s="20"/>
      <c r="AR31" s="20"/>
      <c r="AS31" s="20"/>
      <c r="AT31" s="20"/>
      <c r="AU31" s="20"/>
      <c r="AV31" s="20"/>
    </row>
    <row r="32" spans="1:48" ht="18" customHeight="1">
      <c r="A32" s="411" t="s">
        <v>247</v>
      </c>
      <c r="B32" s="41"/>
      <c r="C32" s="412"/>
      <c r="D32" s="399"/>
      <c r="E32" s="399"/>
      <c r="F32" s="399" t="s">
        <v>216</v>
      </c>
      <c r="G32" s="399" t="str">
        <f t="shared" ref="G32:AF32" si="7">IF(G$31="","",IF(G$31=$K$150,"ハローワーク来所日①",""))</f>
        <v>ハローワーク来所日①</v>
      </c>
      <c r="H32" s="456" t="s">
        <v>216</v>
      </c>
      <c r="I32" s="399" t="s">
        <v>219</v>
      </c>
      <c r="J32" s="399"/>
      <c r="K32" s="399" t="str">
        <f t="shared" si="7"/>
        <v/>
      </c>
      <c r="L32" s="399" t="s">
        <v>219</v>
      </c>
      <c r="M32" s="399"/>
      <c r="N32" s="399" t="s">
        <v>219</v>
      </c>
      <c r="O32" s="399" t="s">
        <v>315</v>
      </c>
      <c r="P32" s="399" t="s">
        <v>315</v>
      </c>
      <c r="Q32" s="399"/>
      <c r="R32" s="399" t="str">
        <f t="shared" si="7"/>
        <v/>
      </c>
      <c r="S32" s="399" t="s">
        <v>315</v>
      </c>
      <c r="T32" s="399" t="s">
        <v>219</v>
      </c>
      <c r="U32" s="399" t="s">
        <v>219</v>
      </c>
      <c r="V32" s="399" t="s">
        <v>315</v>
      </c>
      <c r="W32" s="399" t="s">
        <v>315</v>
      </c>
      <c r="X32" s="399"/>
      <c r="Y32" s="399" t="str">
        <f t="shared" si="7"/>
        <v/>
      </c>
      <c r="Z32" s="399" t="s">
        <v>219</v>
      </c>
      <c r="AA32" s="399" t="s">
        <v>315</v>
      </c>
      <c r="AB32" s="399" t="s">
        <v>315</v>
      </c>
      <c r="AC32" s="399" t="s">
        <v>219</v>
      </c>
      <c r="AD32" s="399"/>
      <c r="AE32" s="399"/>
      <c r="AF32" s="399" t="str">
        <f t="shared" si="7"/>
        <v/>
      </c>
      <c r="AG32" s="402"/>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57"/>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57"/>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57"/>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57"/>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57"/>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57"/>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57"/>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57"/>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57"/>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57"/>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58"/>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t="s">
        <v>64</v>
      </c>
      <c r="I45" s="49"/>
      <c r="J45" s="44"/>
      <c r="K45" s="44"/>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[7]機構処理!BI77</f>
        <v/>
      </c>
      <c r="AJ46" s="418"/>
      <c r="AK46" s="70"/>
      <c r="AL46" s="70"/>
      <c r="AM46" s="70"/>
      <c r="AN46" s="70"/>
      <c r="AO46" s="70"/>
      <c r="AP46" s="20"/>
      <c r="AQ46" s="20"/>
      <c r="AR46" s="20"/>
      <c r="AS46" s="20"/>
      <c r="AT46" s="20"/>
      <c r="AU46" s="20"/>
      <c r="AV46" s="20"/>
    </row>
    <row r="47" spans="1:48" ht="18" customHeight="1">
      <c r="A47" s="35"/>
      <c r="B47" s="407" t="s">
        <v>66</v>
      </c>
      <c r="C47" s="56"/>
      <c r="D47" s="57"/>
      <c r="E47" s="57"/>
      <c r="F47" s="57">
        <v>6</v>
      </c>
      <c r="G47" s="57"/>
      <c r="H47" s="57">
        <v>6</v>
      </c>
      <c r="I47" s="57">
        <v>6</v>
      </c>
      <c r="J47" s="57"/>
      <c r="K47" s="57"/>
      <c r="L47" s="57">
        <v>6</v>
      </c>
      <c r="M47" s="57"/>
      <c r="N47" s="57">
        <v>6</v>
      </c>
      <c r="O47" s="57">
        <v>6</v>
      </c>
      <c r="P47" s="57">
        <v>6</v>
      </c>
      <c r="Q47" s="57"/>
      <c r="R47" s="57"/>
      <c r="S47" s="57">
        <v>6</v>
      </c>
      <c r="T47" s="57">
        <v>6</v>
      </c>
      <c r="U47" s="57">
        <v>6</v>
      </c>
      <c r="V47" s="57">
        <v>6</v>
      </c>
      <c r="W47" s="57">
        <v>6</v>
      </c>
      <c r="X47" s="57"/>
      <c r="Y47" s="57"/>
      <c r="Z47" s="57">
        <v>6</v>
      </c>
      <c r="AA47" s="57">
        <v>6</v>
      </c>
      <c r="AB47" s="57">
        <v>6</v>
      </c>
      <c r="AC47" s="57">
        <v>6</v>
      </c>
      <c r="AD47" s="57"/>
      <c r="AE47" s="57"/>
      <c r="AF47" s="57"/>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IF(C29="","",[7]機構処理!BF35)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46102</v>
      </c>
      <c r="D51" s="33">
        <f t="shared" ref="D51:AD51" si="9">IF(OR(C51="",C50="修了日"),"",C51+1)</f>
        <v>46103</v>
      </c>
      <c r="E51" s="33">
        <f t="shared" si="9"/>
        <v>46104</v>
      </c>
      <c r="F51" s="33">
        <f t="shared" si="9"/>
        <v>46105</v>
      </c>
      <c r="G51" s="33">
        <f t="shared" si="9"/>
        <v>46106</v>
      </c>
      <c r="H51" s="33">
        <f t="shared" si="9"/>
        <v>46107</v>
      </c>
      <c r="I51" s="33">
        <f t="shared" si="9"/>
        <v>46108</v>
      </c>
      <c r="J51" s="33">
        <f t="shared" si="9"/>
        <v>46109</v>
      </c>
      <c r="K51" s="33">
        <f t="shared" si="9"/>
        <v>46110</v>
      </c>
      <c r="L51" s="33">
        <f t="shared" si="9"/>
        <v>46111</v>
      </c>
      <c r="M51" s="33">
        <f t="shared" si="9"/>
        <v>46112</v>
      </c>
      <c r="N51" s="33">
        <f t="shared" si="9"/>
        <v>46113</v>
      </c>
      <c r="O51" s="33">
        <f t="shared" si="9"/>
        <v>46114</v>
      </c>
      <c r="P51" s="33">
        <f t="shared" si="9"/>
        <v>46115</v>
      </c>
      <c r="Q51" s="33">
        <f t="shared" si="9"/>
        <v>46116</v>
      </c>
      <c r="R51" s="33">
        <f t="shared" si="9"/>
        <v>46117</v>
      </c>
      <c r="S51" s="33">
        <f t="shared" si="9"/>
        <v>46118</v>
      </c>
      <c r="T51" s="33">
        <f t="shared" si="9"/>
        <v>46119</v>
      </c>
      <c r="U51" s="33">
        <f t="shared" si="9"/>
        <v>46120</v>
      </c>
      <c r="V51" s="33">
        <f t="shared" si="9"/>
        <v>46121</v>
      </c>
      <c r="W51" s="33">
        <f t="shared" si="9"/>
        <v>46122</v>
      </c>
      <c r="X51" s="33">
        <f t="shared" si="9"/>
        <v>46123</v>
      </c>
      <c r="Y51" s="33">
        <f t="shared" si="9"/>
        <v>46124</v>
      </c>
      <c r="Z51" s="33">
        <f t="shared" si="9"/>
        <v>46125</v>
      </c>
      <c r="AA51" s="33">
        <f t="shared" si="9"/>
        <v>46126</v>
      </c>
      <c r="AB51" s="33">
        <f t="shared" si="9"/>
        <v>46127</v>
      </c>
      <c r="AC51" s="33">
        <f t="shared" si="9"/>
        <v>46128</v>
      </c>
      <c r="AD51" s="33">
        <f t="shared" si="9"/>
        <v>46129</v>
      </c>
      <c r="AE51" s="33">
        <f>IF(OR(AD51="",AD50="修了日"),"",IF(AND(DAY(DATE(YEAR(C51),2,29))=29,MONTH(C51)=2),AD51+1,IF(MONTH(C51)=2,"",AD51+1)))</f>
        <v>46130</v>
      </c>
      <c r="AF51" s="33">
        <f>IF(OR(AE51="",AE50="修了日"),"",IF(MONTH(C51)=2,"",AE51+1))</f>
        <v>46131</v>
      </c>
      <c r="AG51" s="65">
        <f>IF(OR(AF51="",AF50="修了日"),"",IF(OR(MONTH(C51)=2,MONTH(C51)=4,MONTH(C51)=6,MONTH(C51)=9,MONTH(C51)=11),"",AF51+1))</f>
        <v>46132</v>
      </c>
      <c r="AH51" s="19"/>
      <c r="AI51" s="20"/>
      <c r="AJ51" s="20"/>
      <c r="AK51" s="20"/>
      <c r="AL51" s="20"/>
      <c r="AM51" s="20"/>
      <c r="AN51" s="20"/>
      <c r="AO51" s="20"/>
      <c r="AP51" s="20"/>
      <c r="AQ51" s="20"/>
      <c r="AR51" s="20"/>
      <c r="AS51" s="20"/>
      <c r="AT51" s="20"/>
      <c r="AU51" s="20"/>
      <c r="AV51" s="20"/>
    </row>
    <row r="52" spans="1:48" ht="18" customHeight="1">
      <c r="A52" s="35"/>
      <c r="B52" s="31" t="s">
        <v>52</v>
      </c>
      <c r="C52" s="67">
        <f>+C51</f>
        <v>46102</v>
      </c>
      <c r="D52" s="67">
        <f t="shared" ref="D52:AG53" si="10">IF(D51="","",+D51)</f>
        <v>46103</v>
      </c>
      <c r="E52" s="67">
        <f t="shared" si="10"/>
        <v>46104</v>
      </c>
      <c r="F52" s="67">
        <f t="shared" si="10"/>
        <v>46105</v>
      </c>
      <c r="G52" s="67">
        <f t="shared" si="10"/>
        <v>46106</v>
      </c>
      <c r="H52" s="67">
        <f t="shared" si="10"/>
        <v>46107</v>
      </c>
      <c r="I52" s="67">
        <f t="shared" si="10"/>
        <v>46108</v>
      </c>
      <c r="J52" s="67">
        <f t="shared" si="10"/>
        <v>46109</v>
      </c>
      <c r="K52" s="67">
        <f t="shared" si="10"/>
        <v>46110</v>
      </c>
      <c r="L52" s="67">
        <f t="shared" si="10"/>
        <v>46111</v>
      </c>
      <c r="M52" s="67">
        <f t="shared" si="10"/>
        <v>46112</v>
      </c>
      <c r="N52" s="67">
        <f t="shared" si="10"/>
        <v>46113</v>
      </c>
      <c r="O52" s="67">
        <f t="shared" si="10"/>
        <v>46114</v>
      </c>
      <c r="P52" s="67">
        <f t="shared" si="10"/>
        <v>46115</v>
      </c>
      <c r="Q52" s="67">
        <f t="shared" si="10"/>
        <v>46116</v>
      </c>
      <c r="R52" s="67">
        <f t="shared" si="10"/>
        <v>46117</v>
      </c>
      <c r="S52" s="67">
        <f t="shared" si="10"/>
        <v>46118</v>
      </c>
      <c r="T52" s="67">
        <f t="shared" si="10"/>
        <v>46119</v>
      </c>
      <c r="U52" s="67">
        <f t="shared" si="10"/>
        <v>46120</v>
      </c>
      <c r="V52" s="67">
        <f t="shared" si="10"/>
        <v>46121</v>
      </c>
      <c r="W52" s="67">
        <f t="shared" si="10"/>
        <v>46122</v>
      </c>
      <c r="X52" s="67">
        <f t="shared" si="10"/>
        <v>46123</v>
      </c>
      <c r="Y52" s="67">
        <f t="shared" si="10"/>
        <v>46124</v>
      </c>
      <c r="Z52" s="67">
        <f t="shared" si="10"/>
        <v>46125</v>
      </c>
      <c r="AA52" s="67">
        <f t="shared" si="10"/>
        <v>46126</v>
      </c>
      <c r="AB52" s="67">
        <f t="shared" si="10"/>
        <v>46127</v>
      </c>
      <c r="AC52" s="67">
        <f t="shared" si="10"/>
        <v>46128</v>
      </c>
      <c r="AD52" s="67">
        <f t="shared" si="10"/>
        <v>46129</v>
      </c>
      <c r="AE52" s="67">
        <f t="shared" si="10"/>
        <v>46130</v>
      </c>
      <c r="AF52" s="67">
        <f t="shared" si="10"/>
        <v>46131</v>
      </c>
      <c r="AG52" s="38">
        <f t="shared" si="10"/>
        <v>46132</v>
      </c>
      <c r="AH52" s="19"/>
      <c r="AI52" s="20"/>
      <c r="AJ52" s="20"/>
      <c r="AK52" s="20"/>
      <c r="AL52" s="20"/>
      <c r="AM52" s="20"/>
      <c r="AN52" s="20"/>
      <c r="AO52" s="20"/>
      <c r="AP52" s="20"/>
      <c r="AQ52" s="20"/>
      <c r="AR52" s="20"/>
      <c r="AS52" s="20"/>
      <c r="AT52" s="20"/>
      <c r="AU52" s="20"/>
      <c r="AV52" s="20"/>
    </row>
    <row r="53" spans="1:48" ht="18" customHeight="1">
      <c r="A53" s="35"/>
      <c r="B53" s="31" t="s">
        <v>53</v>
      </c>
      <c r="C53" s="39">
        <f>+C52</f>
        <v>46102</v>
      </c>
      <c r="D53" s="39">
        <f t="shared" si="10"/>
        <v>46103</v>
      </c>
      <c r="E53" s="39">
        <f t="shared" si="10"/>
        <v>46104</v>
      </c>
      <c r="F53" s="39">
        <f t="shared" si="10"/>
        <v>46105</v>
      </c>
      <c r="G53" s="39">
        <f t="shared" si="10"/>
        <v>46106</v>
      </c>
      <c r="H53" s="39">
        <f t="shared" si="10"/>
        <v>46107</v>
      </c>
      <c r="I53" s="39">
        <f t="shared" si="10"/>
        <v>46108</v>
      </c>
      <c r="J53" s="39">
        <f t="shared" si="10"/>
        <v>46109</v>
      </c>
      <c r="K53" s="39">
        <f t="shared" si="10"/>
        <v>46110</v>
      </c>
      <c r="L53" s="39">
        <f t="shared" si="10"/>
        <v>46111</v>
      </c>
      <c r="M53" s="39">
        <f t="shared" si="10"/>
        <v>46112</v>
      </c>
      <c r="N53" s="39">
        <f t="shared" si="10"/>
        <v>46113</v>
      </c>
      <c r="O53" s="39">
        <f t="shared" si="10"/>
        <v>46114</v>
      </c>
      <c r="P53" s="39">
        <f t="shared" si="10"/>
        <v>46115</v>
      </c>
      <c r="Q53" s="39">
        <f t="shared" si="10"/>
        <v>46116</v>
      </c>
      <c r="R53" s="39">
        <f t="shared" si="10"/>
        <v>46117</v>
      </c>
      <c r="S53" s="39">
        <f t="shared" si="10"/>
        <v>46118</v>
      </c>
      <c r="T53" s="39">
        <f t="shared" si="10"/>
        <v>46119</v>
      </c>
      <c r="U53" s="39">
        <f t="shared" si="10"/>
        <v>46120</v>
      </c>
      <c r="V53" s="39">
        <f t="shared" si="10"/>
        <v>46121</v>
      </c>
      <c r="W53" s="39">
        <f t="shared" si="10"/>
        <v>46122</v>
      </c>
      <c r="X53" s="39">
        <f t="shared" si="10"/>
        <v>46123</v>
      </c>
      <c r="Y53" s="39">
        <f t="shared" si="10"/>
        <v>46124</v>
      </c>
      <c r="Z53" s="39">
        <f t="shared" si="10"/>
        <v>46125</v>
      </c>
      <c r="AA53" s="39">
        <f t="shared" si="10"/>
        <v>46126</v>
      </c>
      <c r="AB53" s="39">
        <f t="shared" si="10"/>
        <v>46127</v>
      </c>
      <c r="AC53" s="39">
        <f t="shared" si="10"/>
        <v>46128</v>
      </c>
      <c r="AD53" s="39">
        <f t="shared" si="10"/>
        <v>46129</v>
      </c>
      <c r="AE53" s="39">
        <f t="shared" si="10"/>
        <v>46130</v>
      </c>
      <c r="AF53" s="39">
        <f t="shared" si="10"/>
        <v>46131</v>
      </c>
      <c r="AG53" s="40">
        <f t="shared" si="10"/>
        <v>46132</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G54" si="11">IF(C$53="","",IF(C$53=$K$151,"ハローワーク来所日②",""))</f>
        <v/>
      </c>
      <c r="D54" s="399"/>
      <c r="E54" s="399" t="s">
        <v>219</v>
      </c>
      <c r="F54" s="430" t="str">
        <f t="shared" si="11"/>
        <v>ハローワーク来所日②</v>
      </c>
      <c r="G54" s="399" t="s">
        <v>221</v>
      </c>
      <c r="H54" s="399" t="s">
        <v>356</v>
      </c>
      <c r="I54" s="399" t="s">
        <v>221</v>
      </c>
      <c r="J54" s="399"/>
      <c r="K54" s="399"/>
      <c r="L54" s="399" t="s">
        <v>203</v>
      </c>
      <c r="M54" s="399"/>
      <c r="N54" s="399" t="s">
        <v>204</v>
      </c>
      <c r="O54" s="399" t="s">
        <v>225</v>
      </c>
      <c r="P54" s="399" t="s">
        <v>225</v>
      </c>
      <c r="Q54" s="399" t="s">
        <v>67</v>
      </c>
      <c r="R54" s="399"/>
      <c r="S54" s="399"/>
      <c r="T54" s="399" t="s">
        <v>220</v>
      </c>
      <c r="U54" s="399"/>
      <c r="V54" s="399" t="s">
        <v>283</v>
      </c>
      <c r="W54" s="399" t="s">
        <v>283</v>
      </c>
      <c r="X54" s="399" t="s">
        <v>67</v>
      </c>
      <c r="Y54" s="399"/>
      <c r="Z54" s="399" t="s">
        <v>283</v>
      </c>
      <c r="AA54" s="399"/>
      <c r="AB54" s="399" t="s">
        <v>220</v>
      </c>
      <c r="AC54" s="399" t="s">
        <v>283</v>
      </c>
      <c r="AD54" s="399" t="s">
        <v>283</v>
      </c>
      <c r="AE54" s="399" t="str">
        <f t="shared" si="11"/>
        <v/>
      </c>
      <c r="AF54" s="399" t="str">
        <f t="shared" si="11"/>
        <v/>
      </c>
      <c r="AG54" s="402" t="str">
        <f t="shared" si="11"/>
        <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31"/>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31"/>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31"/>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31"/>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31"/>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31"/>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31"/>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31"/>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31"/>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31"/>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32"/>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4"/>
      <c r="P66" s="44"/>
      <c r="Q66" s="45"/>
      <c r="R66" s="45"/>
      <c r="S66" s="45"/>
      <c r="T66" s="44"/>
      <c r="U66" s="45"/>
      <c r="V66" s="44"/>
      <c r="W66" s="44"/>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t="s">
        <v>64</v>
      </c>
      <c r="F67" s="44"/>
      <c r="G67" s="44"/>
      <c r="H67" s="49"/>
      <c r="I67" s="49"/>
      <c r="J67" s="44"/>
      <c r="K67" s="44"/>
      <c r="L67" s="44"/>
      <c r="M67" s="44"/>
      <c r="N67" s="44"/>
      <c r="O67" s="44"/>
      <c r="P67" s="44"/>
      <c r="Q67" s="44"/>
      <c r="R67" s="44"/>
      <c r="S67" s="44"/>
      <c r="T67" s="44"/>
      <c r="U67" s="49"/>
      <c r="V67" s="44"/>
      <c r="W67" s="44"/>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3"/>
      <c r="P68" s="53"/>
      <c r="Q68" s="53"/>
      <c r="R68" s="53"/>
      <c r="S68" s="53"/>
      <c r="T68" s="53"/>
      <c r="U68" s="54"/>
      <c r="V68" s="53"/>
      <c r="W68" s="53"/>
      <c r="X68" s="53"/>
      <c r="Y68" s="53"/>
      <c r="Z68" s="53"/>
      <c r="AA68" s="53"/>
      <c r="AB68" s="54"/>
      <c r="AC68" s="54"/>
      <c r="AD68" s="53"/>
      <c r="AE68" s="53"/>
      <c r="AF68" s="53"/>
      <c r="AG68" s="71"/>
      <c r="AH68" s="132" t="str">
        <f>IF(AI68="","","←")</f>
        <v/>
      </c>
      <c r="AI68" s="416" t="str">
        <f>[7]機構処理!BI81</f>
        <v/>
      </c>
      <c r="AJ68" s="416"/>
      <c r="AK68" s="72"/>
      <c r="AL68" s="70"/>
      <c r="AM68" s="72"/>
      <c r="AN68" s="72"/>
      <c r="AO68" s="72"/>
      <c r="AP68" s="20"/>
      <c r="AQ68" s="20"/>
      <c r="AR68" s="20"/>
      <c r="AS68" s="20"/>
      <c r="AT68" s="20"/>
      <c r="AU68" s="20"/>
      <c r="AV68" s="20"/>
    </row>
    <row r="69" spans="1:48" ht="18" customHeight="1">
      <c r="A69" s="35"/>
      <c r="B69" s="407" t="s">
        <v>66</v>
      </c>
      <c r="C69" s="56"/>
      <c r="D69" s="57"/>
      <c r="E69" s="57">
        <v>6</v>
      </c>
      <c r="F69" s="57"/>
      <c r="G69" s="57">
        <v>6</v>
      </c>
      <c r="H69" s="57">
        <v>6</v>
      </c>
      <c r="I69" s="57">
        <v>6</v>
      </c>
      <c r="J69" s="57"/>
      <c r="K69" s="57"/>
      <c r="L69" s="57">
        <v>6</v>
      </c>
      <c r="M69" s="57"/>
      <c r="N69" s="57">
        <v>6</v>
      </c>
      <c r="O69" s="57">
        <v>6</v>
      </c>
      <c r="P69" s="57">
        <v>6</v>
      </c>
      <c r="Q69" s="57">
        <v>0</v>
      </c>
      <c r="R69" s="57"/>
      <c r="S69" s="57"/>
      <c r="T69" s="57">
        <v>6</v>
      </c>
      <c r="U69" s="57"/>
      <c r="V69" s="57">
        <v>6</v>
      </c>
      <c r="W69" s="57">
        <v>6</v>
      </c>
      <c r="X69" s="57">
        <v>0</v>
      </c>
      <c r="Y69" s="57"/>
      <c r="Z69" s="57">
        <v>6</v>
      </c>
      <c r="AA69" s="57"/>
      <c r="AB69" s="57">
        <v>6</v>
      </c>
      <c r="AC69" s="57">
        <v>6</v>
      </c>
      <c r="AD69" s="57">
        <v>6</v>
      </c>
      <c r="AE69" s="57"/>
      <c r="AF69" s="57"/>
      <c r="AG69" s="73"/>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IF(C51="","",[7]機構処理!BF41)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46133</v>
      </c>
      <c r="D73" s="33">
        <f t="shared" ref="D73:AD73" si="13">IF(OR(C73="",C72="修了日"),"",C73+1)</f>
        <v>46134</v>
      </c>
      <c r="E73" s="33">
        <f t="shared" si="13"/>
        <v>46135</v>
      </c>
      <c r="F73" s="33">
        <f t="shared" si="13"/>
        <v>46136</v>
      </c>
      <c r="G73" s="33">
        <f t="shared" si="13"/>
        <v>46137</v>
      </c>
      <c r="H73" s="33">
        <f t="shared" si="13"/>
        <v>46138</v>
      </c>
      <c r="I73" s="33">
        <f t="shared" si="13"/>
        <v>46139</v>
      </c>
      <c r="J73" s="33">
        <f t="shared" si="13"/>
        <v>46140</v>
      </c>
      <c r="K73" s="33">
        <f t="shared" si="13"/>
        <v>46141</v>
      </c>
      <c r="L73" s="33">
        <f t="shared" si="13"/>
        <v>46142</v>
      </c>
      <c r="M73" s="33">
        <f t="shared" si="13"/>
        <v>46143</v>
      </c>
      <c r="N73" s="33">
        <f t="shared" si="13"/>
        <v>46144</v>
      </c>
      <c r="O73" s="33">
        <f t="shared" si="13"/>
        <v>46145</v>
      </c>
      <c r="P73" s="33">
        <f t="shared" si="13"/>
        <v>46146</v>
      </c>
      <c r="Q73" s="33">
        <f t="shared" si="13"/>
        <v>46147</v>
      </c>
      <c r="R73" s="33">
        <f t="shared" si="13"/>
        <v>46148</v>
      </c>
      <c r="S73" s="33">
        <f t="shared" si="13"/>
        <v>46149</v>
      </c>
      <c r="T73" s="33">
        <f t="shared" si="13"/>
        <v>46150</v>
      </c>
      <c r="U73" s="33">
        <f t="shared" si="13"/>
        <v>46151</v>
      </c>
      <c r="V73" s="33">
        <f t="shared" si="13"/>
        <v>46152</v>
      </c>
      <c r="W73" s="33">
        <f t="shared" si="13"/>
        <v>46153</v>
      </c>
      <c r="X73" s="33">
        <f t="shared" si="13"/>
        <v>46154</v>
      </c>
      <c r="Y73" s="33">
        <f t="shared" si="13"/>
        <v>46155</v>
      </c>
      <c r="Z73" s="33">
        <f t="shared" si="13"/>
        <v>46156</v>
      </c>
      <c r="AA73" s="33">
        <f t="shared" si="13"/>
        <v>46157</v>
      </c>
      <c r="AB73" s="33">
        <f t="shared" si="13"/>
        <v>46158</v>
      </c>
      <c r="AC73" s="33">
        <f t="shared" si="13"/>
        <v>46159</v>
      </c>
      <c r="AD73" s="33">
        <f t="shared" si="13"/>
        <v>46160</v>
      </c>
      <c r="AE73" s="33">
        <f>IF(OR(AD73="",AD72="修了日"),"",IF(AND(DAY(DATE(YEAR(C73),2,29))=29,MONTH(C73)=2),AD73+1,IF(MONTH(C73)=2,"",AD73+1)))</f>
        <v>46161</v>
      </c>
      <c r="AF73" s="33">
        <f>IF(OR(AE73="",AE72="修了日"),"",IF(MONTH(C73)=2,"",AE73+1))</f>
        <v>46162</v>
      </c>
      <c r="AG73" s="65" t="str">
        <f>IF(OR(AF73="",AF72="修了日"),"",IF(OR(MONTH(C73)=2,MONTH(C73)=4,MONTH(C73)=6,MONTH(C73)=9,MONTH(C73)=11),"",AF73+1))</f>
        <v/>
      </c>
      <c r="AH73" s="19"/>
      <c r="AI73" s="20"/>
      <c r="AJ73" s="20"/>
      <c r="AK73" s="20"/>
      <c r="AL73" s="20"/>
      <c r="AM73" s="20"/>
      <c r="AN73" s="20"/>
      <c r="AO73" s="20"/>
      <c r="AP73" s="20"/>
      <c r="AQ73" s="20"/>
      <c r="AR73" s="20"/>
      <c r="AS73" s="20"/>
      <c r="AT73" s="20"/>
      <c r="AU73" s="20"/>
      <c r="AV73" s="20"/>
    </row>
    <row r="74" spans="1:48" ht="18.75" customHeight="1">
      <c r="A74" s="35"/>
      <c r="B74" s="31" t="s">
        <v>52</v>
      </c>
      <c r="C74" s="67">
        <f>+C73</f>
        <v>46133</v>
      </c>
      <c r="D74" s="67">
        <f t="shared" ref="D74:AG75" si="14">IF(D73="","",+D73)</f>
        <v>46134</v>
      </c>
      <c r="E74" s="67">
        <f t="shared" si="14"/>
        <v>46135</v>
      </c>
      <c r="F74" s="67">
        <f t="shared" si="14"/>
        <v>46136</v>
      </c>
      <c r="G74" s="67">
        <f t="shared" si="14"/>
        <v>46137</v>
      </c>
      <c r="H74" s="67">
        <f t="shared" si="14"/>
        <v>46138</v>
      </c>
      <c r="I74" s="67">
        <f t="shared" si="14"/>
        <v>46139</v>
      </c>
      <c r="J74" s="67">
        <f t="shared" si="14"/>
        <v>46140</v>
      </c>
      <c r="K74" s="67">
        <f t="shared" si="14"/>
        <v>46141</v>
      </c>
      <c r="L74" s="67">
        <f t="shared" si="14"/>
        <v>46142</v>
      </c>
      <c r="M74" s="67">
        <f t="shared" si="14"/>
        <v>46143</v>
      </c>
      <c r="N74" s="67">
        <f t="shared" si="14"/>
        <v>46144</v>
      </c>
      <c r="O74" s="67">
        <f t="shared" si="14"/>
        <v>46145</v>
      </c>
      <c r="P74" s="67">
        <f t="shared" si="14"/>
        <v>46146</v>
      </c>
      <c r="Q74" s="67">
        <f t="shared" si="14"/>
        <v>46147</v>
      </c>
      <c r="R74" s="67">
        <f t="shared" si="14"/>
        <v>46148</v>
      </c>
      <c r="S74" s="67">
        <f t="shared" si="14"/>
        <v>46149</v>
      </c>
      <c r="T74" s="67">
        <f t="shared" si="14"/>
        <v>46150</v>
      </c>
      <c r="U74" s="67">
        <f t="shared" si="14"/>
        <v>46151</v>
      </c>
      <c r="V74" s="67">
        <f t="shared" si="14"/>
        <v>46152</v>
      </c>
      <c r="W74" s="67">
        <f t="shared" si="14"/>
        <v>46153</v>
      </c>
      <c r="X74" s="67">
        <f t="shared" si="14"/>
        <v>46154</v>
      </c>
      <c r="Y74" s="67">
        <f t="shared" si="14"/>
        <v>46155</v>
      </c>
      <c r="Z74" s="67">
        <f t="shared" si="14"/>
        <v>46156</v>
      </c>
      <c r="AA74" s="67">
        <f t="shared" si="14"/>
        <v>46157</v>
      </c>
      <c r="AB74" s="67">
        <f t="shared" si="14"/>
        <v>46158</v>
      </c>
      <c r="AC74" s="67">
        <f t="shared" si="14"/>
        <v>46159</v>
      </c>
      <c r="AD74" s="67">
        <f t="shared" si="14"/>
        <v>46160</v>
      </c>
      <c r="AE74" s="67">
        <f t="shared" si="14"/>
        <v>46161</v>
      </c>
      <c r="AF74" s="67">
        <f t="shared" si="14"/>
        <v>46162</v>
      </c>
      <c r="AG74" s="38" t="str">
        <f t="shared" si="14"/>
        <v/>
      </c>
      <c r="AH74" s="19"/>
      <c r="AI74" s="20"/>
      <c r="AJ74" s="20"/>
      <c r="AK74" s="20"/>
      <c r="AL74" s="20"/>
      <c r="AM74" s="20"/>
      <c r="AN74" s="20"/>
      <c r="AO74" s="20"/>
      <c r="AP74" s="20"/>
      <c r="AQ74" s="20"/>
      <c r="AR74" s="20"/>
      <c r="AS74" s="20"/>
      <c r="AT74" s="20"/>
      <c r="AU74" s="20"/>
      <c r="AV74" s="20"/>
    </row>
    <row r="75" spans="1:48" ht="18.75" customHeight="1">
      <c r="A75" s="35"/>
      <c r="B75" s="31" t="s">
        <v>53</v>
      </c>
      <c r="C75" s="39">
        <f>+C74</f>
        <v>46133</v>
      </c>
      <c r="D75" s="39">
        <f t="shared" si="14"/>
        <v>46134</v>
      </c>
      <c r="E75" s="39">
        <f t="shared" si="14"/>
        <v>46135</v>
      </c>
      <c r="F75" s="39">
        <f t="shared" si="14"/>
        <v>46136</v>
      </c>
      <c r="G75" s="39">
        <f t="shared" si="14"/>
        <v>46137</v>
      </c>
      <c r="H75" s="39">
        <f t="shared" si="14"/>
        <v>46138</v>
      </c>
      <c r="I75" s="39">
        <f t="shared" si="14"/>
        <v>46139</v>
      </c>
      <c r="J75" s="39">
        <f t="shared" si="14"/>
        <v>46140</v>
      </c>
      <c r="K75" s="39">
        <f t="shared" si="14"/>
        <v>46141</v>
      </c>
      <c r="L75" s="39">
        <f t="shared" si="14"/>
        <v>46142</v>
      </c>
      <c r="M75" s="39">
        <f t="shared" si="14"/>
        <v>46143</v>
      </c>
      <c r="N75" s="39">
        <f t="shared" si="14"/>
        <v>46144</v>
      </c>
      <c r="O75" s="39">
        <f t="shared" si="14"/>
        <v>46145</v>
      </c>
      <c r="P75" s="39">
        <f t="shared" si="14"/>
        <v>46146</v>
      </c>
      <c r="Q75" s="39">
        <f t="shared" si="14"/>
        <v>46147</v>
      </c>
      <c r="R75" s="39">
        <f t="shared" si="14"/>
        <v>46148</v>
      </c>
      <c r="S75" s="39">
        <f t="shared" si="14"/>
        <v>46149</v>
      </c>
      <c r="T75" s="39">
        <f t="shared" si="14"/>
        <v>46150</v>
      </c>
      <c r="U75" s="39">
        <f t="shared" si="14"/>
        <v>46151</v>
      </c>
      <c r="V75" s="39">
        <f t="shared" si="14"/>
        <v>46152</v>
      </c>
      <c r="W75" s="39">
        <f t="shared" si="14"/>
        <v>46153</v>
      </c>
      <c r="X75" s="39">
        <f t="shared" si="14"/>
        <v>46154</v>
      </c>
      <c r="Y75" s="39">
        <f t="shared" si="14"/>
        <v>46155</v>
      </c>
      <c r="Z75" s="39">
        <f t="shared" si="14"/>
        <v>46156</v>
      </c>
      <c r="AA75" s="39">
        <f t="shared" si="14"/>
        <v>46157</v>
      </c>
      <c r="AB75" s="39">
        <f t="shared" si="14"/>
        <v>46158</v>
      </c>
      <c r="AC75" s="39">
        <f t="shared" si="14"/>
        <v>46159</v>
      </c>
      <c r="AD75" s="39">
        <f t="shared" si="14"/>
        <v>46160</v>
      </c>
      <c r="AE75" s="39">
        <f t="shared" si="14"/>
        <v>46161</v>
      </c>
      <c r="AF75" s="39">
        <f t="shared" si="14"/>
        <v>46162</v>
      </c>
      <c r="AG75" s="40" t="str">
        <f t="shared" si="14"/>
        <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
        <v>283</v>
      </c>
      <c r="D76" s="399"/>
      <c r="E76" s="399" t="str">
        <f t="shared" ref="E76:V76" si="15">IF(E$75="","",IF(E$75=$K$152,"ハローワーク来所日③",""))</f>
        <v>ハローワーク来所日③</v>
      </c>
      <c r="F76" s="399" t="s">
        <v>283</v>
      </c>
      <c r="G76" s="399"/>
      <c r="H76" s="399" t="str">
        <f t="shared" si="15"/>
        <v/>
      </c>
      <c r="I76" s="399" t="s">
        <v>283</v>
      </c>
      <c r="J76" s="399" t="str">
        <f t="shared" si="15"/>
        <v/>
      </c>
      <c r="K76" s="399"/>
      <c r="L76" s="399" t="s">
        <v>283</v>
      </c>
      <c r="M76" s="399" t="s">
        <v>283</v>
      </c>
      <c r="N76" s="399"/>
      <c r="O76" s="399"/>
      <c r="P76" s="399"/>
      <c r="Q76" s="399"/>
      <c r="R76" s="399"/>
      <c r="S76" s="399" t="s">
        <v>220</v>
      </c>
      <c r="T76" s="399" t="s">
        <v>220</v>
      </c>
      <c r="U76" s="459"/>
      <c r="V76" s="399" t="str">
        <f t="shared" si="15"/>
        <v/>
      </c>
      <c r="W76" s="399" t="s">
        <v>220</v>
      </c>
      <c r="X76" s="399" t="s">
        <v>226</v>
      </c>
      <c r="Y76" s="399"/>
      <c r="Z76" s="399" t="s">
        <v>318</v>
      </c>
      <c r="AA76" s="399" t="s">
        <v>226</v>
      </c>
      <c r="AB76" s="399"/>
      <c r="AC76" s="399"/>
      <c r="AD76" s="399" t="s">
        <v>224</v>
      </c>
      <c r="AE76" s="399" t="s">
        <v>226</v>
      </c>
      <c r="AF76" s="399" t="s">
        <v>226</v>
      </c>
      <c r="AG76" s="402"/>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6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6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6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6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6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6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6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6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6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6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6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9"/>
      <c r="T89" s="49"/>
      <c r="U89" s="49"/>
      <c r="V89" s="49"/>
      <c r="W89" s="49"/>
      <c r="X89" s="49"/>
      <c r="Y89" s="44"/>
      <c r="Z89" s="44"/>
      <c r="AA89" s="44"/>
      <c r="AB89" s="49"/>
      <c r="AC89" s="49"/>
      <c r="AD89" s="44"/>
      <c r="AE89" s="44"/>
      <c r="AF89" s="44" t="s">
        <v>64</v>
      </c>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4"/>
      <c r="T90" s="54"/>
      <c r="U90" s="54"/>
      <c r="V90" s="54"/>
      <c r="W90" s="54"/>
      <c r="X90" s="54"/>
      <c r="Y90" s="53"/>
      <c r="Z90" s="53"/>
      <c r="AA90" s="53"/>
      <c r="AB90" s="54"/>
      <c r="AC90" s="54"/>
      <c r="AD90" s="53"/>
      <c r="AE90" s="53"/>
      <c r="AF90" s="53"/>
      <c r="AG90" s="71"/>
      <c r="AH90" s="132" t="str">
        <f>IF(AI90="","","←")</f>
        <v/>
      </c>
      <c r="AI90" s="417" t="str">
        <f>[7]機構処理!BI85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c r="H91" s="57"/>
      <c r="I91" s="57">
        <v>6</v>
      </c>
      <c r="J91" s="57"/>
      <c r="K91" s="57"/>
      <c r="L91" s="57">
        <v>6</v>
      </c>
      <c r="M91" s="57">
        <v>6</v>
      </c>
      <c r="N91" s="57"/>
      <c r="O91" s="57"/>
      <c r="P91" s="57"/>
      <c r="Q91" s="57"/>
      <c r="R91" s="57"/>
      <c r="S91" s="57">
        <v>6</v>
      </c>
      <c r="T91" s="57">
        <v>6</v>
      </c>
      <c r="U91" s="57"/>
      <c r="V91" s="57"/>
      <c r="W91" s="57">
        <v>6</v>
      </c>
      <c r="X91" s="57">
        <v>6</v>
      </c>
      <c r="Y91" s="57"/>
      <c r="Z91" s="57">
        <v>6</v>
      </c>
      <c r="AA91" s="57">
        <v>6</v>
      </c>
      <c r="AB91" s="57"/>
      <c r="AC91" s="57"/>
      <c r="AD91" s="57">
        <v>6</v>
      </c>
      <c r="AE91" s="57">
        <v>6</v>
      </c>
      <c r="AF91" s="57">
        <v>6</v>
      </c>
      <c r="AG91" s="73"/>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IF(C73="","",[7]機構処理!BF47)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46163</v>
      </c>
      <c r="D95" s="33">
        <f t="shared" ref="D95:AD95" si="17">IF(OR(C95="",C94="修了日"),"",C95+1)</f>
        <v>46164</v>
      </c>
      <c r="E95" s="33">
        <f t="shared" si="17"/>
        <v>46165</v>
      </c>
      <c r="F95" s="33">
        <f t="shared" si="17"/>
        <v>46166</v>
      </c>
      <c r="G95" s="33">
        <f t="shared" si="17"/>
        <v>46167</v>
      </c>
      <c r="H95" s="33">
        <f t="shared" si="17"/>
        <v>46168</v>
      </c>
      <c r="I95" s="33">
        <f t="shared" si="17"/>
        <v>46169</v>
      </c>
      <c r="J95" s="33">
        <f t="shared" si="17"/>
        <v>46170</v>
      </c>
      <c r="K95" s="33">
        <f t="shared" si="17"/>
        <v>46171</v>
      </c>
      <c r="L95" s="33">
        <f t="shared" si="17"/>
        <v>46172</v>
      </c>
      <c r="M95" s="33">
        <f t="shared" si="17"/>
        <v>46173</v>
      </c>
      <c r="N95" s="33">
        <f t="shared" si="17"/>
        <v>46174</v>
      </c>
      <c r="O95" s="33">
        <f t="shared" si="17"/>
        <v>46175</v>
      </c>
      <c r="P95" s="33">
        <f t="shared" si="17"/>
        <v>46176</v>
      </c>
      <c r="Q95" s="33">
        <f t="shared" si="17"/>
        <v>46177</v>
      </c>
      <c r="R95" s="33">
        <f t="shared" si="17"/>
        <v>46178</v>
      </c>
      <c r="S95" s="33">
        <f t="shared" si="17"/>
        <v>46179</v>
      </c>
      <c r="T95" s="33">
        <f t="shared" si="17"/>
        <v>46180</v>
      </c>
      <c r="U95" s="33">
        <f t="shared" si="17"/>
        <v>46181</v>
      </c>
      <c r="V95" s="33">
        <f t="shared" si="17"/>
        <v>46182</v>
      </c>
      <c r="W95" s="33">
        <f t="shared" si="17"/>
        <v>46183</v>
      </c>
      <c r="X95" s="33">
        <f t="shared" si="17"/>
        <v>46184</v>
      </c>
      <c r="Y95" s="33">
        <f t="shared" si="17"/>
        <v>46185</v>
      </c>
      <c r="Z95" s="33">
        <f t="shared" si="17"/>
        <v>46186</v>
      </c>
      <c r="AA95" s="33">
        <f t="shared" si="17"/>
        <v>46187</v>
      </c>
      <c r="AB95" s="33">
        <f t="shared" si="17"/>
        <v>46188</v>
      </c>
      <c r="AC95" s="33">
        <f t="shared" si="17"/>
        <v>46189</v>
      </c>
      <c r="AD95" s="33">
        <f t="shared" si="17"/>
        <v>46190</v>
      </c>
      <c r="AE95" s="33">
        <f>IF(OR(AD95="",AD94="修了日"),"",IF(AND(DAY(DATE(YEAR(C95),2,29))=29,MONTH(C95)=2),AD95+1,IF(MONTH(C95)=2,"",AD95+1)))</f>
        <v>46191</v>
      </c>
      <c r="AF95" s="33">
        <f>IF(OR(AE95="",AE94="修了日"),"",IF(MONTH(C95)=2,"",AE95+1))</f>
        <v>46192</v>
      </c>
      <c r="AG95" s="65">
        <f>IF(OR(AF95="",AF94="修了日"),"",IF(OR(MONTH(C95)=2,MONTH(C95)=4,MONTH(C95)=6,MONTH(C95)=9,MONTH(C95)=11),"",AF95+1))</f>
        <v>46193</v>
      </c>
      <c r="AH95" s="19"/>
      <c r="AI95" s="20"/>
      <c r="AJ95" s="20"/>
      <c r="AK95" s="20"/>
      <c r="AL95" s="20"/>
      <c r="AM95" s="20"/>
      <c r="AN95" s="20"/>
      <c r="AO95" s="20"/>
      <c r="AP95" s="20"/>
      <c r="AQ95" s="20"/>
      <c r="AR95" s="20"/>
      <c r="AS95" s="20"/>
      <c r="AT95" s="20"/>
      <c r="AU95" s="20"/>
      <c r="AV95" s="20"/>
    </row>
    <row r="96" spans="1:48" ht="18" customHeight="1">
      <c r="A96" s="35"/>
      <c r="B96" s="79" t="s">
        <v>52</v>
      </c>
      <c r="C96" s="36">
        <f>+C95</f>
        <v>46163</v>
      </c>
      <c r="D96" s="67">
        <f t="shared" ref="D96:AG97" si="18">IF(D95="","",+D95)</f>
        <v>46164</v>
      </c>
      <c r="E96" s="67">
        <f t="shared" si="18"/>
        <v>46165</v>
      </c>
      <c r="F96" s="67">
        <f t="shared" si="18"/>
        <v>46166</v>
      </c>
      <c r="G96" s="67">
        <f t="shared" si="18"/>
        <v>46167</v>
      </c>
      <c r="H96" s="67">
        <f t="shared" si="18"/>
        <v>46168</v>
      </c>
      <c r="I96" s="67">
        <f t="shared" si="18"/>
        <v>46169</v>
      </c>
      <c r="J96" s="67">
        <f t="shared" si="18"/>
        <v>46170</v>
      </c>
      <c r="K96" s="67">
        <f t="shared" si="18"/>
        <v>46171</v>
      </c>
      <c r="L96" s="67">
        <f t="shared" si="18"/>
        <v>46172</v>
      </c>
      <c r="M96" s="67">
        <f t="shared" si="18"/>
        <v>46173</v>
      </c>
      <c r="N96" s="67">
        <f t="shared" si="18"/>
        <v>46174</v>
      </c>
      <c r="O96" s="67">
        <f t="shared" si="18"/>
        <v>46175</v>
      </c>
      <c r="P96" s="67">
        <f t="shared" si="18"/>
        <v>46176</v>
      </c>
      <c r="Q96" s="67">
        <f t="shared" si="18"/>
        <v>46177</v>
      </c>
      <c r="R96" s="67">
        <f t="shared" si="18"/>
        <v>46178</v>
      </c>
      <c r="S96" s="67">
        <f t="shared" si="18"/>
        <v>46179</v>
      </c>
      <c r="T96" s="67">
        <f t="shared" si="18"/>
        <v>46180</v>
      </c>
      <c r="U96" s="67">
        <f t="shared" si="18"/>
        <v>46181</v>
      </c>
      <c r="V96" s="67">
        <f t="shared" si="18"/>
        <v>46182</v>
      </c>
      <c r="W96" s="67">
        <f t="shared" si="18"/>
        <v>46183</v>
      </c>
      <c r="X96" s="67">
        <f t="shared" si="18"/>
        <v>46184</v>
      </c>
      <c r="Y96" s="67">
        <f t="shared" si="18"/>
        <v>46185</v>
      </c>
      <c r="Z96" s="67">
        <f t="shared" si="18"/>
        <v>46186</v>
      </c>
      <c r="AA96" s="67">
        <f t="shared" si="18"/>
        <v>46187</v>
      </c>
      <c r="AB96" s="67">
        <f t="shared" si="18"/>
        <v>46188</v>
      </c>
      <c r="AC96" s="67">
        <f t="shared" si="18"/>
        <v>46189</v>
      </c>
      <c r="AD96" s="67">
        <f t="shared" si="18"/>
        <v>46190</v>
      </c>
      <c r="AE96" s="67">
        <f t="shared" si="18"/>
        <v>46191</v>
      </c>
      <c r="AF96" s="67">
        <f t="shared" si="18"/>
        <v>46192</v>
      </c>
      <c r="AG96" s="38">
        <f t="shared" si="18"/>
        <v>46193</v>
      </c>
      <c r="AH96" s="19"/>
      <c r="AI96" s="20"/>
      <c r="AJ96" s="20"/>
      <c r="AK96" s="20"/>
      <c r="AL96" s="20"/>
      <c r="AM96" s="20"/>
      <c r="AN96" s="20"/>
      <c r="AO96" s="20"/>
      <c r="AP96" s="20"/>
      <c r="AQ96" s="20"/>
      <c r="AR96" s="20"/>
      <c r="AS96" s="20"/>
      <c r="AT96" s="20"/>
      <c r="AU96" s="20"/>
      <c r="AV96" s="20"/>
    </row>
    <row r="97" spans="1:48" ht="18" customHeight="1">
      <c r="A97" s="35"/>
      <c r="B97" s="80" t="s">
        <v>53</v>
      </c>
      <c r="C97" s="81">
        <f>+C96</f>
        <v>46163</v>
      </c>
      <c r="D97" s="39">
        <f t="shared" si="18"/>
        <v>46164</v>
      </c>
      <c r="E97" s="39">
        <f t="shared" si="18"/>
        <v>46165</v>
      </c>
      <c r="F97" s="39">
        <f t="shared" si="18"/>
        <v>46166</v>
      </c>
      <c r="G97" s="39">
        <f t="shared" si="18"/>
        <v>46167</v>
      </c>
      <c r="H97" s="39">
        <f t="shared" si="18"/>
        <v>46168</v>
      </c>
      <c r="I97" s="39">
        <f t="shared" si="18"/>
        <v>46169</v>
      </c>
      <c r="J97" s="39">
        <f t="shared" si="18"/>
        <v>46170</v>
      </c>
      <c r="K97" s="39">
        <f t="shared" si="18"/>
        <v>46171</v>
      </c>
      <c r="L97" s="39">
        <f t="shared" si="18"/>
        <v>46172</v>
      </c>
      <c r="M97" s="39">
        <f t="shared" si="18"/>
        <v>46173</v>
      </c>
      <c r="N97" s="39">
        <f t="shared" si="18"/>
        <v>46174</v>
      </c>
      <c r="O97" s="39">
        <f t="shared" si="18"/>
        <v>46175</v>
      </c>
      <c r="P97" s="39">
        <f t="shared" si="18"/>
        <v>46176</v>
      </c>
      <c r="Q97" s="39">
        <f t="shared" si="18"/>
        <v>46177</v>
      </c>
      <c r="R97" s="39">
        <f t="shared" si="18"/>
        <v>46178</v>
      </c>
      <c r="S97" s="39">
        <f t="shared" si="18"/>
        <v>46179</v>
      </c>
      <c r="T97" s="39">
        <f t="shared" si="18"/>
        <v>46180</v>
      </c>
      <c r="U97" s="39">
        <f t="shared" si="18"/>
        <v>46181</v>
      </c>
      <c r="V97" s="39">
        <f t="shared" si="18"/>
        <v>46182</v>
      </c>
      <c r="W97" s="39">
        <f t="shared" si="18"/>
        <v>46183</v>
      </c>
      <c r="X97" s="39">
        <f t="shared" si="18"/>
        <v>46184</v>
      </c>
      <c r="Y97" s="39">
        <f t="shared" si="18"/>
        <v>46185</v>
      </c>
      <c r="Z97" s="39">
        <f t="shared" si="18"/>
        <v>46186</v>
      </c>
      <c r="AA97" s="39">
        <f t="shared" si="18"/>
        <v>46187</v>
      </c>
      <c r="AB97" s="39">
        <f t="shared" si="18"/>
        <v>46188</v>
      </c>
      <c r="AC97" s="39">
        <f t="shared" si="18"/>
        <v>46189</v>
      </c>
      <c r="AD97" s="39">
        <f t="shared" si="18"/>
        <v>46190</v>
      </c>
      <c r="AE97" s="39">
        <f t="shared" si="18"/>
        <v>46191</v>
      </c>
      <c r="AF97" s="39">
        <f t="shared" si="18"/>
        <v>46192</v>
      </c>
      <c r="AG97" s="40">
        <f t="shared" si="18"/>
        <v>46193</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23" t="s">
        <v>204</v>
      </c>
      <c r="D98" s="399" t="s">
        <v>284</v>
      </c>
      <c r="E98" s="399" t="str">
        <f t="shared" ref="E98:AG98" si="19">IF(E$97="","",IF(E$97=$K$153,"ハローワーク来所日④",""))</f>
        <v/>
      </c>
      <c r="F98" s="399" t="str">
        <f t="shared" si="19"/>
        <v/>
      </c>
      <c r="G98" s="399" t="str">
        <f t="shared" si="19"/>
        <v>ハローワーク来所日④</v>
      </c>
      <c r="H98" s="456" t="s">
        <v>284</v>
      </c>
      <c r="I98" s="399"/>
      <c r="J98" s="399" t="s">
        <v>317</v>
      </c>
      <c r="K98" s="399" t="s">
        <v>284</v>
      </c>
      <c r="L98" s="399" t="str">
        <f t="shared" si="19"/>
        <v/>
      </c>
      <c r="M98" s="399" t="str">
        <f t="shared" si="19"/>
        <v/>
      </c>
      <c r="N98" s="399" t="s">
        <v>284</v>
      </c>
      <c r="O98" s="399" t="str">
        <f t="shared" si="19"/>
        <v/>
      </c>
      <c r="P98" s="399" t="str">
        <f t="shared" si="19"/>
        <v/>
      </c>
      <c r="Q98" s="399" t="s">
        <v>284</v>
      </c>
      <c r="R98" s="399" t="s">
        <v>284</v>
      </c>
      <c r="S98" s="399" t="str">
        <f t="shared" si="19"/>
        <v/>
      </c>
      <c r="T98" s="399" t="str">
        <f t="shared" si="19"/>
        <v/>
      </c>
      <c r="U98" s="399" t="s">
        <v>284</v>
      </c>
      <c r="V98" s="399"/>
      <c r="W98" s="399"/>
      <c r="X98" s="399" t="s">
        <v>284</v>
      </c>
      <c r="Y98" s="399" t="s">
        <v>286</v>
      </c>
      <c r="Z98" s="399" t="str">
        <f t="shared" si="19"/>
        <v/>
      </c>
      <c r="AA98" s="399" t="str">
        <f t="shared" si="19"/>
        <v/>
      </c>
      <c r="AB98" s="399" t="s">
        <v>285</v>
      </c>
      <c r="AC98" s="399"/>
      <c r="AD98" s="399"/>
      <c r="AE98" s="399" t="s">
        <v>285</v>
      </c>
      <c r="AF98" s="399" t="s">
        <v>285</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24"/>
      <c r="D99" s="400"/>
      <c r="E99" s="400"/>
      <c r="F99" s="400"/>
      <c r="G99" s="400"/>
      <c r="H99" s="457"/>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24"/>
      <c r="D100" s="400"/>
      <c r="E100" s="400"/>
      <c r="F100" s="400"/>
      <c r="G100" s="400"/>
      <c r="H100" s="457"/>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24"/>
      <c r="D101" s="400"/>
      <c r="E101" s="400"/>
      <c r="F101" s="400"/>
      <c r="G101" s="400"/>
      <c r="H101" s="457"/>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24"/>
      <c r="D102" s="400"/>
      <c r="E102" s="400"/>
      <c r="F102" s="400"/>
      <c r="G102" s="400"/>
      <c r="H102" s="457"/>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24"/>
      <c r="D103" s="400"/>
      <c r="E103" s="400"/>
      <c r="F103" s="400"/>
      <c r="G103" s="400"/>
      <c r="H103" s="457"/>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24"/>
      <c r="D104" s="400"/>
      <c r="E104" s="400"/>
      <c r="F104" s="400"/>
      <c r="G104" s="400"/>
      <c r="H104" s="457"/>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24"/>
      <c r="D105" s="400"/>
      <c r="E105" s="400"/>
      <c r="F105" s="400"/>
      <c r="G105" s="400"/>
      <c r="H105" s="457"/>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24"/>
      <c r="D106" s="400"/>
      <c r="E106" s="400"/>
      <c r="F106" s="400"/>
      <c r="G106" s="400"/>
      <c r="H106" s="457"/>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24"/>
      <c r="D107" s="400"/>
      <c r="E107" s="400"/>
      <c r="F107" s="400"/>
      <c r="G107" s="400"/>
      <c r="H107" s="457"/>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24"/>
      <c r="D108" s="400"/>
      <c r="E108" s="400"/>
      <c r="F108" s="400"/>
      <c r="G108" s="400"/>
      <c r="H108" s="457"/>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29"/>
      <c r="D109" s="401"/>
      <c r="E109" s="401"/>
      <c r="F109" s="401"/>
      <c r="G109" s="401"/>
      <c r="H109" s="458"/>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4"/>
      <c r="I110" s="44"/>
      <c r="J110" s="44"/>
      <c r="K110" s="44"/>
      <c r="L110" s="44"/>
      <c r="M110" s="44"/>
      <c r="N110" s="44"/>
      <c r="O110" s="49"/>
      <c r="P110" s="49"/>
      <c r="Q110" s="44"/>
      <c r="R110" s="44"/>
      <c r="S110" s="44"/>
      <c r="T110" s="49"/>
      <c r="U110" s="49"/>
      <c r="V110" s="49"/>
      <c r="W110" s="49"/>
      <c r="X110" s="44" t="s">
        <v>64</v>
      </c>
      <c r="Y110" s="49"/>
      <c r="Z110" s="44"/>
      <c r="AA110" s="44"/>
      <c r="AB110" s="44"/>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3"/>
      <c r="I111" s="53"/>
      <c r="J111" s="53"/>
      <c r="K111" s="53"/>
      <c r="L111" s="53"/>
      <c r="M111" s="53"/>
      <c r="N111" s="53"/>
      <c r="O111" s="54"/>
      <c r="P111" s="54"/>
      <c r="Q111" s="53"/>
      <c r="R111" s="53"/>
      <c r="S111" s="53"/>
      <c r="T111" s="54"/>
      <c r="U111" s="54"/>
      <c r="V111" s="54"/>
      <c r="W111" s="54"/>
      <c r="X111" s="53"/>
      <c r="Y111" s="54"/>
      <c r="Z111" s="53"/>
      <c r="AA111" s="53"/>
      <c r="AB111" s="53"/>
      <c r="AC111" s="54"/>
      <c r="AD111" s="53"/>
      <c r="AE111" s="53"/>
      <c r="AF111" s="53"/>
      <c r="AG111" s="71"/>
      <c r="AH111" s="132" t="str">
        <f>IF(AI111="","","←")</f>
        <v/>
      </c>
      <c r="AI111" s="416" t="str">
        <f>[7]機構処理!BI89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v>6</v>
      </c>
      <c r="D112" s="57">
        <v>6</v>
      </c>
      <c r="E112" s="57"/>
      <c r="F112" s="57"/>
      <c r="G112" s="57"/>
      <c r="H112" s="57">
        <v>6</v>
      </c>
      <c r="I112" s="57"/>
      <c r="J112" s="57">
        <v>6</v>
      </c>
      <c r="K112" s="57">
        <v>6</v>
      </c>
      <c r="L112" s="57"/>
      <c r="M112" s="57"/>
      <c r="N112" s="57">
        <v>6</v>
      </c>
      <c r="O112" s="57"/>
      <c r="P112" s="57"/>
      <c r="Q112" s="57">
        <v>6</v>
      </c>
      <c r="R112" s="57">
        <v>6</v>
      </c>
      <c r="S112" s="57"/>
      <c r="T112" s="57"/>
      <c r="U112" s="57">
        <v>6</v>
      </c>
      <c r="V112" s="57"/>
      <c r="W112" s="57"/>
      <c r="X112" s="57">
        <v>6</v>
      </c>
      <c r="Y112" s="57">
        <v>6</v>
      </c>
      <c r="Z112" s="57"/>
      <c r="AA112" s="57"/>
      <c r="AB112" s="57">
        <v>6</v>
      </c>
      <c r="AC112" s="57"/>
      <c r="AD112" s="57"/>
      <c r="AE112" s="57">
        <v>6</v>
      </c>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IF(C95="","",[7]機構処理!BF53)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修了日</v>
      </c>
      <c r="AE115" s="28" t="str">
        <f t="shared" si="20"/>
        <v/>
      </c>
      <c r="AF115" s="28" t="str">
        <f t="shared" si="20"/>
        <v/>
      </c>
      <c r="AG115" s="28" t="str">
        <f t="shared" si="20"/>
        <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46194</v>
      </c>
      <c r="D116" s="33">
        <f t="shared" ref="D116:AD116" si="21">IF(OR(C116="",C115="修了日"),"",C116+1)</f>
        <v>46195</v>
      </c>
      <c r="E116" s="33">
        <f t="shared" si="21"/>
        <v>46196</v>
      </c>
      <c r="F116" s="33">
        <f t="shared" si="21"/>
        <v>46197</v>
      </c>
      <c r="G116" s="33">
        <f t="shared" si="21"/>
        <v>46198</v>
      </c>
      <c r="H116" s="33">
        <f t="shared" si="21"/>
        <v>46199</v>
      </c>
      <c r="I116" s="33">
        <f t="shared" si="21"/>
        <v>46200</v>
      </c>
      <c r="J116" s="33">
        <f t="shared" si="21"/>
        <v>46201</v>
      </c>
      <c r="K116" s="33">
        <f t="shared" si="21"/>
        <v>46202</v>
      </c>
      <c r="L116" s="33">
        <f t="shared" si="21"/>
        <v>46203</v>
      </c>
      <c r="M116" s="33">
        <f t="shared" si="21"/>
        <v>46204</v>
      </c>
      <c r="N116" s="33">
        <f t="shared" si="21"/>
        <v>46205</v>
      </c>
      <c r="O116" s="33">
        <f t="shared" si="21"/>
        <v>46206</v>
      </c>
      <c r="P116" s="33">
        <f t="shared" si="21"/>
        <v>46207</v>
      </c>
      <c r="Q116" s="33">
        <f t="shared" si="21"/>
        <v>46208</v>
      </c>
      <c r="R116" s="33">
        <f t="shared" si="21"/>
        <v>46209</v>
      </c>
      <c r="S116" s="33">
        <f t="shared" si="21"/>
        <v>46210</v>
      </c>
      <c r="T116" s="33">
        <f t="shared" si="21"/>
        <v>46211</v>
      </c>
      <c r="U116" s="33">
        <f t="shared" si="21"/>
        <v>46212</v>
      </c>
      <c r="V116" s="33">
        <f t="shared" si="21"/>
        <v>46213</v>
      </c>
      <c r="W116" s="33">
        <f t="shared" si="21"/>
        <v>46214</v>
      </c>
      <c r="X116" s="33">
        <f t="shared" si="21"/>
        <v>46215</v>
      </c>
      <c r="Y116" s="33">
        <f t="shared" si="21"/>
        <v>46216</v>
      </c>
      <c r="Z116" s="33">
        <f t="shared" si="21"/>
        <v>46217</v>
      </c>
      <c r="AA116" s="33">
        <f t="shared" si="21"/>
        <v>46218</v>
      </c>
      <c r="AB116" s="33">
        <f t="shared" si="21"/>
        <v>46219</v>
      </c>
      <c r="AC116" s="33">
        <f t="shared" si="21"/>
        <v>46220</v>
      </c>
      <c r="AD116" s="33">
        <f t="shared" si="21"/>
        <v>46221</v>
      </c>
      <c r="AE116" s="33" t="str">
        <f>IF(OR(AD116="",AD115="修了日"),"",IF(AND(DAY(DATE(YEAR(C116),2,29))=29,MONTH(C116)=2),AD116+1,IF(MONTH(C116)=2,"",AD116+1)))</f>
        <v/>
      </c>
      <c r="AF116" s="33" t="str">
        <f>IF(OR(AE116="",AE115="修了日"),"",IF(MONTH(C116)=2,"",AE116+1))</f>
        <v/>
      </c>
      <c r="AG116" s="65" t="str">
        <f>IF(OR(AF116="",AF115="修了日"),"",IF(OR(MONTH(C116)=2,MONTH(C116)=4,MONTH(C116)=6,MONTH(C116)=9,MONTH(C116)=11),"",AF116+1))</f>
        <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46194</v>
      </c>
      <c r="D117" s="67">
        <f t="shared" ref="D117:AG118" si="22">IF(D116="","",+D116)</f>
        <v>46195</v>
      </c>
      <c r="E117" s="67">
        <f t="shared" si="22"/>
        <v>46196</v>
      </c>
      <c r="F117" s="67">
        <f t="shared" si="22"/>
        <v>46197</v>
      </c>
      <c r="G117" s="67">
        <f t="shared" si="22"/>
        <v>46198</v>
      </c>
      <c r="H117" s="67">
        <f t="shared" si="22"/>
        <v>46199</v>
      </c>
      <c r="I117" s="67">
        <f t="shared" si="22"/>
        <v>46200</v>
      </c>
      <c r="J117" s="67">
        <f t="shared" si="22"/>
        <v>46201</v>
      </c>
      <c r="K117" s="67">
        <f t="shared" si="22"/>
        <v>46202</v>
      </c>
      <c r="L117" s="67">
        <f t="shared" si="22"/>
        <v>46203</v>
      </c>
      <c r="M117" s="67">
        <f t="shared" si="22"/>
        <v>46204</v>
      </c>
      <c r="N117" s="67">
        <f t="shared" si="22"/>
        <v>46205</v>
      </c>
      <c r="O117" s="67">
        <f t="shared" si="22"/>
        <v>46206</v>
      </c>
      <c r="P117" s="67">
        <f t="shared" si="22"/>
        <v>46207</v>
      </c>
      <c r="Q117" s="67">
        <f t="shared" si="22"/>
        <v>46208</v>
      </c>
      <c r="R117" s="67">
        <f t="shared" si="22"/>
        <v>46209</v>
      </c>
      <c r="S117" s="67">
        <f t="shared" si="22"/>
        <v>46210</v>
      </c>
      <c r="T117" s="67">
        <f t="shared" si="22"/>
        <v>46211</v>
      </c>
      <c r="U117" s="67">
        <f t="shared" si="22"/>
        <v>46212</v>
      </c>
      <c r="V117" s="67">
        <f t="shared" si="22"/>
        <v>46213</v>
      </c>
      <c r="W117" s="67">
        <f t="shared" si="22"/>
        <v>46214</v>
      </c>
      <c r="X117" s="67">
        <f t="shared" si="22"/>
        <v>46215</v>
      </c>
      <c r="Y117" s="67">
        <f t="shared" si="22"/>
        <v>46216</v>
      </c>
      <c r="Z117" s="67">
        <f t="shared" si="22"/>
        <v>46217</v>
      </c>
      <c r="AA117" s="67">
        <f t="shared" si="22"/>
        <v>46218</v>
      </c>
      <c r="AB117" s="67">
        <f t="shared" si="22"/>
        <v>46219</v>
      </c>
      <c r="AC117" s="67">
        <f t="shared" si="22"/>
        <v>46220</v>
      </c>
      <c r="AD117" s="67">
        <f t="shared" si="22"/>
        <v>46221</v>
      </c>
      <c r="AE117" s="67" t="str">
        <f t="shared" si="22"/>
        <v/>
      </c>
      <c r="AF117" s="67" t="str">
        <f t="shared" si="22"/>
        <v/>
      </c>
      <c r="AG117" s="38" t="str">
        <f t="shared" si="22"/>
        <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46194</v>
      </c>
      <c r="D118" s="39">
        <f t="shared" si="22"/>
        <v>46195</v>
      </c>
      <c r="E118" s="39">
        <f t="shared" si="22"/>
        <v>46196</v>
      </c>
      <c r="F118" s="39">
        <f t="shared" si="22"/>
        <v>46197</v>
      </c>
      <c r="G118" s="39">
        <f t="shared" si="22"/>
        <v>46198</v>
      </c>
      <c r="H118" s="39">
        <f t="shared" si="22"/>
        <v>46199</v>
      </c>
      <c r="I118" s="39">
        <f t="shared" si="22"/>
        <v>46200</v>
      </c>
      <c r="J118" s="39">
        <f t="shared" si="22"/>
        <v>46201</v>
      </c>
      <c r="K118" s="39">
        <f t="shared" si="22"/>
        <v>46202</v>
      </c>
      <c r="L118" s="39">
        <f t="shared" si="22"/>
        <v>46203</v>
      </c>
      <c r="M118" s="39">
        <f t="shared" si="22"/>
        <v>46204</v>
      </c>
      <c r="N118" s="39">
        <f t="shared" si="22"/>
        <v>46205</v>
      </c>
      <c r="O118" s="39">
        <f t="shared" si="22"/>
        <v>46206</v>
      </c>
      <c r="P118" s="39">
        <f t="shared" si="22"/>
        <v>46207</v>
      </c>
      <c r="Q118" s="39">
        <f t="shared" si="22"/>
        <v>46208</v>
      </c>
      <c r="R118" s="39">
        <f t="shared" si="22"/>
        <v>46209</v>
      </c>
      <c r="S118" s="39">
        <f t="shared" si="22"/>
        <v>46210</v>
      </c>
      <c r="T118" s="39">
        <f t="shared" si="22"/>
        <v>46211</v>
      </c>
      <c r="U118" s="39">
        <f t="shared" si="22"/>
        <v>46212</v>
      </c>
      <c r="V118" s="39">
        <f t="shared" si="22"/>
        <v>46213</v>
      </c>
      <c r="W118" s="39">
        <f t="shared" si="22"/>
        <v>46214</v>
      </c>
      <c r="X118" s="39">
        <f t="shared" si="22"/>
        <v>46215</v>
      </c>
      <c r="Y118" s="39">
        <f t="shared" si="22"/>
        <v>46216</v>
      </c>
      <c r="Z118" s="39">
        <f t="shared" si="22"/>
        <v>46217</v>
      </c>
      <c r="AA118" s="39">
        <f t="shared" si="22"/>
        <v>46218</v>
      </c>
      <c r="AB118" s="39">
        <f t="shared" si="22"/>
        <v>46219</v>
      </c>
      <c r="AC118" s="39">
        <f t="shared" si="22"/>
        <v>46220</v>
      </c>
      <c r="AD118" s="39">
        <f t="shared" si="22"/>
        <v>46221</v>
      </c>
      <c r="AE118" s="39" t="str">
        <f t="shared" si="22"/>
        <v/>
      </c>
      <c r="AF118" s="39" t="str">
        <f t="shared" si="22"/>
        <v/>
      </c>
      <c r="AG118" s="40" t="str">
        <f t="shared" si="22"/>
        <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F119" si="23">IF(C$118="","",IF(C$118=$K$154,"ハローワーク来所日⑤",""))</f>
        <v/>
      </c>
      <c r="D119" s="399" t="s">
        <v>285</v>
      </c>
      <c r="E119" s="399" t="str">
        <f t="shared" si="23"/>
        <v>ハローワーク来所日⑤</v>
      </c>
      <c r="F119" s="399" t="s">
        <v>285</v>
      </c>
      <c r="G119" s="399" t="s">
        <v>285</v>
      </c>
      <c r="H119" s="399" t="s">
        <v>285</v>
      </c>
      <c r="I119" s="399"/>
      <c r="J119" s="399" t="str">
        <f t="shared" si="23"/>
        <v/>
      </c>
      <c r="K119" s="399" t="s">
        <v>285</v>
      </c>
      <c r="L119" s="399"/>
      <c r="M119" s="399" t="s">
        <v>285</v>
      </c>
      <c r="N119" s="399" t="s">
        <v>285</v>
      </c>
      <c r="O119" s="399" t="s">
        <v>285</v>
      </c>
      <c r="P119" s="399" t="s">
        <v>68</v>
      </c>
      <c r="Q119" s="399"/>
      <c r="R119" s="399"/>
      <c r="S119" s="399" t="s">
        <v>285</v>
      </c>
      <c r="T119" s="399"/>
      <c r="U119" s="399" t="s">
        <v>285</v>
      </c>
      <c r="V119" s="399" t="s">
        <v>285</v>
      </c>
      <c r="W119" s="399" t="s">
        <v>68</v>
      </c>
      <c r="X119" s="399"/>
      <c r="Y119" s="399"/>
      <c r="Z119" s="399" t="s">
        <v>285</v>
      </c>
      <c r="AA119" s="399"/>
      <c r="AB119" s="399" t="s">
        <v>285</v>
      </c>
      <c r="AC119" s="399" t="s">
        <v>286</v>
      </c>
      <c r="AD119" s="399" t="s">
        <v>205</v>
      </c>
      <c r="AE119" s="399" t="str">
        <f t="shared" si="23"/>
        <v/>
      </c>
      <c r="AF119" s="399" t="str">
        <f t="shared" si="23"/>
        <v/>
      </c>
      <c r="AG119" s="402"/>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9"/>
      <c r="E131" s="44"/>
      <c r="F131" s="44"/>
      <c r="G131" s="44"/>
      <c r="H131" s="49"/>
      <c r="I131" s="49"/>
      <c r="J131" s="44"/>
      <c r="K131" s="44"/>
      <c r="L131" s="44"/>
      <c r="M131" s="44"/>
      <c r="N131" s="49"/>
      <c r="O131" s="49"/>
      <c r="P131" s="49"/>
      <c r="Q131" s="44"/>
      <c r="R131" s="49"/>
      <c r="S131" s="49"/>
      <c r="T131" s="49"/>
      <c r="U131" s="49"/>
      <c r="V131" s="49"/>
      <c r="W131" s="49"/>
      <c r="X131" s="44"/>
      <c r="Y131" s="44"/>
      <c r="Z131" s="44"/>
      <c r="AA131" s="44"/>
      <c r="AB131" s="49" t="s">
        <v>69</v>
      </c>
      <c r="AC131" s="49"/>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4"/>
      <c r="E132" s="53"/>
      <c r="F132" s="53"/>
      <c r="G132" s="53"/>
      <c r="H132" s="54"/>
      <c r="I132" s="54"/>
      <c r="J132" s="53"/>
      <c r="K132" s="53"/>
      <c r="L132" s="53"/>
      <c r="M132" s="53"/>
      <c r="N132" s="54"/>
      <c r="O132" s="54"/>
      <c r="P132" s="54"/>
      <c r="Q132" s="53"/>
      <c r="R132" s="54"/>
      <c r="S132" s="54"/>
      <c r="T132" s="54"/>
      <c r="U132" s="54"/>
      <c r="V132" s="54"/>
      <c r="W132" s="54"/>
      <c r="X132" s="53"/>
      <c r="Y132" s="53"/>
      <c r="Z132" s="53"/>
      <c r="AA132" s="53"/>
      <c r="AB132" s="54"/>
      <c r="AC132" s="54"/>
      <c r="AD132" s="53"/>
      <c r="AE132" s="53"/>
      <c r="AF132" s="53"/>
      <c r="AG132" s="71"/>
      <c r="AH132" s="132" t="str">
        <f>IF(AI132="","","←")</f>
        <v/>
      </c>
      <c r="AI132" s="406" t="str">
        <f>[7]機構処理!BI93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v>6</v>
      </c>
      <c r="E133" s="57"/>
      <c r="F133" s="57">
        <v>6</v>
      </c>
      <c r="G133" s="57">
        <v>6</v>
      </c>
      <c r="H133" s="57">
        <v>6</v>
      </c>
      <c r="I133" s="57"/>
      <c r="J133" s="57"/>
      <c r="K133" s="57">
        <v>6</v>
      </c>
      <c r="L133" s="57"/>
      <c r="M133" s="57">
        <v>6</v>
      </c>
      <c r="N133" s="57">
        <v>6</v>
      </c>
      <c r="O133" s="57">
        <v>6</v>
      </c>
      <c r="P133" s="57">
        <v>0</v>
      </c>
      <c r="Q133" s="57"/>
      <c r="R133" s="57"/>
      <c r="S133" s="57">
        <v>6</v>
      </c>
      <c r="T133" s="57"/>
      <c r="U133" s="57">
        <v>6</v>
      </c>
      <c r="V133" s="57">
        <v>6</v>
      </c>
      <c r="W133" s="57">
        <v>0</v>
      </c>
      <c r="X133" s="57"/>
      <c r="Y133" s="57"/>
      <c r="Z133" s="57">
        <v>6</v>
      </c>
      <c r="AA133" s="57"/>
      <c r="AB133" s="57">
        <v>6</v>
      </c>
      <c r="AC133" s="57">
        <v>6</v>
      </c>
      <c r="AD133" s="57">
        <v>0</v>
      </c>
      <c r="AE133" s="57"/>
      <c r="AF133" s="57"/>
      <c r="AG133" s="73"/>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IF(C116="","",[7]機構処理!BF59)</f>
        <v>3</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319</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320</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IF([7]様式1!$E$20="","",AI21+AI44+AI66+AI88)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46044</v>
      </c>
      <c r="L140" s="385"/>
      <c r="M140" s="385"/>
      <c r="N140" s="385"/>
      <c r="O140" s="386"/>
      <c r="P140" s="96" t="s">
        <v>72</v>
      </c>
      <c r="Q140" s="387">
        <v>46073</v>
      </c>
      <c r="R140" s="385"/>
      <c r="S140" s="385"/>
      <c r="T140" s="385"/>
      <c r="U140" s="385"/>
      <c r="V140" s="390" t="s">
        <v>324</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46104</v>
      </c>
      <c r="L141" s="385"/>
      <c r="M141" s="385"/>
      <c r="N141" s="385"/>
      <c r="O141" s="386"/>
      <c r="P141" s="96" t="s">
        <v>72</v>
      </c>
      <c r="Q141" s="387">
        <v>46129</v>
      </c>
      <c r="R141" s="385"/>
      <c r="S141" s="385"/>
      <c r="T141" s="385"/>
      <c r="U141" s="385"/>
      <c r="V141" s="390" t="s">
        <v>324</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46195</v>
      </c>
      <c r="L142" s="385"/>
      <c r="M142" s="385"/>
      <c r="N142" s="385"/>
      <c r="O142" s="386"/>
      <c r="P142" s="96" t="s">
        <v>72</v>
      </c>
      <c r="Q142" s="387">
        <v>46219</v>
      </c>
      <c r="R142" s="385"/>
      <c r="S142" s="385"/>
      <c r="T142" s="385"/>
      <c r="U142" s="385"/>
      <c r="V142" s="388" t="s">
        <v>324</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0.41666666666666669</v>
      </c>
      <c r="D148" s="384"/>
      <c r="E148" s="94" t="s">
        <v>72</v>
      </c>
      <c r="F148" s="366">
        <v>0.4513888888888889</v>
      </c>
      <c r="G148" s="367"/>
      <c r="H148" s="15"/>
      <c r="I148" s="100" t="s">
        <v>86</v>
      </c>
      <c r="J148" s="15"/>
      <c r="K148" s="15"/>
      <c r="L148" s="15"/>
      <c r="M148" s="15"/>
      <c r="N148" s="15"/>
      <c r="O148" s="100" t="s">
        <v>321</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0.45833333333333331</v>
      </c>
      <c r="D149" s="366"/>
      <c r="E149" s="94" t="s">
        <v>72</v>
      </c>
      <c r="F149" s="366">
        <v>0.49305555555555558</v>
      </c>
      <c r="G149" s="367"/>
      <c r="H149" s="15"/>
      <c r="I149" s="363"/>
      <c r="J149" s="364"/>
      <c r="K149" s="349" t="s">
        <v>322</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v>
      </c>
      <c r="D150" s="366"/>
      <c r="E150" s="94" t="s">
        <v>72</v>
      </c>
      <c r="F150" s="366">
        <v>0.53472222222222221</v>
      </c>
      <c r="G150" s="367"/>
      <c r="H150" s="15"/>
      <c r="I150" s="380" t="str">
        <f>IF(AND(ハローワーク来所日パターン&lt;&gt;"",$C$29&lt;&gt;"",訓練終了日&gt;ハローワーク来所日1),"１回目","")</f>
        <v>１回目</v>
      </c>
      <c r="J150" s="381"/>
      <c r="K150" s="339">
        <f>IF($I150="","",ハローワーク来所日1)</f>
        <v>46078</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0.57638888888888884</v>
      </c>
      <c r="D151" s="366"/>
      <c r="E151" s="94" t="s">
        <v>72</v>
      </c>
      <c r="F151" s="366">
        <v>0.61111111111111116</v>
      </c>
      <c r="G151" s="367"/>
      <c r="H151" s="15"/>
      <c r="I151" s="380" t="str">
        <f>IF(AND(ハローワーク来所日パターン&lt;&gt;"",$C$51&lt;&gt;"",訓練終了日&gt;ハローワーク来所日2),"２回目","")</f>
        <v>２回目</v>
      </c>
      <c r="J151" s="381"/>
      <c r="K151" s="339">
        <f>IF($I151="","",ハローワーク来所日2)</f>
        <v>46105</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0.61805555555555558</v>
      </c>
      <c r="D152" s="366"/>
      <c r="E152" s="94" t="s">
        <v>72</v>
      </c>
      <c r="F152" s="366">
        <v>0.65277777777777779</v>
      </c>
      <c r="G152" s="367"/>
      <c r="H152" s="15"/>
      <c r="I152" s="380" t="str">
        <f>IF(AND(ハローワーク来所日パターン&lt;&gt;"",$C$73&lt;&gt;"",訓練終了日&gt;ハローワーク来所日3),"３回目","")</f>
        <v>３回目</v>
      </c>
      <c r="J152" s="381"/>
      <c r="K152" s="339">
        <f>IF($I152="","",ハローワーク来所日3)</f>
        <v>46135</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0.65972222222222221</v>
      </c>
      <c r="D153" s="366"/>
      <c r="E153" s="94" t="s">
        <v>72</v>
      </c>
      <c r="F153" s="366">
        <v>0.69444444444444442</v>
      </c>
      <c r="G153" s="367"/>
      <c r="H153" s="15"/>
      <c r="I153" s="380" t="str">
        <f>IF(AND(ハローワーク来所日パターン&lt;&gt;"",$C$95&lt;&gt;"",訓練終了日&gt;ハローワーク来所日4),"４回目","")</f>
        <v>４回目</v>
      </c>
      <c r="J153" s="381"/>
      <c r="K153" s="339">
        <f>IF($I153="","",ハローワーク来所日4)</f>
        <v>46167</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0.69444444444444442</v>
      </c>
      <c r="D154" s="366"/>
      <c r="E154" s="94" t="s">
        <v>72</v>
      </c>
      <c r="F154" s="366">
        <v>0.73611111111111116</v>
      </c>
      <c r="G154" s="367"/>
      <c r="H154" s="15"/>
      <c r="I154" s="380" t="str">
        <f>IF(AND(ハローワーク来所日パターン&lt;&gt;"",$C$116&lt;&gt;"",訓練終了日&gt;ハローワーク来所日5),"５回目","")</f>
        <v>５回目</v>
      </c>
      <c r="J154" s="381"/>
      <c r="K154" s="339">
        <f>IF($I154="","",ハローワーク来所日5)</f>
        <v>46196</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46043</v>
      </c>
      <c r="F172" s="340"/>
      <c r="G172" s="340"/>
      <c r="H172" s="340"/>
      <c r="I172" s="340"/>
      <c r="J172" s="94" t="s">
        <v>104</v>
      </c>
      <c r="K172" s="340">
        <f>IF(訓練開始日="","",IF(訓練終了日&lt;EDATE(訓練開始日,1)-1,訓練終了日,EDATE(E172,1)-1))</f>
        <v>46073</v>
      </c>
      <c r="L172" s="340"/>
      <c r="M172" s="340"/>
      <c r="N172" s="340"/>
      <c r="O172" s="341"/>
      <c r="P172" s="108"/>
      <c r="Q172" s="215">
        <f>IF(E172="","",(K172-E172+1))</f>
        <v>31</v>
      </c>
      <c r="R172" s="112" t="s">
        <v>52</v>
      </c>
      <c r="S172" s="101"/>
      <c r="T172" s="113"/>
      <c r="U172" s="215">
        <f>IF(E172="","",[7]機構処理!$BG$24)</f>
        <v>20</v>
      </c>
      <c r="V172" s="112" t="s">
        <v>52</v>
      </c>
      <c r="W172" s="101"/>
      <c r="X172" s="353">
        <f>IF(E172="","",[7]機構処理!BG72)</f>
        <v>0</v>
      </c>
      <c r="Y172" s="354"/>
      <c r="Z172" s="354"/>
      <c r="AA172" s="114" t="s">
        <v>66</v>
      </c>
      <c r="AB172" s="107"/>
      <c r="AC172" s="344">
        <f>IF(E172="","",[7]機構処理!$BH$25)</f>
        <v>102</v>
      </c>
      <c r="AD172" s="345"/>
      <c r="AE172" s="345"/>
      <c r="AF172" s="324" t="s">
        <v>66</v>
      </c>
      <c r="AG172" s="325"/>
      <c r="AH172" s="346" t="str">
        <f>[7]機構処理!BR26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46074</v>
      </c>
      <c r="F173" s="340"/>
      <c r="G173" s="340"/>
      <c r="H173" s="340"/>
      <c r="I173" s="340"/>
      <c r="J173" s="94" t="s">
        <v>104</v>
      </c>
      <c r="K173" s="340">
        <f>IF(E173="","",IF(EDATE(E173,1)-1&lt;訓練終了日,EDATE(E173,1)-1,訓練終了日))</f>
        <v>46101</v>
      </c>
      <c r="L173" s="340"/>
      <c r="M173" s="340"/>
      <c r="N173" s="340"/>
      <c r="O173" s="341"/>
      <c r="P173" s="108"/>
      <c r="Q173" s="215">
        <f>IF(E173="","",(K173-E173+1))</f>
        <v>28</v>
      </c>
      <c r="R173" s="109" t="s">
        <v>52</v>
      </c>
      <c r="S173" s="101"/>
      <c r="T173" s="108"/>
      <c r="U173" s="215">
        <f>IF(E173="","",[7]機構処理!$BG$30)</f>
        <v>16</v>
      </c>
      <c r="V173" s="109" t="s">
        <v>52</v>
      </c>
      <c r="W173" s="101"/>
      <c r="X173" s="342">
        <f>IF(E173="","",[7]機構処理!BG77)</f>
        <v>0</v>
      </c>
      <c r="Y173" s="343"/>
      <c r="Z173" s="343"/>
      <c r="AA173" s="114" t="s">
        <v>66</v>
      </c>
      <c r="AB173" s="107"/>
      <c r="AC173" s="344">
        <f>IF(E173="","",[7]機構処理!$BH$31)</f>
        <v>96</v>
      </c>
      <c r="AD173" s="345"/>
      <c r="AE173" s="345"/>
      <c r="AF173" s="324" t="s">
        <v>66</v>
      </c>
      <c r="AG173" s="325"/>
      <c r="AH173" s="346" t="str">
        <f>[7]機構処理!BR27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46102</v>
      </c>
      <c r="F174" s="340"/>
      <c r="G174" s="340"/>
      <c r="H174" s="340"/>
      <c r="I174" s="340"/>
      <c r="J174" s="94" t="s">
        <v>104</v>
      </c>
      <c r="K174" s="340">
        <f>IF(E174="","",IF(EDATE(E174,1)-1&lt;訓練終了日,EDATE(E174,1)-1,訓練終了日))</f>
        <v>46132</v>
      </c>
      <c r="L174" s="340"/>
      <c r="M174" s="340"/>
      <c r="N174" s="340"/>
      <c r="O174" s="341"/>
      <c r="P174" s="108"/>
      <c r="Q174" s="215">
        <f>IF(E174="","",(K174-E174+1))</f>
        <v>31</v>
      </c>
      <c r="R174" s="109" t="s">
        <v>52</v>
      </c>
      <c r="S174" s="101"/>
      <c r="T174" s="108"/>
      <c r="U174" s="215">
        <f>IF(E174="","",[7]機構処理!$BG$36)</f>
        <v>17</v>
      </c>
      <c r="V174" s="109" t="s">
        <v>52</v>
      </c>
      <c r="W174" s="101"/>
      <c r="X174" s="342">
        <f>IF(E174="","",[7]機構処理!BG81)</f>
        <v>0</v>
      </c>
      <c r="Y174" s="343"/>
      <c r="Z174" s="343"/>
      <c r="AA174" s="114" t="s">
        <v>66</v>
      </c>
      <c r="AB174" s="107"/>
      <c r="AC174" s="344">
        <f>IF(E174="","",[7]機構処理!$BH$37)</f>
        <v>90</v>
      </c>
      <c r="AD174" s="345"/>
      <c r="AE174" s="345"/>
      <c r="AF174" s="324" t="s">
        <v>66</v>
      </c>
      <c r="AG174" s="325"/>
      <c r="AH174" s="346" t="str">
        <f>[7]機構処理!BR28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46133</v>
      </c>
      <c r="F175" s="340"/>
      <c r="G175" s="340"/>
      <c r="H175" s="340"/>
      <c r="I175" s="340"/>
      <c r="J175" s="94" t="s">
        <v>104</v>
      </c>
      <c r="K175" s="340">
        <f>IF(E175="","",IF(EDATE(E175,1)-1&lt;訓練終了日,EDATE(E175,1)-1,訓練終了日))</f>
        <v>46162</v>
      </c>
      <c r="L175" s="340"/>
      <c r="M175" s="340"/>
      <c r="N175" s="340"/>
      <c r="O175" s="341"/>
      <c r="P175" s="108"/>
      <c r="Q175" s="215">
        <f>IF(E175="","",(K175-E175+1))</f>
        <v>30</v>
      </c>
      <c r="R175" s="109" t="s">
        <v>52</v>
      </c>
      <c r="S175" s="101"/>
      <c r="T175" s="108"/>
      <c r="U175" s="215">
        <f>IF(E175="","",[7]機構処理!$BG$42)</f>
        <v>14</v>
      </c>
      <c r="V175" s="109" t="s">
        <v>52</v>
      </c>
      <c r="W175" s="101"/>
      <c r="X175" s="342">
        <f>IF(E175="","",[7]機構処理!BG85)</f>
        <v>0</v>
      </c>
      <c r="Y175" s="343"/>
      <c r="Z175" s="343"/>
      <c r="AA175" s="114" t="s">
        <v>66</v>
      </c>
      <c r="AB175" s="107"/>
      <c r="AC175" s="344">
        <f>IF(E175="","",[7]機構処理!$BH$43)</f>
        <v>84</v>
      </c>
      <c r="AD175" s="345"/>
      <c r="AE175" s="345"/>
      <c r="AF175" s="324" t="s">
        <v>66</v>
      </c>
      <c r="AG175" s="325"/>
      <c r="AH175" s="346" t="str">
        <f>[7]機構処理!BR29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46163</v>
      </c>
      <c r="F176" s="340"/>
      <c r="G176" s="340"/>
      <c r="H176" s="340"/>
      <c r="I176" s="340"/>
      <c r="J176" s="94" t="s">
        <v>104</v>
      </c>
      <c r="K176" s="340">
        <f>IF(E176="","",IF(EDATE(E176,1)-1&lt;訓練終了日,EDATE(E176,1)-1,訓練終了日))</f>
        <v>46193</v>
      </c>
      <c r="L176" s="340"/>
      <c r="M176" s="340"/>
      <c r="N176" s="340"/>
      <c r="O176" s="341"/>
      <c r="P176" s="108"/>
      <c r="Q176" s="215">
        <f>IF(E176="","",K176-E176+1)</f>
        <v>31</v>
      </c>
      <c r="R176" s="109" t="s">
        <v>52</v>
      </c>
      <c r="S176" s="101"/>
      <c r="T176" s="108"/>
      <c r="U176" s="215">
        <f>IF(E176="","",[7]機構処理!$BG$48)</f>
        <v>14</v>
      </c>
      <c r="V176" s="109" t="s">
        <v>52</v>
      </c>
      <c r="W176" s="101"/>
      <c r="X176" s="342">
        <f>IF(E176="","",[7]機構処理!BG89)</f>
        <v>0</v>
      </c>
      <c r="Y176" s="343"/>
      <c r="Z176" s="343"/>
      <c r="AA176" s="114" t="s">
        <v>66</v>
      </c>
      <c r="AB176" s="107"/>
      <c r="AC176" s="344">
        <f>IF(E176="","",[7]機構処理!$BH$49)</f>
        <v>84</v>
      </c>
      <c r="AD176" s="345"/>
      <c r="AE176" s="345"/>
      <c r="AF176" s="324" t="s">
        <v>66</v>
      </c>
      <c r="AG176" s="325"/>
      <c r="AH176" s="346" t="str">
        <f>[7]機構処理!BQ30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46194</v>
      </c>
      <c r="F177" s="340"/>
      <c r="G177" s="340"/>
      <c r="H177" s="340"/>
      <c r="I177" s="340"/>
      <c r="J177" s="94" t="s">
        <v>104</v>
      </c>
      <c r="K177" s="340">
        <f>IF(E177="","",IF(EDATE(E177,1)-1&lt;訓練終了日,EDATE(E177,1)-1,訓練終了日))</f>
        <v>46221</v>
      </c>
      <c r="L177" s="340"/>
      <c r="M177" s="340"/>
      <c r="N177" s="340"/>
      <c r="O177" s="341"/>
      <c r="P177" s="108"/>
      <c r="Q177" s="215">
        <f>IF(E177="","",K177-E177+1)</f>
        <v>28</v>
      </c>
      <c r="R177" s="109" t="s">
        <v>52</v>
      </c>
      <c r="S177" s="101"/>
      <c r="T177" s="108"/>
      <c r="U177" s="215">
        <f>IF(E177="","",[7]機構処理!$BG$54)</f>
        <v>17</v>
      </c>
      <c r="V177" s="109" t="s">
        <v>52</v>
      </c>
      <c r="W177" s="101"/>
      <c r="X177" s="342">
        <f>IF(E177="","",[7]機構処理!BG93)</f>
        <v>0</v>
      </c>
      <c r="Y177" s="343"/>
      <c r="Z177" s="343"/>
      <c r="AA177" s="114" t="s">
        <v>66</v>
      </c>
      <c r="AB177" s="107"/>
      <c r="AC177" s="344">
        <f>IF(E177="","",[7]機構処理!$BH$55)</f>
        <v>84</v>
      </c>
      <c r="AD177" s="345"/>
      <c r="AE177" s="345"/>
      <c r="AF177" s="324" t="s">
        <v>66</v>
      </c>
      <c r="AG177" s="325"/>
      <c r="AH177" s="346" t="str">
        <f>[7]機構処理!BQ31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179</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175" priority="15">
      <formula>LEN(TRIM(C160))=0</formula>
    </cfRule>
  </conditionalFormatting>
  <conditionalFormatting sqref="C76:S91">
    <cfRule type="expression" dxfId="174" priority="5">
      <formula>WORKDAY(C$73+1,-1,祝祭日)&lt;&gt;C$73</formula>
    </cfRule>
  </conditionalFormatting>
  <conditionalFormatting sqref="C89:S89">
    <cfRule type="expression" dxfId="173" priority="6">
      <formula>+$AH$89&lt;&gt;""</formula>
    </cfRule>
  </conditionalFormatting>
  <conditionalFormatting sqref="C119:AA133">
    <cfRule type="expression" dxfId="172" priority="1">
      <formula>WORKDAY(C$116+1,-1,祝祭日)&lt;&gt;C$116</formula>
    </cfRule>
  </conditionalFormatting>
  <conditionalFormatting sqref="C131:AA131">
    <cfRule type="expression" dxfId="171" priority="2">
      <formula>+$AH$131&lt;&gt;""</formula>
    </cfRule>
  </conditionalFormatting>
  <conditionalFormatting sqref="C6:AG27">
    <cfRule type="expression" dxfId="170" priority="46">
      <formula>WORKDAY(C$6+1,-1,祝祭日)&lt;&gt;C$6</formula>
    </cfRule>
  </conditionalFormatting>
  <conditionalFormatting sqref="C22:AG22">
    <cfRule type="expression" dxfId="169" priority="54">
      <formula>$AH$22&lt;&gt;""</formula>
    </cfRule>
  </conditionalFormatting>
  <conditionalFormatting sqref="C29:AG49">
    <cfRule type="expression" dxfId="168" priority="9">
      <formula>WORKDAY(C$29+1,-1,祝祭日)&lt;&gt;C$29</formula>
    </cfRule>
  </conditionalFormatting>
  <conditionalFormatting sqref="C45:AG45">
    <cfRule type="expression" dxfId="167" priority="53">
      <formula>+$AH$45&lt;&gt;""</formula>
    </cfRule>
  </conditionalFormatting>
  <conditionalFormatting sqref="C51:AG71">
    <cfRule type="expression" dxfId="166" priority="37">
      <formula>WORKDAY(C$51+1,-1,祝祭日)&lt;&gt;C$51</formula>
    </cfRule>
  </conditionalFormatting>
  <conditionalFormatting sqref="C67:AG67">
    <cfRule type="expression" dxfId="165" priority="55">
      <formula>+$AH$67&lt;&gt;""</formula>
    </cfRule>
  </conditionalFormatting>
  <conditionalFormatting sqref="C73:AG75 T76:T87 V76:V87">
    <cfRule type="expression" dxfId="164" priority="49">
      <formula>WORKDAY(C$73+1,-1,祝祭日)&lt;&gt;C$73</formula>
    </cfRule>
  </conditionalFormatting>
  <conditionalFormatting sqref="C95:AG114">
    <cfRule type="expression" dxfId="163" priority="48">
      <formula>WORKDAY(C$95+1,-1,祝祭日)&lt;&gt;C$95</formula>
    </cfRule>
  </conditionalFormatting>
  <conditionalFormatting sqref="C110:AG110">
    <cfRule type="expression" dxfId="162" priority="57">
      <formula>+$AH$110&lt;&gt;""</formula>
    </cfRule>
  </conditionalFormatting>
  <conditionalFormatting sqref="C116:AG118 AB119:AB130 AD119:AG130 AB131:AG133 C134:AG135">
    <cfRule type="expression" dxfId="161" priority="47">
      <formula>WORKDAY(C$116+1,-1,祝祭日)&lt;&gt;C$116</formula>
    </cfRule>
  </conditionalFormatting>
  <conditionalFormatting sqref="D158:E158">
    <cfRule type="containsBlanks" dxfId="160" priority="41">
      <formula>LEN(TRIM(D158))=0</formula>
    </cfRule>
  </conditionalFormatting>
  <conditionalFormatting sqref="D139:F140">
    <cfRule type="cellIs" dxfId="159" priority="40" operator="equal">
      <formula>""</formula>
    </cfRule>
  </conditionalFormatting>
  <conditionalFormatting sqref="F148:F154 C149:C154">
    <cfRule type="cellIs" dxfId="158" priority="52" stopIfTrue="1" operator="equal">
      <formula>""</formula>
    </cfRule>
  </conditionalFormatting>
  <conditionalFormatting sqref="F154">
    <cfRule type="cellIs" dxfId="157" priority="51" operator="greaterThan">
      <formula>0.917</formula>
    </cfRule>
  </conditionalFormatting>
  <conditionalFormatting sqref="F155:F156 C155:C156">
    <cfRule type="containsBlanks" dxfId="156" priority="18">
      <formula>LEN(TRIM(C155))=0</formula>
    </cfRule>
  </conditionalFormatting>
  <conditionalFormatting sqref="F153:G153">
    <cfRule type="cellIs" dxfId="155" priority="10" operator="greaterThan">
      <formula>0.917</formula>
    </cfRule>
  </conditionalFormatting>
  <conditionalFormatting sqref="F156:G156">
    <cfRule type="cellIs" dxfId="154" priority="13" operator="greaterThan">
      <formula>0.917</formula>
    </cfRule>
  </conditionalFormatting>
  <conditionalFormatting sqref="F160:G168 C161:D168">
    <cfRule type="containsBlanks" dxfId="153" priority="45">
      <formula>LEN(TRIM(C160))=0</formula>
    </cfRule>
  </conditionalFormatting>
  <conditionalFormatting sqref="F166:G166">
    <cfRule type="cellIs" dxfId="152" priority="12" operator="greaterThan">
      <formula>0.917</formula>
    </cfRule>
  </conditionalFormatting>
  <conditionalFormatting sqref="F168:G168">
    <cfRule type="cellIs" dxfId="151" priority="44" operator="greaterThan">
      <formula>0.917</formula>
    </cfRule>
  </conditionalFormatting>
  <conditionalFormatting sqref="K1">
    <cfRule type="expression" dxfId="150" priority="38">
      <formula>$K$1&lt;&gt;""</formula>
    </cfRule>
  </conditionalFormatting>
  <conditionalFormatting sqref="K140:O145 Q140:AG145">
    <cfRule type="containsBlanks" dxfId="149" priority="17">
      <formula>LEN(TRIM(K140))=0</formula>
    </cfRule>
  </conditionalFormatting>
  <conditionalFormatting sqref="N160">
    <cfRule type="containsBlanks" dxfId="148" priority="14">
      <formula>LEN(TRIM(N160))=0</formula>
    </cfRule>
  </conditionalFormatting>
  <conditionalFormatting sqref="O158:P158">
    <cfRule type="containsBlanks" dxfId="147" priority="16">
      <formula>LEN(TRIM(O158))=0</formula>
    </cfRule>
  </conditionalFormatting>
  <conditionalFormatting sqref="P170:W170">
    <cfRule type="expression" dxfId="146" priority="59">
      <formula>AND(訓練種別コード="001",AI21+AI44+AI66+AI88+#REF!+#REF!&gt;0)</formula>
    </cfRule>
  </conditionalFormatting>
  <conditionalFormatting sqref="Q172:Q177">
    <cfRule type="cellIs" dxfId="145" priority="50" stopIfTrue="1" operator="lessThan">
      <formula>28</formula>
    </cfRule>
  </conditionalFormatting>
  <conditionalFormatting sqref="Q160:R168 N161:O168">
    <cfRule type="containsBlanks" dxfId="144" priority="43">
      <formula>LEN(TRIM(N160))=0</formula>
    </cfRule>
  </conditionalFormatting>
  <conditionalFormatting sqref="Q166:R166">
    <cfRule type="cellIs" dxfId="143" priority="42" operator="greaterThan">
      <formula>0.917</formula>
    </cfRule>
  </conditionalFormatting>
  <conditionalFormatting sqref="Q168:R168">
    <cfRule type="cellIs" dxfId="142" priority="11" operator="greaterThan">
      <formula>0.917</formula>
    </cfRule>
  </conditionalFormatting>
  <conditionalFormatting sqref="T88:V91 C92:AG93">
    <cfRule type="expression" dxfId="141" priority="36">
      <formula>WORKDAY(C$73+1,-1,祝祭日)&lt;&gt;C$73</formula>
    </cfRule>
  </conditionalFormatting>
  <conditionalFormatting sqref="T89:V89">
    <cfRule type="expression" dxfId="140" priority="56">
      <formula>+$AH$89&lt;&gt;""</formula>
    </cfRule>
  </conditionalFormatting>
  <conditionalFormatting sqref="U76:U87">
    <cfRule type="expression" dxfId="139" priority="8">
      <formula>WORKDAY(U$29+1,-1,祝祭日)&lt;&gt;U$29</formula>
    </cfRule>
  </conditionalFormatting>
  <conditionalFormatting sqref="W76:AG91">
    <cfRule type="expression" dxfId="138" priority="3">
      <formula>WORKDAY(W$73+1,-1,祝祭日)&lt;&gt;W$73</formula>
    </cfRule>
  </conditionalFormatting>
  <conditionalFormatting sqref="W89:AG89">
    <cfRule type="expression" dxfId="137" priority="4">
      <formula>+$AH$89&lt;&gt;""</formula>
    </cfRule>
  </conditionalFormatting>
  <conditionalFormatting sqref="X171:AB171 X172 AA172:AB172 X173:AB178">
    <cfRule type="expression" dxfId="136" priority="39">
      <formula>$X$171=""</formula>
    </cfRule>
  </conditionalFormatting>
  <conditionalFormatting sqref="AB131:AG131">
    <cfRule type="expression" dxfId="135" priority="58">
      <formula>+$AH$131&lt;&gt;""</formula>
    </cfRule>
  </conditionalFormatting>
  <conditionalFormatting sqref="AC119:AC130">
    <cfRule type="expression" dxfId="134" priority="7">
      <formula>WORKDAY(AC$95+1,-1,祝祭日)&lt;&gt;AC$95</formula>
    </cfRule>
  </conditionalFormatting>
  <conditionalFormatting sqref="AC178:AE178">
    <cfRule type="expression" dxfId="133" priority="19">
      <formula>AND(NOT(VALUE(訓練総時間)=訓練時間合計),NOT(VALUE(訓練総時間)=IF(様6_訓練時間合計="",0,様6_訓練時間合計)))</formula>
    </cfRule>
  </conditionalFormatting>
  <conditionalFormatting sqref="AH89:AI89">
    <cfRule type="expression" dxfId="132" priority="31">
      <formula>$AI89=""</formula>
    </cfRule>
  </conditionalFormatting>
  <conditionalFormatting sqref="AH111:AI111">
    <cfRule type="expression" dxfId="131" priority="30">
      <formula>$AI111=""</formula>
    </cfRule>
  </conditionalFormatting>
  <conditionalFormatting sqref="AH22:AJ23">
    <cfRule type="expression" dxfId="130" priority="35">
      <formula>$AI22=""</formula>
    </cfRule>
  </conditionalFormatting>
  <conditionalFormatting sqref="AH45:AJ46">
    <cfRule type="expression" dxfId="129" priority="34">
      <formula>$AI45=""</formula>
    </cfRule>
  </conditionalFormatting>
  <conditionalFormatting sqref="AH67:AJ68">
    <cfRule type="expression" dxfId="128" priority="33">
      <formula>$AI67=""</formula>
    </cfRule>
  </conditionalFormatting>
  <conditionalFormatting sqref="AH90:AJ90">
    <cfRule type="expression" dxfId="127" priority="32">
      <formula>$AI90=""</formula>
    </cfRule>
  </conditionalFormatting>
  <conditionalFormatting sqref="AH110:AJ110">
    <cfRule type="expression" dxfId="126" priority="29">
      <formula>$AI110=""</formula>
    </cfRule>
  </conditionalFormatting>
  <conditionalFormatting sqref="AH131:AJ132">
    <cfRule type="expression" dxfId="125" priority="28">
      <formula>$AI131=""</formula>
    </cfRule>
  </conditionalFormatting>
  <conditionalFormatting sqref="AH178:AL178">
    <cfRule type="expression" dxfId="124" priority="21">
      <formula>$AH$178=""</formula>
    </cfRule>
  </conditionalFormatting>
  <conditionalFormatting sqref="AI27:AL27">
    <cfRule type="expression" dxfId="123" priority="27">
      <formula>$C6=""</formula>
    </cfRule>
  </conditionalFormatting>
  <conditionalFormatting sqref="AI49:AL49">
    <cfRule type="expression" dxfId="122" priority="26">
      <formula>$C29=""</formula>
    </cfRule>
  </conditionalFormatting>
  <conditionalFormatting sqref="AI71:AL71">
    <cfRule type="expression" dxfId="121" priority="25">
      <formula>$C51=""</formula>
    </cfRule>
  </conditionalFormatting>
  <conditionalFormatting sqref="AI93:AL93">
    <cfRule type="expression" dxfId="120" priority="24">
      <formula>$C73=""</formula>
    </cfRule>
  </conditionalFormatting>
  <conditionalFormatting sqref="AI114:AL114">
    <cfRule type="expression" dxfId="119" priority="23">
      <formula>$C$95=""</formula>
    </cfRule>
  </conditionalFormatting>
  <conditionalFormatting sqref="AI135:AL135">
    <cfRule type="expression" dxfId="118" priority="22">
      <formula>$C$116=""</formula>
    </cfRule>
  </conditionalFormatting>
  <conditionalFormatting sqref="AK189:AL189">
    <cfRule type="expression" dxfId="117" priority="20">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B2192D01-0C08-4817-8ACE-10C9A662244E}">
      <formula1>"○"</formula1>
    </dataValidation>
    <dataValidation type="whole" imeMode="off" allowBlank="1" showInputMessage="1" showErrorMessage="1" sqref="C24:AG27 C47:AG49 C133:AG135 C91:AG93 C112:AG114 C69:AG71" xr:uid="{7835397F-53E8-46DB-9AD0-B06A81F6606C}">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C1AC5742-95E9-4A44-9FE7-DF58D88BCCDD}"/>
    <dataValidation type="list" allowBlank="1" showInputMessage="1" showErrorMessage="1" sqref="C89:AG89 C45:AG45 C110:AG110 C22:AG22 C67:AG67 C131:AG131" xr:uid="{BBD689D7-E245-4158-85D7-A1BF614D5FE9}">
      <formula1>"○,◎"</formula1>
    </dataValidation>
    <dataValidation imeMode="hiragana" allowBlank="1" showInputMessage="1" showErrorMessage="1" sqref="C97:AG109 C118:AG130 C75:AG87 C53:AG65 C31:AG43 C8:AG20 V140:AG145" xr:uid="{B6650003-0966-48A9-97AD-C2D8ABC64268}"/>
  </dataValidations>
  <hyperlinks>
    <hyperlink ref="AJ150" location="様式7の１!B8" display="様式7の１作成へ" xr:uid="{498B35E3-443A-4930-B2D9-BD3A52F5CD13}"/>
    <hyperlink ref="AJ152" location="一覧表!M42" display="一覧表へ戻る" xr:uid="{54C0EC16-89CB-4DB2-82DB-80C357390DCA}"/>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来所日選択">
              <controlPr defaultSize="0" print="0" autoLine="0" autoPict="0">
                <anchor moveWithCells="1">
                  <from>
                    <xdr:col>4</xdr:col>
                    <xdr:colOff>335280</xdr:colOff>
                    <xdr:row>0</xdr:row>
                    <xdr:rowOff>182880</xdr:rowOff>
                  </from>
                  <to>
                    <xdr:col>8</xdr:col>
                    <xdr:colOff>335280</xdr:colOff>
                    <xdr:row>1</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4715A-2903-4540-86F4-5E9B41D117D3}">
  <sheetPr codeName="Sheet20"/>
  <dimension ref="A1:BQ248"/>
  <sheetViews>
    <sheetView view="pageBreakPreview" zoomScale="80" zoomScaleNormal="80" zoomScaleSheetLayoutView="80" workbookViewId="0"/>
  </sheetViews>
  <sheetFormatPr defaultColWidth="4.44140625" defaultRowHeight="13.2"/>
  <cols>
    <col min="1" max="33" width="4.5546875" style="14" customWidth="1"/>
    <col min="34" max="34" width="4.5546875" style="15" customWidth="1"/>
    <col min="35" max="35" width="7.5546875" style="14" customWidth="1"/>
    <col min="36" max="36" width="12.5546875" style="14" customWidth="1"/>
    <col min="37" max="38" width="5.5546875" style="14" customWidth="1"/>
    <col min="39" max="47" width="4.5546875" style="14" customWidth="1"/>
    <col min="48" max="48" width="16.5546875" style="14" customWidth="1"/>
    <col min="49" max="52" width="4.5546875" style="14" customWidth="1"/>
    <col min="53" max="16384" width="4.4414062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IF(OR(訓練月数=0,訓練月数=""),"訓練期間が入力されていません！！",IF(訓練月数=1,IF(訓練終了日&lt;=INDIRECT("開講スケジュール!D"&amp;[8]開講スケジュール!$D$2+1),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これから始める！Ｗｅｂ・ＳＮＳ動画編集＆ホームページデザイン科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46014</v>
      </c>
      <c r="D6" s="33">
        <f>IF(C6="","",C6+1)</f>
        <v>46015</v>
      </c>
      <c r="E6" s="33">
        <f t="shared" ref="E6:P6" si="1">IF(D6="","",D6+1)</f>
        <v>46016</v>
      </c>
      <c r="F6" s="33">
        <f t="shared" si="1"/>
        <v>46017</v>
      </c>
      <c r="G6" s="33">
        <f t="shared" si="1"/>
        <v>46018</v>
      </c>
      <c r="H6" s="33">
        <f t="shared" si="1"/>
        <v>46019</v>
      </c>
      <c r="I6" s="33">
        <f t="shared" si="1"/>
        <v>46020</v>
      </c>
      <c r="J6" s="33">
        <f t="shared" si="1"/>
        <v>46021</v>
      </c>
      <c r="K6" s="33">
        <f t="shared" si="1"/>
        <v>46022</v>
      </c>
      <c r="L6" s="33">
        <f t="shared" si="1"/>
        <v>46023</v>
      </c>
      <c r="M6" s="33">
        <f t="shared" si="1"/>
        <v>46024</v>
      </c>
      <c r="N6" s="33">
        <f t="shared" si="1"/>
        <v>46025</v>
      </c>
      <c r="O6" s="33">
        <f t="shared" si="1"/>
        <v>46026</v>
      </c>
      <c r="P6" s="33">
        <f t="shared" si="1"/>
        <v>46027</v>
      </c>
      <c r="Q6" s="33">
        <f t="shared" ref="Q6:AB6" si="2">IF(P6="","",IF(P6+1&gt;訓練終了日,"",P6+1))</f>
        <v>46028</v>
      </c>
      <c r="R6" s="33">
        <f t="shared" si="2"/>
        <v>46029</v>
      </c>
      <c r="S6" s="33">
        <f t="shared" si="2"/>
        <v>46030</v>
      </c>
      <c r="T6" s="33">
        <f t="shared" si="2"/>
        <v>46031</v>
      </c>
      <c r="U6" s="33">
        <f t="shared" si="2"/>
        <v>46032</v>
      </c>
      <c r="V6" s="33">
        <f t="shared" si="2"/>
        <v>46033</v>
      </c>
      <c r="W6" s="33">
        <f t="shared" si="2"/>
        <v>46034</v>
      </c>
      <c r="X6" s="33">
        <f t="shared" si="2"/>
        <v>46035</v>
      </c>
      <c r="Y6" s="33">
        <f t="shared" si="2"/>
        <v>46036</v>
      </c>
      <c r="Z6" s="33">
        <f t="shared" si="2"/>
        <v>46037</v>
      </c>
      <c r="AA6" s="33">
        <f t="shared" si="2"/>
        <v>46038</v>
      </c>
      <c r="AB6" s="33">
        <f t="shared" si="2"/>
        <v>46039</v>
      </c>
      <c r="AC6" s="33">
        <f>IF(AB6="","",IF(AB6+1&gt;訓練終了日,"",IF(AB6+1&gt;=EDATE(C6,1),"",AB6+1)))</f>
        <v>46040</v>
      </c>
      <c r="AD6" s="33">
        <f>IF(AC6="","",IF(AC6+1&gt;訓練終了日,"",IF(AC6+1&gt;=EDATE(C6,1),"",AC6+1)))</f>
        <v>46041</v>
      </c>
      <c r="AE6" s="33">
        <f>IF(AD6="","",IF(AD6+1&gt;訓練終了日,"",IF(AD6+1&gt;=EDATE(C6,1),"",AD6+1)))</f>
        <v>46042</v>
      </c>
      <c r="AF6" s="33">
        <f>IF(AE6="","",IF(AE6+1&gt;訓練終了日,"",IF(AE6+1&gt;=EDATE(C6,1),"",AE6+1)))</f>
        <v>46043</v>
      </c>
      <c r="AG6" s="33">
        <f>IF(AF6="","",IF(AF6+1&gt;訓練終了日,"",IF(AF6+1&gt;=EDATE(C6,1),"",AF6+1)))</f>
        <v>46044</v>
      </c>
      <c r="AH6" s="19"/>
      <c r="AI6" s="20"/>
      <c r="AJ6" s="20"/>
      <c r="AK6" s="20"/>
      <c r="AL6" s="20"/>
      <c r="AM6" s="20"/>
      <c r="AN6" s="20"/>
      <c r="AO6" s="34"/>
      <c r="AP6" s="20"/>
      <c r="AQ6" s="20"/>
      <c r="AR6" s="20"/>
      <c r="AS6" s="20"/>
      <c r="AT6" s="20"/>
      <c r="AU6" s="20"/>
      <c r="AV6" s="20"/>
    </row>
    <row r="7" spans="1:69" ht="18" customHeight="1">
      <c r="A7" s="35"/>
      <c r="B7" s="31" t="s">
        <v>52</v>
      </c>
      <c r="C7" s="36">
        <f t="shared" ref="C7:AG8" si="3">+C6</f>
        <v>46014</v>
      </c>
      <c r="D7" s="37">
        <f t="shared" si="3"/>
        <v>46015</v>
      </c>
      <c r="E7" s="37">
        <f t="shared" si="3"/>
        <v>46016</v>
      </c>
      <c r="F7" s="37">
        <f t="shared" si="3"/>
        <v>46017</v>
      </c>
      <c r="G7" s="37">
        <f t="shared" si="3"/>
        <v>46018</v>
      </c>
      <c r="H7" s="37">
        <f t="shared" si="3"/>
        <v>46019</v>
      </c>
      <c r="I7" s="37">
        <f t="shared" si="3"/>
        <v>46020</v>
      </c>
      <c r="J7" s="37">
        <f t="shared" si="3"/>
        <v>46021</v>
      </c>
      <c r="K7" s="37">
        <f t="shared" si="3"/>
        <v>46022</v>
      </c>
      <c r="L7" s="37">
        <f t="shared" si="3"/>
        <v>46023</v>
      </c>
      <c r="M7" s="37">
        <f t="shared" si="3"/>
        <v>46024</v>
      </c>
      <c r="N7" s="37">
        <f t="shared" si="3"/>
        <v>46025</v>
      </c>
      <c r="O7" s="37">
        <f t="shared" si="3"/>
        <v>46026</v>
      </c>
      <c r="P7" s="37">
        <f t="shared" si="3"/>
        <v>46027</v>
      </c>
      <c r="Q7" s="37">
        <f t="shared" si="3"/>
        <v>46028</v>
      </c>
      <c r="R7" s="37">
        <f t="shared" si="3"/>
        <v>46029</v>
      </c>
      <c r="S7" s="37">
        <f t="shared" si="3"/>
        <v>46030</v>
      </c>
      <c r="T7" s="37">
        <f t="shared" si="3"/>
        <v>46031</v>
      </c>
      <c r="U7" s="37">
        <f t="shared" si="3"/>
        <v>46032</v>
      </c>
      <c r="V7" s="37">
        <f t="shared" si="3"/>
        <v>46033</v>
      </c>
      <c r="W7" s="37">
        <f t="shared" si="3"/>
        <v>46034</v>
      </c>
      <c r="X7" s="37">
        <f t="shared" si="3"/>
        <v>46035</v>
      </c>
      <c r="Y7" s="37">
        <f t="shared" si="3"/>
        <v>46036</v>
      </c>
      <c r="Z7" s="37">
        <f t="shared" si="3"/>
        <v>46037</v>
      </c>
      <c r="AA7" s="37">
        <f t="shared" si="3"/>
        <v>46038</v>
      </c>
      <c r="AB7" s="37">
        <f t="shared" si="3"/>
        <v>46039</v>
      </c>
      <c r="AC7" s="37">
        <f t="shared" si="3"/>
        <v>46040</v>
      </c>
      <c r="AD7" s="37">
        <f t="shared" si="3"/>
        <v>46041</v>
      </c>
      <c r="AE7" s="37">
        <f t="shared" si="3"/>
        <v>46042</v>
      </c>
      <c r="AF7" s="37">
        <f t="shared" si="3"/>
        <v>46043</v>
      </c>
      <c r="AG7" s="38">
        <f t="shared" si="3"/>
        <v>46044</v>
      </c>
      <c r="AH7" s="19"/>
      <c r="AI7" s="20"/>
      <c r="AJ7" s="20"/>
      <c r="AK7" s="20"/>
      <c r="AL7" s="20"/>
      <c r="AM7" s="20"/>
      <c r="AN7" s="20"/>
      <c r="AO7" s="34"/>
      <c r="AP7" s="20"/>
      <c r="AQ7" s="20"/>
      <c r="AR7" s="20"/>
      <c r="AS7" s="20"/>
      <c r="AT7" s="20"/>
      <c r="AU7" s="20"/>
      <c r="AV7" s="20"/>
    </row>
    <row r="8" spans="1:69" ht="18" customHeight="1">
      <c r="A8" s="35"/>
      <c r="B8" s="31" t="s">
        <v>53</v>
      </c>
      <c r="C8" s="39">
        <f t="shared" si="3"/>
        <v>46014</v>
      </c>
      <c r="D8" s="39">
        <f t="shared" si="3"/>
        <v>46015</v>
      </c>
      <c r="E8" s="39">
        <f t="shared" si="3"/>
        <v>46016</v>
      </c>
      <c r="F8" s="39">
        <f t="shared" si="3"/>
        <v>46017</v>
      </c>
      <c r="G8" s="39">
        <f t="shared" si="3"/>
        <v>46018</v>
      </c>
      <c r="H8" s="39">
        <f t="shared" si="3"/>
        <v>46019</v>
      </c>
      <c r="I8" s="39">
        <f t="shared" si="3"/>
        <v>46020</v>
      </c>
      <c r="J8" s="39">
        <f t="shared" si="3"/>
        <v>46021</v>
      </c>
      <c r="K8" s="39">
        <f t="shared" si="3"/>
        <v>46022</v>
      </c>
      <c r="L8" s="39">
        <f t="shared" si="3"/>
        <v>46023</v>
      </c>
      <c r="M8" s="39">
        <f t="shared" si="3"/>
        <v>46024</v>
      </c>
      <c r="N8" s="39">
        <f t="shared" si="3"/>
        <v>46025</v>
      </c>
      <c r="O8" s="39">
        <f t="shared" si="3"/>
        <v>46026</v>
      </c>
      <c r="P8" s="39">
        <f t="shared" si="3"/>
        <v>46027</v>
      </c>
      <c r="Q8" s="39">
        <f t="shared" si="3"/>
        <v>46028</v>
      </c>
      <c r="R8" s="39">
        <f t="shared" si="3"/>
        <v>46029</v>
      </c>
      <c r="S8" s="39">
        <f t="shared" si="3"/>
        <v>46030</v>
      </c>
      <c r="T8" s="39">
        <f t="shared" si="3"/>
        <v>46031</v>
      </c>
      <c r="U8" s="39">
        <f t="shared" si="3"/>
        <v>46032</v>
      </c>
      <c r="V8" s="39">
        <f t="shared" si="3"/>
        <v>46033</v>
      </c>
      <c r="W8" s="39">
        <f t="shared" si="3"/>
        <v>46034</v>
      </c>
      <c r="X8" s="39">
        <f t="shared" si="3"/>
        <v>46035</v>
      </c>
      <c r="Y8" s="39">
        <f t="shared" si="3"/>
        <v>46036</v>
      </c>
      <c r="Z8" s="39">
        <f t="shared" si="3"/>
        <v>46037</v>
      </c>
      <c r="AA8" s="39">
        <f t="shared" si="3"/>
        <v>46038</v>
      </c>
      <c r="AB8" s="39">
        <f t="shared" si="3"/>
        <v>46039</v>
      </c>
      <c r="AC8" s="39">
        <f t="shared" si="3"/>
        <v>46040</v>
      </c>
      <c r="AD8" s="39">
        <f t="shared" si="3"/>
        <v>46041</v>
      </c>
      <c r="AE8" s="39">
        <f t="shared" si="3"/>
        <v>46042</v>
      </c>
      <c r="AF8" s="39">
        <f t="shared" si="3"/>
        <v>46043</v>
      </c>
      <c r="AG8" s="40">
        <f t="shared" si="3"/>
        <v>46044</v>
      </c>
      <c r="AH8" s="19"/>
      <c r="AI8" s="20"/>
      <c r="AJ8" s="20"/>
      <c r="AK8" s="20"/>
      <c r="AL8" s="20"/>
      <c r="AM8" s="20"/>
      <c r="AN8" s="20"/>
      <c r="AO8" s="20"/>
      <c r="AP8" s="20"/>
      <c r="AQ8" s="20"/>
      <c r="AR8" s="20"/>
      <c r="AS8" s="20"/>
      <c r="AT8" s="20"/>
      <c r="AU8" s="20"/>
      <c r="AV8" s="20"/>
    </row>
    <row r="9" spans="1:69" ht="18" customHeight="1">
      <c r="A9" s="411" t="s">
        <v>54</v>
      </c>
      <c r="B9" s="41"/>
      <c r="C9" s="423" t="s">
        <v>291</v>
      </c>
      <c r="D9" s="399" t="s">
        <v>314</v>
      </c>
      <c r="E9" s="399" t="s">
        <v>215</v>
      </c>
      <c r="F9" s="425"/>
      <c r="G9" s="399"/>
      <c r="H9" s="399"/>
      <c r="I9" s="399"/>
      <c r="J9" s="399"/>
      <c r="K9" s="399"/>
      <c r="L9" s="399"/>
      <c r="M9" s="399"/>
      <c r="N9" s="399"/>
      <c r="O9" s="399"/>
      <c r="P9" s="399" t="s">
        <v>282</v>
      </c>
      <c r="Q9" s="399" t="s">
        <v>282</v>
      </c>
      <c r="R9" s="399" t="s">
        <v>216</v>
      </c>
      <c r="S9" s="399" t="s">
        <v>216</v>
      </c>
      <c r="T9" s="399" t="s">
        <v>216</v>
      </c>
      <c r="U9" s="399" t="s">
        <v>56</v>
      </c>
      <c r="V9" s="399"/>
      <c r="W9" s="399"/>
      <c r="X9" s="399" t="s">
        <v>216</v>
      </c>
      <c r="Y9" s="399"/>
      <c r="Z9" s="399" t="s">
        <v>216</v>
      </c>
      <c r="AA9" s="399" t="s">
        <v>216</v>
      </c>
      <c r="AB9" s="399" t="s">
        <v>56</v>
      </c>
      <c r="AC9" s="399"/>
      <c r="AD9" s="399" t="s">
        <v>216</v>
      </c>
      <c r="AE9" s="399" t="s">
        <v>216</v>
      </c>
      <c r="AF9" s="399" t="s">
        <v>216</v>
      </c>
      <c r="AG9" s="426" t="s">
        <v>216</v>
      </c>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27"/>
      <c r="AH14" s="212">
        <v>6</v>
      </c>
      <c r="AI14" s="20"/>
      <c r="AJ14" s="20"/>
      <c r="AK14" s="20"/>
      <c r="AL14" s="20"/>
      <c r="AM14" s="20"/>
      <c r="AN14" s="20"/>
      <c r="AO14" s="20"/>
      <c r="AP14" s="20"/>
      <c r="AQ14" s="20"/>
      <c r="AR14" s="20"/>
      <c r="AS14" s="20"/>
      <c r="AT14" s="20"/>
      <c r="AU14" s="20"/>
      <c r="AV14" s="20"/>
    </row>
    <row r="15" spans="1:69" ht="14.4" hidden="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0"/>
      <c r="K20" s="400"/>
      <c r="L20" s="400"/>
      <c r="M20" s="400"/>
      <c r="N20" s="400"/>
      <c r="O20" s="401"/>
      <c r="P20" s="401"/>
      <c r="Q20" s="401"/>
      <c r="R20" s="401"/>
      <c r="S20" s="401"/>
      <c r="T20" s="401"/>
      <c r="U20" s="401"/>
      <c r="V20" s="401"/>
      <c r="W20" s="401"/>
      <c r="X20" s="401"/>
      <c r="Y20" s="401"/>
      <c r="Z20" s="401"/>
      <c r="AA20" s="401"/>
      <c r="AB20" s="401"/>
      <c r="AC20" s="401"/>
      <c r="AD20" s="401"/>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t="s">
        <v>64</v>
      </c>
      <c r="E22" s="44"/>
      <c r="F22" s="44"/>
      <c r="G22" s="44"/>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[8]機構処理!BI72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v>1</v>
      </c>
      <c r="E24" s="57">
        <v>6</v>
      </c>
      <c r="F24" s="57"/>
      <c r="G24" s="57"/>
      <c r="H24" s="57"/>
      <c r="I24" s="57"/>
      <c r="J24" s="57"/>
      <c r="K24" s="57"/>
      <c r="L24" s="57"/>
      <c r="M24" s="57"/>
      <c r="N24" s="57"/>
      <c r="O24" s="57"/>
      <c r="P24" s="57">
        <v>6</v>
      </c>
      <c r="Q24" s="57">
        <v>6</v>
      </c>
      <c r="R24" s="57">
        <v>6</v>
      </c>
      <c r="S24" s="57">
        <v>6</v>
      </c>
      <c r="T24" s="57">
        <v>6</v>
      </c>
      <c r="U24" s="57">
        <v>0</v>
      </c>
      <c r="V24" s="57"/>
      <c r="W24" s="57"/>
      <c r="X24" s="57">
        <v>6</v>
      </c>
      <c r="Y24" s="57"/>
      <c r="Z24" s="57">
        <v>6</v>
      </c>
      <c r="AA24" s="57">
        <v>6</v>
      </c>
      <c r="AB24" s="57">
        <v>0</v>
      </c>
      <c r="AC24" s="57"/>
      <c r="AD24" s="57">
        <v>6</v>
      </c>
      <c r="AE24" s="57">
        <v>6</v>
      </c>
      <c r="AF24" s="57">
        <v>6</v>
      </c>
      <c r="AG24" s="58">
        <v>6</v>
      </c>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v>5</v>
      </c>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IF(C6="","",[8]機構処理!BF29)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46045</v>
      </c>
      <c r="D29" s="33">
        <f t="shared" ref="D29:AD29" si="5">IF(OR(C29="",C28="修了日"),"",C29+1)</f>
        <v>46046</v>
      </c>
      <c r="E29" s="33">
        <f t="shared" si="5"/>
        <v>46047</v>
      </c>
      <c r="F29" s="33">
        <f t="shared" si="5"/>
        <v>46048</v>
      </c>
      <c r="G29" s="33">
        <f t="shared" si="5"/>
        <v>46049</v>
      </c>
      <c r="H29" s="33">
        <f t="shared" si="5"/>
        <v>46050</v>
      </c>
      <c r="I29" s="33">
        <f t="shared" si="5"/>
        <v>46051</v>
      </c>
      <c r="J29" s="33">
        <f t="shared" si="5"/>
        <v>46052</v>
      </c>
      <c r="K29" s="33">
        <f t="shared" si="5"/>
        <v>46053</v>
      </c>
      <c r="L29" s="33">
        <f t="shared" si="5"/>
        <v>46054</v>
      </c>
      <c r="M29" s="33">
        <f t="shared" si="5"/>
        <v>46055</v>
      </c>
      <c r="N29" s="33">
        <f t="shared" si="5"/>
        <v>46056</v>
      </c>
      <c r="O29" s="33">
        <f t="shared" si="5"/>
        <v>46057</v>
      </c>
      <c r="P29" s="33">
        <f t="shared" si="5"/>
        <v>46058</v>
      </c>
      <c r="Q29" s="33">
        <f t="shared" si="5"/>
        <v>46059</v>
      </c>
      <c r="R29" s="33">
        <f t="shared" si="5"/>
        <v>46060</v>
      </c>
      <c r="S29" s="33">
        <f t="shared" si="5"/>
        <v>46061</v>
      </c>
      <c r="T29" s="33">
        <f t="shared" si="5"/>
        <v>46062</v>
      </c>
      <c r="U29" s="33">
        <f t="shared" si="5"/>
        <v>46063</v>
      </c>
      <c r="V29" s="33">
        <f t="shared" si="5"/>
        <v>46064</v>
      </c>
      <c r="W29" s="33">
        <f t="shared" si="5"/>
        <v>46065</v>
      </c>
      <c r="X29" s="33">
        <f t="shared" si="5"/>
        <v>46066</v>
      </c>
      <c r="Y29" s="33">
        <f t="shared" si="5"/>
        <v>46067</v>
      </c>
      <c r="Z29" s="33">
        <f t="shared" si="5"/>
        <v>46068</v>
      </c>
      <c r="AA29" s="33">
        <f t="shared" si="5"/>
        <v>46069</v>
      </c>
      <c r="AB29" s="33">
        <f t="shared" si="5"/>
        <v>46070</v>
      </c>
      <c r="AC29" s="33">
        <f t="shared" si="5"/>
        <v>46071</v>
      </c>
      <c r="AD29" s="33">
        <f t="shared" si="5"/>
        <v>46072</v>
      </c>
      <c r="AE29" s="33">
        <f>IF(OR(AD29="",AD28="修了日"),"",IF(AND(DAY(DATE(YEAR(C29),2,29))=29,MONTH(C29)=2),AD29+1,IF(MONTH(C29)=2,"",AD29+1)))</f>
        <v>46073</v>
      </c>
      <c r="AF29" s="33">
        <f>IF(OR(AE29="",AE28="修了日"),"",IF(MONTH(C29)=2,"",AE29+1))</f>
        <v>46074</v>
      </c>
      <c r="AG29" s="65">
        <f>IF(OR(AF29="",AF28="修了日"),"",IF(OR(MONTH(C29)=2,MONTH(C29)=4,MONTH(C29)=6,MONTH(C29)=9,MONTH(C29)=11),"",AF29+1))</f>
        <v>46075</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46045</v>
      </c>
      <c r="D30" s="67">
        <f t="shared" si="6"/>
        <v>46046</v>
      </c>
      <c r="E30" s="67">
        <f t="shared" si="6"/>
        <v>46047</v>
      </c>
      <c r="F30" s="67">
        <f t="shared" si="6"/>
        <v>46048</v>
      </c>
      <c r="G30" s="67">
        <f t="shared" si="6"/>
        <v>46049</v>
      </c>
      <c r="H30" s="67">
        <f t="shared" si="6"/>
        <v>46050</v>
      </c>
      <c r="I30" s="67">
        <f t="shared" si="6"/>
        <v>46051</v>
      </c>
      <c r="J30" s="67">
        <f t="shared" si="6"/>
        <v>46052</v>
      </c>
      <c r="K30" s="67">
        <f t="shared" si="6"/>
        <v>46053</v>
      </c>
      <c r="L30" s="67">
        <f t="shared" si="6"/>
        <v>46054</v>
      </c>
      <c r="M30" s="67">
        <f t="shared" si="6"/>
        <v>46055</v>
      </c>
      <c r="N30" s="67">
        <f t="shared" si="6"/>
        <v>46056</v>
      </c>
      <c r="O30" s="67">
        <f t="shared" si="6"/>
        <v>46057</v>
      </c>
      <c r="P30" s="67">
        <f t="shared" si="6"/>
        <v>46058</v>
      </c>
      <c r="Q30" s="67">
        <f t="shared" si="6"/>
        <v>46059</v>
      </c>
      <c r="R30" s="67">
        <f t="shared" si="6"/>
        <v>46060</v>
      </c>
      <c r="S30" s="67">
        <f t="shared" si="6"/>
        <v>46061</v>
      </c>
      <c r="T30" s="67">
        <f t="shared" si="6"/>
        <v>46062</v>
      </c>
      <c r="U30" s="67">
        <f t="shared" si="6"/>
        <v>46063</v>
      </c>
      <c r="V30" s="67">
        <f t="shared" si="6"/>
        <v>46064</v>
      </c>
      <c r="W30" s="67">
        <f t="shared" si="6"/>
        <v>46065</v>
      </c>
      <c r="X30" s="67">
        <f t="shared" si="6"/>
        <v>46066</v>
      </c>
      <c r="Y30" s="67">
        <f t="shared" si="6"/>
        <v>46067</v>
      </c>
      <c r="Z30" s="67">
        <f t="shared" si="6"/>
        <v>46068</v>
      </c>
      <c r="AA30" s="67">
        <f t="shared" si="6"/>
        <v>46069</v>
      </c>
      <c r="AB30" s="67">
        <f>IF(AB29="","",+AB29)</f>
        <v>46070</v>
      </c>
      <c r="AC30" s="67">
        <f t="shared" si="6"/>
        <v>46071</v>
      </c>
      <c r="AD30" s="37">
        <f t="shared" si="6"/>
        <v>46072</v>
      </c>
      <c r="AE30" s="67">
        <f t="shared" si="6"/>
        <v>46073</v>
      </c>
      <c r="AF30" s="67">
        <f t="shared" si="6"/>
        <v>46074</v>
      </c>
      <c r="AG30" s="68">
        <f t="shared" si="6"/>
        <v>46075</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46045</v>
      </c>
      <c r="D31" s="39">
        <f t="shared" si="6"/>
        <v>46046</v>
      </c>
      <c r="E31" s="39">
        <f t="shared" si="6"/>
        <v>46047</v>
      </c>
      <c r="F31" s="39">
        <f t="shared" si="6"/>
        <v>46048</v>
      </c>
      <c r="G31" s="39">
        <f t="shared" si="6"/>
        <v>46049</v>
      </c>
      <c r="H31" s="39">
        <f t="shared" si="6"/>
        <v>46050</v>
      </c>
      <c r="I31" s="39">
        <f t="shared" si="6"/>
        <v>46051</v>
      </c>
      <c r="J31" s="39">
        <f t="shared" si="6"/>
        <v>46052</v>
      </c>
      <c r="K31" s="39">
        <f t="shared" si="6"/>
        <v>46053</v>
      </c>
      <c r="L31" s="39">
        <f t="shared" si="6"/>
        <v>46054</v>
      </c>
      <c r="M31" s="39">
        <f t="shared" si="6"/>
        <v>46055</v>
      </c>
      <c r="N31" s="39">
        <f t="shared" si="6"/>
        <v>46056</v>
      </c>
      <c r="O31" s="39">
        <f t="shared" si="6"/>
        <v>46057</v>
      </c>
      <c r="P31" s="39">
        <f t="shared" si="6"/>
        <v>46058</v>
      </c>
      <c r="Q31" s="39">
        <f t="shared" si="6"/>
        <v>46059</v>
      </c>
      <c r="R31" s="39">
        <f t="shared" si="6"/>
        <v>46060</v>
      </c>
      <c r="S31" s="39">
        <f t="shared" si="6"/>
        <v>46061</v>
      </c>
      <c r="T31" s="39">
        <f t="shared" si="6"/>
        <v>46062</v>
      </c>
      <c r="U31" s="39">
        <f t="shared" si="6"/>
        <v>46063</v>
      </c>
      <c r="V31" s="39">
        <f t="shared" si="6"/>
        <v>46064</v>
      </c>
      <c r="W31" s="39">
        <f t="shared" si="6"/>
        <v>46065</v>
      </c>
      <c r="X31" s="39">
        <f t="shared" si="6"/>
        <v>46066</v>
      </c>
      <c r="Y31" s="39">
        <f t="shared" si="6"/>
        <v>46067</v>
      </c>
      <c r="Z31" s="39">
        <f t="shared" si="6"/>
        <v>46068</v>
      </c>
      <c r="AA31" s="39">
        <f t="shared" si="6"/>
        <v>46069</v>
      </c>
      <c r="AB31" s="39">
        <f t="shared" si="6"/>
        <v>46070</v>
      </c>
      <c r="AC31" s="39">
        <f t="shared" si="6"/>
        <v>46071</v>
      </c>
      <c r="AD31" s="39">
        <f t="shared" si="6"/>
        <v>46072</v>
      </c>
      <c r="AE31" s="39">
        <f t="shared" si="6"/>
        <v>46073</v>
      </c>
      <c r="AF31" s="39">
        <f t="shared" si="6"/>
        <v>46074</v>
      </c>
      <c r="AG31" s="40">
        <f t="shared" si="6"/>
        <v>46075</v>
      </c>
      <c r="AH31" s="19"/>
      <c r="AI31" s="20"/>
      <c r="AJ31" s="20"/>
      <c r="AK31" s="20"/>
      <c r="AL31" s="20"/>
      <c r="AM31" s="20"/>
      <c r="AN31" s="20"/>
      <c r="AO31" s="20"/>
      <c r="AP31" s="20"/>
      <c r="AQ31" s="20"/>
      <c r="AR31" s="20"/>
      <c r="AS31" s="20"/>
      <c r="AT31" s="20"/>
      <c r="AU31" s="20"/>
      <c r="AV31" s="20"/>
    </row>
    <row r="32" spans="1:48" ht="18" customHeight="1">
      <c r="A32" s="411" t="s">
        <v>247</v>
      </c>
      <c r="B32" s="41"/>
      <c r="C32" s="412" t="s">
        <v>216</v>
      </c>
      <c r="D32" s="399" t="str">
        <f t="shared" ref="D32:AG32" si="7">IF(D$31="","",IF(D$31=$K$150,"ハローワーク来所日①",""))</f>
        <v/>
      </c>
      <c r="E32" s="399" t="str">
        <f t="shared" si="7"/>
        <v/>
      </c>
      <c r="F32" s="399" t="s">
        <v>216</v>
      </c>
      <c r="G32" s="399" t="s">
        <v>216</v>
      </c>
      <c r="H32" s="399" t="s">
        <v>216</v>
      </c>
      <c r="I32" s="399" t="s">
        <v>216</v>
      </c>
      <c r="J32" s="399" t="s">
        <v>286</v>
      </c>
      <c r="K32" s="399" t="str">
        <f t="shared" si="7"/>
        <v/>
      </c>
      <c r="L32" s="399" t="str">
        <f t="shared" si="7"/>
        <v/>
      </c>
      <c r="M32" s="399" t="s">
        <v>315</v>
      </c>
      <c r="N32" s="399" t="s">
        <v>315</v>
      </c>
      <c r="O32" s="399" t="str">
        <f t="shared" si="7"/>
        <v/>
      </c>
      <c r="P32" s="399" t="str">
        <f t="shared" si="7"/>
        <v>ハローワーク来所日①</v>
      </c>
      <c r="Q32" s="399" t="s">
        <v>315</v>
      </c>
      <c r="R32" s="399" t="str">
        <f t="shared" si="7"/>
        <v/>
      </c>
      <c r="S32" s="399" t="str">
        <f t="shared" si="7"/>
        <v/>
      </c>
      <c r="T32" s="399" t="s">
        <v>315</v>
      </c>
      <c r="U32" s="399" t="s">
        <v>315</v>
      </c>
      <c r="V32" s="399" t="str">
        <f t="shared" si="7"/>
        <v/>
      </c>
      <c r="W32" s="399" t="s">
        <v>315</v>
      </c>
      <c r="X32" s="399" t="s">
        <v>315</v>
      </c>
      <c r="Y32" s="399" t="str">
        <f t="shared" si="7"/>
        <v/>
      </c>
      <c r="Z32" s="399" t="str">
        <f t="shared" si="7"/>
        <v/>
      </c>
      <c r="AA32" s="399" t="s">
        <v>315</v>
      </c>
      <c r="AB32" s="399" t="str">
        <f t="shared" si="7"/>
        <v/>
      </c>
      <c r="AC32" s="399" t="s">
        <v>315</v>
      </c>
      <c r="AD32" s="399" t="s">
        <v>315</v>
      </c>
      <c r="AE32" s="399" t="s">
        <v>315</v>
      </c>
      <c r="AF32" s="399" t="str">
        <f t="shared" si="7"/>
        <v/>
      </c>
      <c r="AG32" s="402" t="str">
        <f t="shared" si="7"/>
        <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00"/>
      <c r="J34" s="400"/>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00"/>
      <c r="J35" s="400"/>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00"/>
      <c r="J37" s="400"/>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00"/>
      <c r="J38" s="400"/>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00"/>
      <c r="J40" s="400"/>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00"/>
      <c r="J41" s="400"/>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00"/>
      <c r="J42" s="400"/>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01"/>
      <c r="J43" s="401"/>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c r="I45" s="49" t="s">
        <v>64</v>
      </c>
      <c r="J45" s="44"/>
      <c r="K45" s="44"/>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[8]機構処理!BI77</f>
        <v/>
      </c>
      <c r="AJ46" s="418"/>
      <c r="AK46" s="70"/>
      <c r="AL46" s="70"/>
      <c r="AM46" s="70"/>
      <c r="AN46" s="70"/>
      <c r="AO46" s="70"/>
      <c r="AP46" s="20"/>
      <c r="AQ46" s="20"/>
      <c r="AR46" s="20"/>
      <c r="AS46" s="20"/>
      <c r="AT46" s="20"/>
      <c r="AU46" s="20"/>
      <c r="AV46" s="20"/>
    </row>
    <row r="47" spans="1:48" ht="18" customHeight="1">
      <c r="A47" s="35"/>
      <c r="B47" s="407" t="s">
        <v>66</v>
      </c>
      <c r="C47" s="56">
        <v>6</v>
      </c>
      <c r="D47" s="57"/>
      <c r="E47" s="57"/>
      <c r="F47" s="57">
        <v>6</v>
      </c>
      <c r="G47" s="57">
        <v>6</v>
      </c>
      <c r="H47" s="57">
        <v>6</v>
      </c>
      <c r="I47" s="57">
        <v>6</v>
      </c>
      <c r="J47" s="57">
        <v>6</v>
      </c>
      <c r="K47" s="57"/>
      <c r="L47" s="57"/>
      <c r="M47" s="57">
        <v>6</v>
      </c>
      <c r="N47" s="57">
        <v>6</v>
      </c>
      <c r="O47" s="57"/>
      <c r="P47" s="57"/>
      <c r="Q47" s="57">
        <v>6</v>
      </c>
      <c r="R47" s="57"/>
      <c r="S47" s="57"/>
      <c r="T47" s="57">
        <v>6</v>
      </c>
      <c r="U47" s="57">
        <v>6</v>
      </c>
      <c r="V47" s="57"/>
      <c r="W47" s="57">
        <v>6</v>
      </c>
      <c r="X47" s="57">
        <v>6</v>
      </c>
      <c r="Y47" s="57"/>
      <c r="Z47" s="57"/>
      <c r="AA47" s="57">
        <v>6</v>
      </c>
      <c r="AB47" s="57"/>
      <c r="AC47" s="57">
        <v>6</v>
      </c>
      <c r="AD47" s="57">
        <v>6</v>
      </c>
      <c r="AE47" s="57">
        <v>6</v>
      </c>
      <c r="AF47" s="57"/>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IF(C29="","",[8]機構処理!BF35)</f>
        <v>0</v>
      </c>
      <c r="AL49" s="69" t="str">
        <f>IF(C29="","","日")</f>
        <v>日</v>
      </c>
      <c r="AM49" s="64"/>
      <c r="AN49" s="20"/>
      <c r="AO49" s="20"/>
      <c r="AP49" s="20"/>
      <c r="AQ49" s="20"/>
      <c r="AR49" s="20"/>
      <c r="AS49" s="20"/>
      <c r="AT49" s="20"/>
      <c r="AU49" s="20"/>
      <c r="AV49" s="20"/>
    </row>
    <row r="50" spans="1:48" ht="14.4">
      <c r="A50" s="15"/>
      <c r="B50" s="15"/>
      <c r="C50" s="28" t="str">
        <f t="shared" ref="C50:AG50" si="8">IF(C53="","",IF(C53=訓練終了日,"修了日",""))</f>
        <v/>
      </c>
      <c r="D50" s="28" t="str">
        <f t="shared" si="8"/>
        <v/>
      </c>
      <c r="E50" s="28" t="str">
        <f t="shared" si="8"/>
        <v/>
      </c>
      <c r="F50" s="28" t="str">
        <f t="shared" si="8"/>
        <v/>
      </c>
      <c r="G50" s="28" t="str">
        <f t="shared" si="8"/>
        <v/>
      </c>
      <c r="H50" s="28" t="str">
        <f t="shared" si="8"/>
        <v/>
      </c>
      <c r="I50" s="28" t="str">
        <f t="shared" si="8"/>
        <v/>
      </c>
      <c r="J50" s="28" t="str">
        <f t="shared" si="8"/>
        <v/>
      </c>
      <c r="K50" s="28" t="str">
        <f t="shared" si="8"/>
        <v/>
      </c>
      <c r="L50" s="28" t="str">
        <f t="shared" si="8"/>
        <v/>
      </c>
      <c r="M50" s="28" t="str">
        <f t="shared" si="8"/>
        <v/>
      </c>
      <c r="N50" s="28" t="str">
        <f t="shared" si="8"/>
        <v/>
      </c>
      <c r="O50" s="28" t="str">
        <f t="shared" si="8"/>
        <v/>
      </c>
      <c r="P50" s="28" t="str">
        <f t="shared" si="8"/>
        <v/>
      </c>
      <c r="Q50" s="28" t="str">
        <f t="shared" si="8"/>
        <v/>
      </c>
      <c r="R50" s="28" t="str">
        <f t="shared" si="8"/>
        <v/>
      </c>
      <c r="S50" s="28" t="str">
        <f t="shared" si="8"/>
        <v/>
      </c>
      <c r="T50" s="28" t="str">
        <f t="shared" si="8"/>
        <v/>
      </c>
      <c r="U50" s="28" t="str">
        <f t="shared" si="8"/>
        <v/>
      </c>
      <c r="V50" s="28" t="str">
        <f t="shared" si="8"/>
        <v/>
      </c>
      <c r="W50" s="28" t="str">
        <f t="shared" si="8"/>
        <v/>
      </c>
      <c r="X50" s="28" t="str">
        <f t="shared" si="8"/>
        <v/>
      </c>
      <c r="Y50" s="28" t="str">
        <f t="shared" si="8"/>
        <v/>
      </c>
      <c r="Z50" s="28" t="str">
        <f t="shared" si="8"/>
        <v/>
      </c>
      <c r="AA50" s="28" t="str">
        <f t="shared" si="8"/>
        <v/>
      </c>
      <c r="AB50" s="28" t="str">
        <f t="shared" si="8"/>
        <v/>
      </c>
      <c r="AC50" s="28" t="str">
        <f t="shared" si="8"/>
        <v/>
      </c>
      <c r="AD50" s="28" t="str">
        <f t="shared" si="8"/>
        <v/>
      </c>
      <c r="AE50" s="28" t="str">
        <f t="shared" si="8"/>
        <v/>
      </c>
      <c r="AF50" s="28" t="str">
        <f t="shared" si="8"/>
        <v/>
      </c>
      <c r="AG50" s="28" t="str">
        <f t="shared" si="8"/>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46076</v>
      </c>
      <c r="D51" s="33">
        <f t="shared" ref="D51:AD51" si="9">IF(OR(C51="",C50="修了日"),"",C51+1)</f>
        <v>46077</v>
      </c>
      <c r="E51" s="33">
        <f t="shared" si="9"/>
        <v>46078</v>
      </c>
      <c r="F51" s="33">
        <f t="shared" si="9"/>
        <v>46079</v>
      </c>
      <c r="G51" s="33">
        <f t="shared" si="9"/>
        <v>46080</v>
      </c>
      <c r="H51" s="33">
        <f t="shared" si="9"/>
        <v>46081</v>
      </c>
      <c r="I51" s="33">
        <f t="shared" si="9"/>
        <v>46082</v>
      </c>
      <c r="J51" s="33">
        <f t="shared" si="9"/>
        <v>46083</v>
      </c>
      <c r="K51" s="33">
        <f t="shared" si="9"/>
        <v>46084</v>
      </c>
      <c r="L51" s="33">
        <f t="shared" si="9"/>
        <v>46085</v>
      </c>
      <c r="M51" s="33">
        <f t="shared" si="9"/>
        <v>46086</v>
      </c>
      <c r="N51" s="33">
        <f t="shared" si="9"/>
        <v>46087</v>
      </c>
      <c r="O51" s="33">
        <f t="shared" si="9"/>
        <v>46088</v>
      </c>
      <c r="P51" s="33">
        <f t="shared" si="9"/>
        <v>46089</v>
      </c>
      <c r="Q51" s="33">
        <f t="shared" si="9"/>
        <v>46090</v>
      </c>
      <c r="R51" s="33">
        <f t="shared" si="9"/>
        <v>46091</v>
      </c>
      <c r="S51" s="33">
        <f t="shared" si="9"/>
        <v>46092</v>
      </c>
      <c r="T51" s="33">
        <f t="shared" si="9"/>
        <v>46093</v>
      </c>
      <c r="U51" s="33">
        <f t="shared" si="9"/>
        <v>46094</v>
      </c>
      <c r="V51" s="33">
        <f t="shared" si="9"/>
        <v>46095</v>
      </c>
      <c r="W51" s="33">
        <f t="shared" si="9"/>
        <v>46096</v>
      </c>
      <c r="X51" s="33">
        <f t="shared" si="9"/>
        <v>46097</v>
      </c>
      <c r="Y51" s="33">
        <f t="shared" si="9"/>
        <v>46098</v>
      </c>
      <c r="Z51" s="33">
        <f t="shared" si="9"/>
        <v>46099</v>
      </c>
      <c r="AA51" s="33">
        <f t="shared" si="9"/>
        <v>46100</v>
      </c>
      <c r="AB51" s="33">
        <f t="shared" si="9"/>
        <v>46101</v>
      </c>
      <c r="AC51" s="33">
        <f t="shared" si="9"/>
        <v>46102</v>
      </c>
      <c r="AD51" s="33">
        <f t="shared" si="9"/>
        <v>46103</v>
      </c>
      <c r="AE51" s="33" t="str">
        <f>IF(OR(AD51="",AD50="修了日"),"",IF(AND(DAY(DATE(YEAR(C51),2,29))=29,MONTH(C51)=2),AD51+1,IF(MONTH(C51)=2,"",AD51+1)))</f>
        <v/>
      </c>
      <c r="AF51" s="33" t="str">
        <f>IF(OR(AE51="",AE50="修了日"),"",IF(MONTH(C51)=2,"",AE51+1))</f>
        <v/>
      </c>
      <c r="AG51" s="65" t="str">
        <f>IF(OR(AF51="",AF50="修了日"),"",IF(OR(MONTH(C51)=2,MONTH(C51)=4,MONTH(C51)=6,MONTH(C51)=9,MONTH(C51)=11),"",AF51+1))</f>
        <v/>
      </c>
      <c r="AH51" s="19"/>
      <c r="AI51" s="20"/>
      <c r="AJ51" s="20"/>
      <c r="AK51" s="20"/>
      <c r="AL51" s="20"/>
      <c r="AM51" s="20"/>
      <c r="AN51" s="20"/>
      <c r="AO51" s="20"/>
      <c r="AP51" s="20"/>
      <c r="AQ51" s="20"/>
      <c r="AR51" s="20"/>
      <c r="AS51" s="20"/>
      <c r="AT51" s="20"/>
      <c r="AU51" s="20"/>
      <c r="AV51" s="20"/>
    </row>
    <row r="52" spans="1:48" ht="18" customHeight="1">
      <c r="A52" s="35"/>
      <c r="B52" s="31" t="s">
        <v>52</v>
      </c>
      <c r="C52" s="67">
        <f>+C51</f>
        <v>46076</v>
      </c>
      <c r="D52" s="67">
        <f t="shared" ref="D52:AG53" si="10">IF(D51="","",+D51)</f>
        <v>46077</v>
      </c>
      <c r="E52" s="67">
        <f t="shared" si="10"/>
        <v>46078</v>
      </c>
      <c r="F52" s="67">
        <f t="shared" si="10"/>
        <v>46079</v>
      </c>
      <c r="G52" s="67">
        <f t="shared" si="10"/>
        <v>46080</v>
      </c>
      <c r="H52" s="67">
        <f t="shared" si="10"/>
        <v>46081</v>
      </c>
      <c r="I52" s="67">
        <f t="shared" si="10"/>
        <v>46082</v>
      </c>
      <c r="J52" s="67">
        <f t="shared" si="10"/>
        <v>46083</v>
      </c>
      <c r="K52" s="67">
        <f t="shared" si="10"/>
        <v>46084</v>
      </c>
      <c r="L52" s="67">
        <f t="shared" si="10"/>
        <v>46085</v>
      </c>
      <c r="M52" s="67">
        <f t="shared" si="10"/>
        <v>46086</v>
      </c>
      <c r="N52" s="67">
        <f t="shared" si="10"/>
        <v>46087</v>
      </c>
      <c r="O52" s="67">
        <f t="shared" si="10"/>
        <v>46088</v>
      </c>
      <c r="P52" s="67">
        <f t="shared" si="10"/>
        <v>46089</v>
      </c>
      <c r="Q52" s="67">
        <f t="shared" si="10"/>
        <v>46090</v>
      </c>
      <c r="R52" s="67">
        <f t="shared" si="10"/>
        <v>46091</v>
      </c>
      <c r="S52" s="67">
        <f t="shared" si="10"/>
        <v>46092</v>
      </c>
      <c r="T52" s="67">
        <f t="shared" si="10"/>
        <v>46093</v>
      </c>
      <c r="U52" s="67">
        <f t="shared" si="10"/>
        <v>46094</v>
      </c>
      <c r="V52" s="67">
        <f t="shared" si="10"/>
        <v>46095</v>
      </c>
      <c r="W52" s="67">
        <f t="shared" si="10"/>
        <v>46096</v>
      </c>
      <c r="X52" s="67">
        <f t="shared" si="10"/>
        <v>46097</v>
      </c>
      <c r="Y52" s="67">
        <f t="shared" si="10"/>
        <v>46098</v>
      </c>
      <c r="Z52" s="67">
        <f t="shared" si="10"/>
        <v>46099</v>
      </c>
      <c r="AA52" s="67">
        <f t="shared" si="10"/>
        <v>46100</v>
      </c>
      <c r="AB52" s="67">
        <f t="shared" si="10"/>
        <v>46101</v>
      </c>
      <c r="AC52" s="67">
        <f t="shared" si="10"/>
        <v>46102</v>
      </c>
      <c r="AD52" s="67">
        <f t="shared" si="10"/>
        <v>46103</v>
      </c>
      <c r="AE52" s="67" t="str">
        <f t="shared" si="10"/>
        <v/>
      </c>
      <c r="AF52" s="67" t="str">
        <f t="shared" si="10"/>
        <v/>
      </c>
      <c r="AG52" s="38" t="str">
        <f t="shared" si="10"/>
        <v/>
      </c>
      <c r="AH52" s="19"/>
      <c r="AI52" s="20"/>
      <c r="AJ52" s="20"/>
      <c r="AK52" s="20"/>
      <c r="AL52" s="20"/>
      <c r="AM52" s="20"/>
      <c r="AN52" s="20"/>
      <c r="AO52" s="20"/>
      <c r="AP52" s="20"/>
      <c r="AQ52" s="20"/>
      <c r="AR52" s="20"/>
      <c r="AS52" s="20"/>
      <c r="AT52" s="20"/>
      <c r="AU52" s="20"/>
      <c r="AV52" s="20"/>
    </row>
    <row r="53" spans="1:48" ht="18" customHeight="1">
      <c r="A53" s="35"/>
      <c r="B53" s="31" t="s">
        <v>53</v>
      </c>
      <c r="C53" s="39">
        <f>+C52</f>
        <v>46076</v>
      </c>
      <c r="D53" s="39">
        <f t="shared" si="10"/>
        <v>46077</v>
      </c>
      <c r="E53" s="39">
        <f t="shared" si="10"/>
        <v>46078</v>
      </c>
      <c r="F53" s="39">
        <f t="shared" si="10"/>
        <v>46079</v>
      </c>
      <c r="G53" s="39">
        <f t="shared" si="10"/>
        <v>46080</v>
      </c>
      <c r="H53" s="39">
        <f t="shared" si="10"/>
        <v>46081</v>
      </c>
      <c r="I53" s="39">
        <f t="shared" si="10"/>
        <v>46082</v>
      </c>
      <c r="J53" s="39">
        <f t="shared" si="10"/>
        <v>46083</v>
      </c>
      <c r="K53" s="39">
        <f t="shared" si="10"/>
        <v>46084</v>
      </c>
      <c r="L53" s="39">
        <f t="shared" si="10"/>
        <v>46085</v>
      </c>
      <c r="M53" s="39">
        <f t="shared" si="10"/>
        <v>46086</v>
      </c>
      <c r="N53" s="39">
        <f t="shared" si="10"/>
        <v>46087</v>
      </c>
      <c r="O53" s="39">
        <f t="shared" si="10"/>
        <v>46088</v>
      </c>
      <c r="P53" s="39">
        <f t="shared" si="10"/>
        <v>46089</v>
      </c>
      <c r="Q53" s="39">
        <f t="shared" si="10"/>
        <v>46090</v>
      </c>
      <c r="R53" s="39">
        <f t="shared" si="10"/>
        <v>46091</v>
      </c>
      <c r="S53" s="39">
        <f t="shared" si="10"/>
        <v>46092</v>
      </c>
      <c r="T53" s="39">
        <f t="shared" si="10"/>
        <v>46093</v>
      </c>
      <c r="U53" s="39">
        <f t="shared" si="10"/>
        <v>46094</v>
      </c>
      <c r="V53" s="39">
        <f t="shared" si="10"/>
        <v>46095</v>
      </c>
      <c r="W53" s="39">
        <f t="shared" si="10"/>
        <v>46096</v>
      </c>
      <c r="X53" s="39">
        <f t="shared" si="10"/>
        <v>46097</v>
      </c>
      <c r="Y53" s="39">
        <f t="shared" si="10"/>
        <v>46098</v>
      </c>
      <c r="Z53" s="39">
        <f t="shared" si="10"/>
        <v>46099</v>
      </c>
      <c r="AA53" s="39">
        <f t="shared" si="10"/>
        <v>46100</v>
      </c>
      <c r="AB53" s="39">
        <f t="shared" si="10"/>
        <v>46101</v>
      </c>
      <c r="AC53" s="39">
        <f t="shared" si="10"/>
        <v>46102</v>
      </c>
      <c r="AD53" s="39">
        <f t="shared" si="10"/>
        <v>46103</v>
      </c>
      <c r="AE53" s="39" t="str">
        <f t="shared" si="10"/>
        <v/>
      </c>
      <c r="AF53" s="39" t="str">
        <f t="shared" si="10"/>
        <v/>
      </c>
      <c r="AG53" s="40" t="str">
        <f t="shared" si="10"/>
        <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G54" si="11">IF(C$53="","",IF(C$53=$K$151,"ハローワーク来所日②",""))</f>
        <v/>
      </c>
      <c r="D54" s="399" t="s">
        <v>315</v>
      </c>
      <c r="E54" s="399" t="s">
        <v>315</v>
      </c>
      <c r="F54" s="399" t="s">
        <v>315</v>
      </c>
      <c r="G54" s="399" t="s">
        <v>315</v>
      </c>
      <c r="H54" s="399" t="str">
        <f t="shared" si="11"/>
        <v/>
      </c>
      <c r="I54" s="399" t="str">
        <f t="shared" si="11"/>
        <v/>
      </c>
      <c r="J54" s="399" t="s">
        <v>317</v>
      </c>
      <c r="K54" s="399" t="s">
        <v>316</v>
      </c>
      <c r="L54" s="399" t="s">
        <v>316</v>
      </c>
      <c r="M54" s="399" t="s">
        <v>283</v>
      </c>
      <c r="N54" s="399" t="s">
        <v>283</v>
      </c>
      <c r="O54" s="399" t="s">
        <v>67</v>
      </c>
      <c r="P54" s="399" t="str">
        <f t="shared" si="11"/>
        <v/>
      </c>
      <c r="Q54" s="399" t="str">
        <f t="shared" si="11"/>
        <v>ハローワーク来所日②</v>
      </c>
      <c r="R54" s="399" t="s">
        <v>283</v>
      </c>
      <c r="S54" s="399" t="s">
        <v>283</v>
      </c>
      <c r="T54" s="399" t="s">
        <v>283</v>
      </c>
      <c r="U54" s="399" t="s">
        <v>283</v>
      </c>
      <c r="V54" s="399" t="s">
        <v>67</v>
      </c>
      <c r="W54" s="399" t="str">
        <f t="shared" si="11"/>
        <v/>
      </c>
      <c r="X54" s="399" t="s">
        <v>283</v>
      </c>
      <c r="Y54" s="399" t="s">
        <v>283</v>
      </c>
      <c r="Z54" s="399" t="s">
        <v>283</v>
      </c>
      <c r="AA54" s="399" t="s">
        <v>283</v>
      </c>
      <c r="AB54" s="399" t="str">
        <f t="shared" si="11"/>
        <v/>
      </c>
      <c r="AC54" s="399" t="str">
        <f t="shared" si="11"/>
        <v/>
      </c>
      <c r="AD54" s="399" t="str">
        <f t="shared" si="11"/>
        <v/>
      </c>
      <c r="AE54" s="399" t="str">
        <f t="shared" si="11"/>
        <v/>
      </c>
      <c r="AF54" s="399" t="str">
        <f t="shared" si="11"/>
        <v/>
      </c>
      <c r="AG54" s="402" t="str">
        <f t="shared" si="11"/>
        <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t="s">
        <v>64</v>
      </c>
      <c r="H67" s="49"/>
      <c r="I67" s="49"/>
      <c r="J67" s="44"/>
      <c r="K67" s="44"/>
      <c r="L67" s="44"/>
      <c r="M67" s="44"/>
      <c r="N67" s="44"/>
      <c r="O67" s="49"/>
      <c r="P67" s="49"/>
      <c r="Q67" s="44"/>
      <c r="R67" s="44"/>
      <c r="S67" s="44"/>
      <c r="T67" s="49"/>
      <c r="U67" s="49"/>
      <c r="V67" s="49"/>
      <c r="W67" s="49"/>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[8]機構処理!BI81</f>
        <v/>
      </c>
      <c r="AJ68" s="416"/>
      <c r="AK68" s="72"/>
      <c r="AL68" s="70"/>
      <c r="AM68" s="72"/>
      <c r="AN68" s="72"/>
      <c r="AO68" s="72"/>
      <c r="AP68" s="20"/>
      <c r="AQ68" s="20"/>
      <c r="AR68" s="20"/>
      <c r="AS68" s="20"/>
      <c r="AT68" s="20"/>
      <c r="AU68" s="20"/>
      <c r="AV68" s="20"/>
    </row>
    <row r="69" spans="1:48" ht="18" customHeight="1">
      <c r="A69" s="35"/>
      <c r="B69" s="407" t="s">
        <v>66</v>
      </c>
      <c r="C69" s="56"/>
      <c r="D69" s="57">
        <v>6</v>
      </c>
      <c r="E69" s="57">
        <v>6</v>
      </c>
      <c r="F69" s="57">
        <v>6</v>
      </c>
      <c r="G69" s="57">
        <v>6</v>
      </c>
      <c r="H69" s="57"/>
      <c r="I69" s="57"/>
      <c r="J69" s="57">
        <v>6</v>
      </c>
      <c r="K69" s="57">
        <v>6</v>
      </c>
      <c r="L69" s="57">
        <v>6</v>
      </c>
      <c r="M69" s="57">
        <v>6</v>
      </c>
      <c r="N69" s="57">
        <v>6</v>
      </c>
      <c r="O69" s="57">
        <v>0</v>
      </c>
      <c r="P69" s="57"/>
      <c r="Q69" s="57"/>
      <c r="R69" s="57">
        <v>6</v>
      </c>
      <c r="S69" s="57">
        <v>6</v>
      </c>
      <c r="T69" s="57">
        <v>6</v>
      </c>
      <c r="U69" s="57">
        <v>6</v>
      </c>
      <c r="V69" s="57">
        <v>0</v>
      </c>
      <c r="W69" s="57"/>
      <c r="X69" s="57">
        <v>6</v>
      </c>
      <c r="Y69" s="57">
        <v>6</v>
      </c>
      <c r="Z69" s="57">
        <v>6</v>
      </c>
      <c r="AA69" s="57">
        <v>6</v>
      </c>
      <c r="AB69" s="57"/>
      <c r="AC69" s="57"/>
      <c r="AD69" s="57"/>
      <c r="AE69" s="57"/>
      <c r="AF69" s="57"/>
      <c r="AG69" s="73"/>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IF(C51="","",[8]機構処理!BF41)</f>
        <v>2</v>
      </c>
      <c r="AL71" s="69" t="str">
        <f>IF(C51="","","日")</f>
        <v>日</v>
      </c>
      <c r="AM71" s="64"/>
      <c r="AN71" s="20"/>
      <c r="AO71" s="20"/>
      <c r="AP71" s="20"/>
      <c r="AQ71" s="20"/>
      <c r="AR71" s="20"/>
      <c r="AS71" s="20"/>
      <c r="AT71" s="20"/>
      <c r="AU71" s="20"/>
      <c r="AV71" s="20"/>
    </row>
    <row r="72" spans="1:48" ht="14.4">
      <c r="A72" s="15"/>
      <c r="B72" s="15"/>
      <c r="C72" s="28" t="str">
        <f t="shared" ref="C72:AG72" si="12">IF(C75="","",IF(C75=訓練終了日,"修了日",""))</f>
        <v/>
      </c>
      <c r="D72" s="28" t="str">
        <f t="shared" si="12"/>
        <v/>
      </c>
      <c r="E72" s="28" t="str">
        <f t="shared" si="12"/>
        <v/>
      </c>
      <c r="F72" s="28" t="str">
        <f t="shared" si="12"/>
        <v/>
      </c>
      <c r="G72" s="28" t="str">
        <f t="shared" si="12"/>
        <v/>
      </c>
      <c r="H72" s="28" t="str">
        <f t="shared" si="12"/>
        <v/>
      </c>
      <c r="I72" s="28" t="str">
        <f t="shared" si="12"/>
        <v/>
      </c>
      <c r="J72" s="28" t="str">
        <f t="shared" si="12"/>
        <v/>
      </c>
      <c r="K72" s="28" t="str">
        <f t="shared" si="12"/>
        <v/>
      </c>
      <c r="L72" s="28" t="str">
        <f t="shared" si="12"/>
        <v/>
      </c>
      <c r="M72" s="28" t="str">
        <f t="shared" si="12"/>
        <v/>
      </c>
      <c r="N72" s="28" t="str">
        <f t="shared" si="12"/>
        <v/>
      </c>
      <c r="O72" s="28" t="str">
        <f t="shared" si="12"/>
        <v/>
      </c>
      <c r="P72" s="28" t="str">
        <f t="shared" si="12"/>
        <v/>
      </c>
      <c r="Q72" s="28" t="str">
        <f t="shared" si="12"/>
        <v/>
      </c>
      <c r="R72" s="28" t="str">
        <f t="shared" si="12"/>
        <v/>
      </c>
      <c r="S72" s="28" t="str">
        <f t="shared" si="12"/>
        <v/>
      </c>
      <c r="T72" s="28" t="str">
        <f t="shared" si="12"/>
        <v/>
      </c>
      <c r="U72" s="28" t="str">
        <f t="shared" si="12"/>
        <v/>
      </c>
      <c r="V72" s="28" t="str">
        <f t="shared" si="12"/>
        <v/>
      </c>
      <c r="W72" s="28" t="str">
        <f t="shared" si="12"/>
        <v/>
      </c>
      <c r="X72" s="28" t="str">
        <f t="shared" si="12"/>
        <v/>
      </c>
      <c r="Y72" s="28" t="str">
        <f t="shared" si="12"/>
        <v/>
      </c>
      <c r="Z72" s="28" t="str">
        <f t="shared" si="12"/>
        <v/>
      </c>
      <c r="AA72" s="28" t="str">
        <f t="shared" si="12"/>
        <v/>
      </c>
      <c r="AB72" s="28" t="str">
        <f t="shared" si="12"/>
        <v/>
      </c>
      <c r="AC72" s="28" t="str">
        <f t="shared" si="12"/>
        <v/>
      </c>
      <c r="AD72" s="28" t="str">
        <f t="shared" si="12"/>
        <v/>
      </c>
      <c r="AE72" s="28" t="str">
        <f t="shared" si="12"/>
        <v/>
      </c>
      <c r="AF72" s="28" t="str">
        <f t="shared" si="12"/>
        <v/>
      </c>
      <c r="AG72" s="28" t="str">
        <f t="shared" si="12"/>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46104</v>
      </c>
      <c r="D73" s="33">
        <f t="shared" ref="D73:AD73" si="13">IF(OR(C73="",C72="修了日"),"",C73+1)</f>
        <v>46105</v>
      </c>
      <c r="E73" s="33">
        <f t="shared" si="13"/>
        <v>46106</v>
      </c>
      <c r="F73" s="33">
        <f t="shared" si="13"/>
        <v>46107</v>
      </c>
      <c r="G73" s="33">
        <f t="shared" si="13"/>
        <v>46108</v>
      </c>
      <c r="H73" s="33">
        <f t="shared" si="13"/>
        <v>46109</v>
      </c>
      <c r="I73" s="33">
        <f t="shared" si="13"/>
        <v>46110</v>
      </c>
      <c r="J73" s="33">
        <f t="shared" si="13"/>
        <v>46111</v>
      </c>
      <c r="K73" s="33">
        <f t="shared" si="13"/>
        <v>46112</v>
      </c>
      <c r="L73" s="33">
        <f t="shared" si="13"/>
        <v>46113</v>
      </c>
      <c r="M73" s="33">
        <f t="shared" si="13"/>
        <v>46114</v>
      </c>
      <c r="N73" s="33">
        <f t="shared" si="13"/>
        <v>46115</v>
      </c>
      <c r="O73" s="33">
        <f t="shared" si="13"/>
        <v>46116</v>
      </c>
      <c r="P73" s="33">
        <f t="shared" si="13"/>
        <v>46117</v>
      </c>
      <c r="Q73" s="33">
        <f t="shared" si="13"/>
        <v>46118</v>
      </c>
      <c r="R73" s="33">
        <f t="shared" si="13"/>
        <v>46119</v>
      </c>
      <c r="S73" s="33">
        <f t="shared" si="13"/>
        <v>46120</v>
      </c>
      <c r="T73" s="33">
        <f t="shared" si="13"/>
        <v>46121</v>
      </c>
      <c r="U73" s="33">
        <f t="shared" si="13"/>
        <v>46122</v>
      </c>
      <c r="V73" s="33">
        <f t="shared" si="13"/>
        <v>46123</v>
      </c>
      <c r="W73" s="33">
        <f t="shared" si="13"/>
        <v>46124</v>
      </c>
      <c r="X73" s="33">
        <f t="shared" si="13"/>
        <v>46125</v>
      </c>
      <c r="Y73" s="33">
        <f t="shared" si="13"/>
        <v>46126</v>
      </c>
      <c r="Z73" s="33">
        <f t="shared" si="13"/>
        <v>46127</v>
      </c>
      <c r="AA73" s="33">
        <f t="shared" si="13"/>
        <v>46128</v>
      </c>
      <c r="AB73" s="33">
        <f t="shared" si="13"/>
        <v>46129</v>
      </c>
      <c r="AC73" s="33">
        <f t="shared" si="13"/>
        <v>46130</v>
      </c>
      <c r="AD73" s="33">
        <f t="shared" si="13"/>
        <v>46131</v>
      </c>
      <c r="AE73" s="33">
        <f>IF(OR(AD73="",AD72="修了日"),"",IF(AND(DAY(DATE(YEAR(C73),2,29))=29,MONTH(C73)=2),AD73+1,IF(MONTH(C73)=2,"",AD73+1)))</f>
        <v>46132</v>
      </c>
      <c r="AF73" s="33">
        <f>IF(OR(AE73="",AE72="修了日"),"",IF(MONTH(C73)=2,"",AE73+1))</f>
        <v>46133</v>
      </c>
      <c r="AG73" s="65">
        <f>IF(OR(AF73="",AF72="修了日"),"",IF(OR(MONTH(C73)=2,MONTH(C73)=4,MONTH(C73)=6,MONTH(C73)=9,MONTH(C73)=11),"",AF73+1))</f>
        <v>46134</v>
      </c>
      <c r="AH73" s="19"/>
      <c r="AI73" s="20"/>
      <c r="AJ73" s="20"/>
      <c r="AK73" s="20"/>
      <c r="AL73" s="20"/>
      <c r="AM73" s="20"/>
      <c r="AN73" s="20"/>
      <c r="AO73" s="20"/>
      <c r="AP73" s="20"/>
      <c r="AQ73" s="20"/>
      <c r="AR73" s="20"/>
      <c r="AS73" s="20"/>
      <c r="AT73" s="20"/>
      <c r="AU73" s="20"/>
      <c r="AV73" s="20"/>
    </row>
    <row r="74" spans="1:48" ht="18.75" customHeight="1">
      <c r="A74" s="35"/>
      <c r="B74" s="31" t="s">
        <v>52</v>
      </c>
      <c r="C74" s="67">
        <f>+C73</f>
        <v>46104</v>
      </c>
      <c r="D74" s="67">
        <f t="shared" ref="D74:AG75" si="14">IF(D73="","",+D73)</f>
        <v>46105</v>
      </c>
      <c r="E74" s="67">
        <f t="shared" si="14"/>
        <v>46106</v>
      </c>
      <c r="F74" s="67">
        <f t="shared" si="14"/>
        <v>46107</v>
      </c>
      <c r="G74" s="67">
        <f t="shared" si="14"/>
        <v>46108</v>
      </c>
      <c r="H74" s="67">
        <f t="shared" si="14"/>
        <v>46109</v>
      </c>
      <c r="I74" s="67">
        <f t="shared" si="14"/>
        <v>46110</v>
      </c>
      <c r="J74" s="67">
        <f t="shared" si="14"/>
        <v>46111</v>
      </c>
      <c r="K74" s="67">
        <f t="shared" si="14"/>
        <v>46112</v>
      </c>
      <c r="L74" s="67">
        <f t="shared" si="14"/>
        <v>46113</v>
      </c>
      <c r="M74" s="67">
        <f t="shared" si="14"/>
        <v>46114</v>
      </c>
      <c r="N74" s="67">
        <f t="shared" si="14"/>
        <v>46115</v>
      </c>
      <c r="O74" s="67">
        <f t="shared" si="14"/>
        <v>46116</v>
      </c>
      <c r="P74" s="67">
        <f t="shared" si="14"/>
        <v>46117</v>
      </c>
      <c r="Q74" s="67">
        <f t="shared" si="14"/>
        <v>46118</v>
      </c>
      <c r="R74" s="67">
        <f t="shared" si="14"/>
        <v>46119</v>
      </c>
      <c r="S74" s="67">
        <f t="shared" si="14"/>
        <v>46120</v>
      </c>
      <c r="T74" s="67">
        <f t="shared" si="14"/>
        <v>46121</v>
      </c>
      <c r="U74" s="67">
        <f t="shared" si="14"/>
        <v>46122</v>
      </c>
      <c r="V74" s="67">
        <f t="shared" si="14"/>
        <v>46123</v>
      </c>
      <c r="W74" s="67">
        <f t="shared" si="14"/>
        <v>46124</v>
      </c>
      <c r="X74" s="67">
        <f t="shared" si="14"/>
        <v>46125</v>
      </c>
      <c r="Y74" s="67">
        <f t="shared" si="14"/>
        <v>46126</v>
      </c>
      <c r="Z74" s="67">
        <f t="shared" si="14"/>
        <v>46127</v>
      </c>
      <c r="AA74" s="67">
        <f t="shared" si="14"/>
        <v>46128</v>
      </c>
      <c r="AB74" s="67">
        <f t="shared" si="14"/>
        <v>46129</v>
      </c>
      <c r="AC74" s="67">
        <f t="shared" si="14"/>
        <v>46130</v>
      </c>
      <c r="AD74" s="67">
        <f t="shared" si="14"/>
        <v>46131</v>
      </c>
      <c r="AE74" s="67">
        <f t="shared" si="14"/>
        <v>46132</v>
      </c>
      <c r="AF74" s="67">
        <f t="shared" si="14"/>
        <v>46133</v>
      </c>
      <c r="AG74" s="38">
        <f t="shared" si="14"/>
        <v>46134</v>
      </c>
      <c r="AH74" s="19"/>
      <c r="AI74" s="20"/>
      <c r="AJ74" s="20"/>
      <c r="AK74" s="20"/>
      <c r="AL74" s="20"/>
      <c r="AM74" s="20"/>
      <c r="AN74" s="20"/>
      <c r="AO74" s="20"/>
      <c r="AP74" s="20"/>
      <c r="AQ74" s="20"/>
      <c r="AR74" s="20"/>
      <c r="AS74" s="20"/>
      <c r="AT74" s="20"/>
      <c r="AU74" s="20"/>
      <c r="AV74" s="20"/>
    </row>
    <row r="75" spans="1:48" ht="18.75" customHeight="1">
      <c r="A75" s="35"/>
      <c r="B75" s="31" t="s">
        <v>53</v>
      </c>
      <c r="C75" s="39">
        <f>+C74</f>
        <v>46104</v>
      </c>
      <c r="D75" s="39">
        <f t="shared" si="14"/>
        <v>46105</v>
      </c>
      <c r="E75" s="39">
        <f t="shared" si="14"/>
        <v>46106</v>
      </c>
      <c r="F75" s="39">
        <f t="shared" si="14"/>
        <v>46107</v>
      </c>
      <c r="G75" s="39">
        <f t="shared" si="14"/>
        <v>46108</v>
      </c>
      <c r="H75" s="39">
        <f t="shared" si="14"/>
        <v>46109</v>
      </c>
      <c r="I75" s="39">
        <f t="shared" si="14"/>
        <v>46110</v>
      </c>
      <c r="J75" s="39">
        <f t="shared" si="14"/>
        <v>46111</v>
      </c>
      <c r="K75" s="39">
        <f t="shared" si="14"/>
        <v>46112</v>
      </c>
      <c r="L75" s="39">
        <f t="shared" si="14"/>
        <v>46113</v>
      </c>
      <c r="M75" s="39">
        <f t="shared" si="14"/>
        <v>46114</v>
      </c>
      <c r="N75" s="39">
        <f t="shared" si="14"/>
        <v>46115</v>
      </c>
      <c r="O75" s="39">
        <f t="shared" si="14"/>
        <v>46116</v>
      </c>
      <c r="P75" s="39">
        <f t="shared" si="14"/>
        <v>46117</v>
      </c>
      <c r="Q75" s="39">
        <f t="shared" si="14"/>
        <v>46118</v>
      </c>
      <c r="R75" s="39">
        <f t="shared" si="14"/>
        <v>46119</v>
      </c>
      <c r="S75" s="39">
        <f t="shared" si="14"/>
        <v>46120</v>
      </c>
      <c r="T75" s="39">
        <f t="shared" si="14"/>
        <v>46121</v>
      </c>
      <c r="U75" s="39">
        <f t="shared" si="14"/>
        <v>46122</v>
      </c>
      <c r="V75" s="39">
        <f t="shared" si="14"/>
        <v>46123</v>
      </c>
      <c r="W75" s="39">
        <f t="shared" si="14"/>
        <v>46124</v>
      </c>
      <c r="X75" s="39">
        <f t="shared" si="14"/>
        <v>46125</v>
      </c>
      <c r="Y75" s="39">
        <f t="shared" si="14"/>
        <v>46126</v>
      </c>
      <c r="Z75" s="39">
        <f t="shared" si="14"/>
        <v>46127</v>
      </c>
      <c r="AA75" s="39">
        <f t="shared" si="14"/>
        <v>46128</v>
      </c>
      <c r="AB75" s="39">
        <f t="shared" si="14"/>
        <v>46129</v>
      </c>
      <c r="AC75" s="39">
        <f t="shared" si="14"/>
        <v>46130</v>
      </c>
      <c r="AD75" s="39">
        <f t="shared" si="14"/>
        <v>46131</v>
      </c>
      <c r="AE75" s="39">
        <f t="shared" si="14"/>
        <v>46132</v>
      </c>
      <c r="AF75" s="39">
        <f t="shared" si="14"/>
        <v>46133</v>
      </c>
      <c r="AG75" s="40">
        <f t="shared" si="14"/>
        <v>46134</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12" t="s">
        <v>283</v>
      </c>
      <c r="D76" s="399"/>
      <c r="E76" s="399" t="str">
        <f t="shared" ref="E76:AE76" si="15">IF(E$75="","",IF(E$75=$K$152,"ハローワーク来所日③",""))</f>
        <v/>
      </c>
      <c r="F76" s="399" t="s">
        <v>283</v>
      </c>
      <c r="G76" s="399" t="s">
        <v>283</v>
      </c>
      <c r="H76" s="399" t="str">
        <f t="shared" si="15"/>
        <v/>
      </c>
      <c r="I76" s="399" t="str">
        <f t="shared" si="15"/>
        <v/>
      </c>
      <c r="J76" s="399" t="str">
        <f t="shared" si="15"/>
        <v/>
      </c>
      <c r="K76" s="399" t="s">
        <v>283</v>
      </c>
      <c r="L76" s="399" t="s">
        <v>283</v>
      </c>
      <c r="M76" s="399" t="str">
        <f t="shared" si="15"/>
        <v>ハローワーク来所日③</v>
      </c>
      <c r="N76" s="399" t="s">
        <v>318</v>
      </c>
      <c r="O76" s="399" t="str">
        <f t="shared" si="15"/>
        <v/>
      </c>
      <c r="P76" s="399" t="str">
        <f t="shared" si="15"/>
        <v/>
      </c>
      <c r="Q76" s="399" t="s">
        <v>318</v>
      </c>
      <c r="R76" s="399"/>
      <c r="S76" s="399" t="str">
        <f t="shared" si="15"/>
        <v/>
      </c>
      <c r="T76" s="399" t="s">
        <v>318</v>
      </c>
      <c r="U76" s="399" t="s">
        <v>318</v>
      </c>
      <c r="V76" s="399" t="str">
        <f t="shared" si="15"/>
        <v/>
      </c>
      <c r="W76" s="399" t="str">
        <f t="shared" si="15"/>
        <v/>
      </c>
      <c r="X76" s="399"/>
      <c r="Y76" s="399" t="s">
        <v>318</v>
      </c>
      <c r="Z76" s="399" t="str">
        <f t="shared" si="15"/>
        <v/>
      </c>
      <c r="AA76" s="399" t="s">
        <v>286</v>
      </c>
      <c r="AB76" s="399" t="s">
        <v>224</v>
      </c>
      <c r="AC76" s="399" t="str">
        <f t="shared" si="15"/>
        <v/>
      </c>
      <c r="AD76" s="399" t="str">
        <f t="shared" si="15"/>
        <v/>
      </c>
      <c r="AE76" s="399" t="str">
        <f t="shared" si="15"/>
        <v/>
      </c>
      <c r="AF76" s="399" t="s">
        <v>284</v>
      </c>
      <c r="AG76" s="402" t="s">
        <v>284</v>
      </c>
      <c r="AH76" s="211">
        <v>1</v>
      </c>
      <c r="AI76" s="20"/>
      <c r="AJ76" s="20"/>
      <c r="AK76" s="20"/>
      <c r="AL76" s="20"/>
      <c r="AM76" s="20"/>
      <c r="AN76" s="20"/>
      <c r="AO76" s="20"/>
      <c r="AP76" s="20"/>
      <c r="AQ76" s="20"/>
      <c r="AR76" s="20"/>
      <c r="AS76" s="20"/>
      <c r="AT76" s="20"/>
      <c r="AU76" s="20"/>
      <c r="AV76" s="20"/>
    </row>
    <row r="77" spans="1:48" ht="18" customHeight="1">
      <c r="A77" s="411"/>
      <c r="B77" s="41"/>
      <c r="C77" s="413"/>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13"/>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13"/>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13"/>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13"/>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13"/>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13"/>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13"/>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13"/>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13"/>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14"/>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4"/>
      <c r="T89" s="49"/>
      <c r="U89" s="49"/>
      <c r="V89" s="49"/>
      <c r="W89" s="49"/>
      <c r="X89" s="44"/>
      <c r="Y89" s="44" t="s">
        <v>64</v>
      </c>
      <c r="Z89" s="44"/>
      <c r="AA89" s="44"/>
      <c r="AB89" s="49"/>
      <c r="AC89" s="49"/>
      <c r="AD89" s="44"/>
      <c r="AE89" s="44"/>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3"/>
      <c r="AA90" s="53"/>
      <c r="AB90" s="54"/>
      <c r="AC90" s="54"/>
      <c r="AD90" s="53"/>
      <c r="AE90" s="53"/>
      <c r="AF90" s="53"/>
      <c r="AG90" s="71"/>
      <c r="AH90" s="132" t="str">
        <f>IF(AI90="","","←")</f>
        <v/>
      </c>
      <c r="AI90" s="417" t="str">
        <f>[8]機構処理!BI85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v>6</v>
      </c>
      <c r="H91" s="57"/>
      <c r="I91" s="57"/>
      <c r="J91" s="57"/>
      <c r="K91" s="57">
        <v>6</v>
      </c>
      <c r="L91" s="57">
        <v>6</v>
      </c>
      <c r="M91" s="57"/>
      <c r="N91" s="57">
        <v>6</v>
      </c>
      <c r="O91" s="57"/>
      <c r="P91" s="57"/>
      <c r="Q91" s="57">
        <v>6</v>
      </c>
      <c r="R91" s="57"/>
      <c r="S91" s="57"/>
      <c r="T91" s="57">
        <v>6</v>
      </c>
      <c r="U91" s="57">
        <v>6</v>
      </c>
      <c r="V91" s="57"/>
      <c r="W91" s="57"/>
      <c r="X91" s="57"/>
      <c r="Y91" s="57">
        <v>6</v>
      </c>
      <c r="Z91" s="57"/>
      <c r="AA91" s="57">
        <v>6</v>
      </c>
      <c r="AB91" s="57">
        <v>6</v>
      </c>
      <c r="AC91" s="57"/>
      <c r="AD91" s="57"/>
      <c r="AE91" s="57"/>
      <c r="AF91" s="57">
        <v>6</v>
      </c>
      <c r="AG91" s="73">
        <v>6</v>
      </c>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IF(C73="","",[8]機構処理!BF47)</f>
        <v>0</v>
      </c>
      <c r="AL93" s="69" t="str">
        <f>IF(C73="","","日")</f>
        <v>日</v>
      </c>
      <c r="AM93" s="64"/>
      <c r="AN93" s="20"/>
      <c r="AO93" s="20"/>
      <c r="AP93" s="20"/>
      <c r="AQ93" s="20"/>
      <c r="AR93" s="20"/>
      <c r="AS93" s="20"/>
      <c r="AT93" s="20"/>
      <c r="AU93" s="20"/>
      <c r="AV93" s="20"/>
    </row>
    <row r="94" spans="1:48" ht="14.4">
      <c r="A94" s="76"/>
      <c r="B94" s="15"/>
      <c r="C94" s="28" t="str">
        <f t="shared" ref="C94:AG94" si="16">IF(C97="","",IF(C97=訓練終了日,"修了日",""))</f>
        <v/>
      </c>
      <c r="D94" s="28" t="str">
        <f t="shared" si="16"/>
        <v/>
      </c>
      <c r="E94" s="28" t="str">
        <f t="shared" si="16"/>
        <v/>
      </c>
      <c r="F94" s="28" t="str">
        <f t="shared" si="16"/>
        <v/>
      </c>
      <c r="G94" s="28" t="str">
        <f t="shared" si="16"/>
        <v/>
      </c>
      <c r="H94" s="28" t="str">
        <f t="shared" si="16"/>
        <v/>
      </c>
      <c r="I94" s="28" t="str">
        <f t="shared" si="16"/>
        <v/>
      </c>
      <c r="J94" s="28" t="str">
        <f t="shared" si="16"/>
        <v/>
      </c>
      <c r="K94" s="28" t="str">
        <f t="shared" si="16"/>
        <v/>
      </c>
      <c r="L94" s="28" t="str">
        <f t="shared" si="16"/>
        <v/>
      </c>
      <c r="M94" s="28" t="str">
        <f t="shared" si="16"/>
        <v/>
      </c>
      <c r="N94" s="28" t="str">
        <f t="shared" si="16"/>
        <v/>
      </c>
      <c r="O94" s="28" t="str">
        <f t="shared" si="16"/>
        <v/>
      </c>
      <c r="P94" s="28" t="str">
        <f t="shared" si="16"/>
        <v/>
      </c>
      <c r="Q94" s="28" t="str">
        <f t="shared" si="16"/>
        <v/>
      </c>
      <c r="R94" s="28" t="str">
        <f t="shared" si="16"/>
        <v/>
      </c>
      <c r="S94" s="28" t="str">
        <f t="shared" si="16"/>
        <v/>
      </c>
      <c r="T94" s="28" t="str">
        <f t="shared" si="16"/>
        <v/>
      </c>
      <c r="U94" s="28" t="str">
        <f t="shared" si="16"/>
        <v/>
      </c>
      <c r="V94" s="28" t="str">
        <f t="shared" si="16"/>
        <v/>
      </c>
      <c r="W94" s="28" t="str">
        <f t="shared" si="16"/>
        <v/>
      </c>
      <c r="X94" s="28" t="str">
        <f t="shared" si="16"/>
        <v/>
      </c>
      <c r="Y94" s="28" t="str">
        <f t="shared" si="16"/>
        <v/>
      </c>
      <c r="Z94" s="28" t="str">
        <f t="shared" si="16"/>
        <v/>
      </c>
      <c r="AA94" s="28" t="str">
        <f t="shared" si="16"/>
        <v/>
      </c>
      <c r="AB94" s="28" t="str">
        <f t="shared" si="16"/>
        <v/>
      </c>
      <c r="AC94" s="28" t="str">
        <f t="shared" si="16"/>
        <v/>
      </c>
      <c r="AD94" s="28" t="str">
        <f t="shared" si="16"/>
        <v/>
      </c>
      <c r="AE94" s="28" t="str">
        <f t="shared" si="16"/>
        <v/>
      </c>
      <c r="AF94" s="28" t="str">
        <f t="shared" si="16"/>
        <v/>
      </c>
      <c r="AG94" s="28" t="str">
        <f t="shared" si="16"/>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46135</v>
      </c>
      <c r="D95" s="33">
        <f t="shared" ref="D95:AD95" si="17">IF(OR(C95="",C94="修了日"),"",C95+1)</f>
        <v>46136</v>
      </c>
      <c r="E95" s="33">
        <f t="shared" si="17"/>
        <v>46137</v>
      </c>
      <c r="F95" s="33">
        <f t="shared" si="17"/>
        <v>46138</v>
      </c>
      <c r="G95" s="33">
        <f t="shared" si="17"/>
        <v>46139</v>
      </c>
      <c r="H95" s="33">
        <f t="shared" si="17"/>
        <v>46140</v>
      </c>
      <c r="I95" s="33">
        <f t="shared" si="17"/>
        <v>46141</v>
      </c>
      <c r="J95" s="33">
        <f t="shared" si="17"/>
        <v>46142</v>
      </c>
      <c r="K95" s="33">
        <f t="shared" si="17"/>
        <v>46143</v>
      </c>
      <c r="L95" s="33">
        <f t="shared" si="17"/>
        <v>46144</v>
      </c>
      <c r="M95" s="33">
        <f t="shared" si="17"/>
        <v>46145</v>
      </c>
      <c r="N95" s="33">
        <f t="shared" si="17"/>
        <v>46146</v>
      </c>
      <c r="O95" s="33">
        <f t="shared" si="17"/>
        <v>46147</v>
      </c>
      <c r="P95" s="33">
        <f t="shared" si="17"/>
        <v>46148</v>
      </c>
      <c r="Q95" s="33">
        <f t="shared" si="17"/>
        <v>46149</v>
      </c>
      <c r="R95" s="33">
        <f t="shared" si="17"/>
        <v>46150</v>
      </c>
      <c r="S95" s="33">
        <f t="shared" si="17"/>
        <v>46151</v>
      </c>
      <c r="T95" s="33">
        <f t="shared" si="17"/>
        <v>46152</v>
      </c>
      <c r="U95" s="33">
        <f t="shared" si="17"/>
        <v>46153</v>
      </c>
      <c r="V95" s="33">
        <f t="shared" si="17"/>
        <v>46154</v>
      </c>
      <c r="W95" s="33">
        <f t="shared" si="17"/>
        <v>46155</v>
      </c>
      <c r="X95" s="33">
        <f t="shared" si="17"/>
        <v>46156</v>
      </c>
      <c r="Y95" s="33">
        <f t="shared" si="17"/>
        <v>46157</v>
      </c>
      <c r="Z95" s="33">
        <f t="shared" si="17"/>
        <v>46158</v>
      </c>
      <c r="AA95" s="33">
        <f t="shared" si="17"/>
        <v>46159</v>
      </c>
      <c r="AB95" s="33">
        <f t="shared" si="17"/>
        <v>46160</v>
      </c>
      <c r="AC95" s="33">
        <f t="shared" si="17"/>
        <v>46161</v>
      </c>
      <c r="AD95" s="33">
        <f t="shared" si="17"/>
        <v>46162</v>
      </c>
      <c r="AE95" s="33">
        <f>IF(OR(AD95="",AD94="修了日"),"",IF(AND(DAY(DATE(YEAR(C95),2,29))=29,MONTH(C95)=2),AD95+1,IF(MONTH(C95)=2,"",AD95+1)))</f>
        <v>46163</v>
      </c>
      <c r="AF95" s="33">
        <f>IF(OR(AE95="",AE94="修了日"),"",IF(MONTH(C95)=2,"",AE95+1))</f>
        <v>46164</v>
      </c>
      <c r="AG95" s="65" t="str">
        <f>IF(OR(AF95="",AF94="修了日"),"",IF(OR(MONTH(C95)=2,MONTH(C95)=4,MONTH(C95)=6,MONTH(C95)=9,MONTH(C95)=11),"",AF95+1))</f>
        <v/>
      </c>
      <c r="AH95" s="19"/>
      <c r="AI95" s="20"/>
      <c r="AJ95" s="20"/>
      <c r="AK95" s="20"/>
      <c r="AL95" s="20"/>
      <c r="AM95" s="20"/>
      <c r="AN95" s="20"/>
      <c r="AO95" s="20"/>
      <c r="AP95" s="20"/>
      <c r="AQ95" s="20"/>
      <c r="AR95" s="20"/>
      <c r="AS95" s="20"/>
      <c r="AT95" s="20"/>
      <c r="AU95" s="20"/>
      <c r="AV95" s="20"/>
    </row>
    <row r="96" spans="1:48" ht="18" customHeight="1">
      <c r="A96" s="35"/>
      <c r="B96" s="79" t="s">
        <v>52</v>
      </c>
      <c r="C96" s="36">
        <f>+C95</f>
        <v>46135</v>
      </c>
      <c r="D96" s="67">
        <f t="shared" ref="D96:AG97" si="18">IF(D95="","",+D95)</f>
        <v>46136</v>
      </c>
      <c r="E96" s="67">
        <f t="shared" si="18"/>
        <v>46137</v>
      </c>
      <c r="F96" s="67">
        <f t="shared" si="18"/>
        <v>46138</v>
      </c>
      <c r="G96" s="67">
        <f t="shared" si="18"/>
        <v>46139</v>
      </c>
      <c r="H96" s="67">
        <f t="shared" si="18"/>
        <v>46140</v>
      </c>
      <c r="I96" s="67">
        <f t="shared" si="18"/>
        <v>46141</v>
      </c>
      <c r="J96" s="67">
        <f t="shared" si="18"/>
        <v>46142</v>
      </c>
      <c r="K96" s="67">
        <f t="shared" si="18"/>
        <v>46143</v>
      </c>
      <c r="L96" s="67">
        <f t="shared" si="18"/>
        <v>46144</v>
      </c>
      <c r="M96" s="67">
        <f t="shared" si="18"/>
        <v>46145</v>
      </c>
      <c r="N96" s="67">
        <f t="shared" si="18"/>
        <v>46146</v>
      </c>
      <c r="O96" s="67">
        <f t="shared" si="18"/>
        <v>46147</v>
      </c>
      <c r="P96" s="67">
        <f t="shared" si="18"/>
        <v>46148</v>
      </c>
      <c r="Q96" s="67">
        <f t="shared" si="18"/>
        <v>46149</v>
      </c>
      <c r="R96" s="67">
        <f t="shared" si="18"/>
        <v>46150</v>
      </c>
      <c r="S96" s="67">
        <f t="shared" si="18"/>
        <v>46151</v>
      </c>
      <c r="T96" s="67">
        <f t="shared" si="18"/>
        <v>46152</v>
      </c>
      <c r="U96" s="67">
        <f t="shared" si="18"/>
        <v>46153</v>
      </c>
      <c r="V96" s="67">
        <f t="shared" si="18"/>
        <v>46154</v>
      </c>
      <c r="W96" s="67">
        <f t="shared" si="18"/>
        <v>46155</v>
      </c>
      <c r="X96" s="67">
        <f t="shared" si="18"/>
        <v>46156</v>
      </c>
      <c r="Y96" s="67">
        <f t="shared" si="18"/>
        <v>46157</v>
      </c>
      <c r="Z96" s="67">
        <f t="shared" si="18"/>
        <v>46158</v>
      </c>
      <c r="AA96" s="67">
        <f t="shared" si="18"/>
        <v>46159</v>
      </c>
      <c r="AB96" s="67">
        <f t="shared" si="18"/>
        <v>46160</v>
      </c>
      <c r="AC96" s="67">
        <f t="shared" si="18"/>
        <v>46161</v>
      </c>
      <c r="AD96" s="67">
        <f t="shared" si="18"/>
        <v>46162</v>
      </c>
      <c r="AE96" s="67">
        <f t="shared" si="18"/>
        <v>46163</v>
      </c>
      <c r="AF96" s="67">
        <f t="shared" si="18"/>
        <v>46164</v>
      </c>
      <c r="AG96" s="38" t="str">
        <f t="shared" si="18"/>
        <v/>
      </c>
      <c r="AH96" s="19"/>
      <c r="AI96" s="20"/>
      <c r="AJ96" s="20"/>
      <c r="AK96" s="20"/>
      <c r="AL96" s="20"/>
      <c r="AM96" s="20"/>
      <c r="AN96" s="20"/>
      <c r="AO96" s="20"/>
      <c r="AP96" s="20"/>
      <c r="AQ96" s="20"/>
      <c r="AR96" s="20"/>
      <c r="AS96" s="20"/>
      <c r="AT96" s="20"/>
      <c r="AU96" s="20"/>
      <c r="AV96" s="20"/>
    </row>
    <row r="97" spans="1:48" ht="18" customHeight="1">
      <c r="A97" s="35"/>
      <c r="B97" s="80" t="s">
        <v>53</v>
      </c>
      <c r="C97" s="81">
        <f>+C96</f>
        <v>46135</v>
      </c>
      <c r="D97" s="39">
        <f t="shared" si="18"/>
        <v>46136</v>
      </c>
      <c r="E97" s="39">
        <f t="shared" si="18"/>
        <v>46137</v>
      </c>
      <c r="F97" s="39">
        <f t="shared" si="18"/>
        <v>46138</v>
      </c>
      <c r="G97" s="39">
        <f t="shared" si="18"/>
        <v>46139</v>
      </c>
      <c r="H97" s="39">
        <f t="shared" si="18"/>
        <v>46140</v>
      </c>
      <c r="I97" s="39">
        <f t="shared" si="18"/>
        <v>46141</v>
      </c>
      <c r="J97" s="39">
        <f t="shared" si="18"/>
        <v>46142</v>
      </c>
      <c r="K97" s="39">
        <f t="shared" si="18"/>
        <v>46143</v>
      </c>
      <c r="L97" s="39">
        <f t="shared" si="18"/>
        <v>46144</v>
      </c>
      <c r="M97" s="39">
        <f t="shared" si="18"/>
        <v>46145</v>
      </c>
      <c r="N97" s="39">
        <f t="shared" si="18"/>
        <v>46146</v>
      </c>
      <c r="O97" s="39">
        <f t="shared" si="18"/>
        <v>46147</v>
      </c>
      <c r="P97" s="39">
        <f t="shared" si="18"/>
        <v>46148</v>
      </c>
      <c r="Q97" s="39">
        <f t="shared" si="18"/>
        <v>46149</v>
      </c>
      <c r="R97" s="39">
        <f t="shared" si="18"/>
        <v>46150</v>
      </c>
      <c r="S97" s="39">
        <f t="shared" si="18"/>
        <v>46151</v>
      </c>
      <c r="T97" s="39">
        <f t="shared" si="18"/>
        <v>46152</v>
      </c>
      <c r="U97" s="39">
        <f t="shared" si="18"/>
        <v>46153</v>
      </c>
      <c r="V97" s="39">
        <f t="shared" si="18"/>
        <v>46154</v>
      </c>
      <c r="W97" s="39">
        <f t="shared" si="18"/>
        <v>46155</v>
      </c>
      <c r="X97" s="39">
        <f t="shared" si="18"/>
        <v>46156</v>
      </c>
      <c r="Y97" s="39">
        <f t="shared" si="18"/>
        <v>46157</v>
      </c>
      <c r="Z97" s="39">
        <f t="shared" si="18"/>
        <v>46158</v>
      </c>
      <c r="AA97" s="39">
        <f t="shared" si="18"/>
        <v>46159</v>
      </c>
      <c r="AB97" s="39">
        <f t="shared" si="18"/>
        <v>46160</v>
      </c>
      <c r="AC97" s="39">
        <f t="shared" si="18"/>
        <v>46161</v>
      </c>
      <c r="AD97" s="39">
        <f t="shared" si="18"/>
        <v>46162</v>
      </c>
      <c r="AE97" s="39">
        <f t="shared" si="18"/>
        <v>46163</v>
      </c>
      <c r="AF97" s="39">
        <f t="shared" si="18"/>
        <v>46164</v>
      </c>
      <c r="AG97" s="40" t="str">
        <f t="shared" si="18"/>
        <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12" t="s">
        <v>284</v>
      </c>
      <c r="D98" s="399" t="s">
        <v>284</v>
      </c>
      <c r="E98" s="399" t="str">
        <f t="shared" ref="E98:AG98" si="19">IF(E$97="","",IF(E$97=$K$153,"ハローワーク来所日④",""))</f>
        <v/>
      </c>
      <c r="F98" s="399" t="str">
        <f t="shared" si="19"/>
        <v/>
      </c>
      <c r="G98" s="399" t="s">
        <v>284</v>
      </c>
      <c r="H98" s="399" t="str">
        <f t="shared" si="19"/>
        <v/>
      </c>
      <c r="I98" s="399" t="str">
        <f t="shared" si="19"/>
        <v/>
      </c>
      <c r="J98" s="399" t="s">
        <v>317</v>
      </c>
      <c r="K98" s="399" t="s">
        <v>284</v>
      </c>
      <c r="L98" s="399" t="str">
        <f t="shared" si="19"/>
        <v/>
      </c>
      <c r="M98" s="399" t="str">
        <f t="shared" si="19"/>
        <v/>
      </c>
      <c r="N98" s="399" t="str">
        <f t="shared" si="19"/>
        <v/>
      </c>
      <c r="O98" s="399" t="str">
        <f t="shared" si="19"/>
        <v/>
      </c>
      <c r="P98" s="399" t="str">
        <f t="shared" si="19"/>
        <v/>
      </c>
      <c r="Q98" s="399" t="str">
        <f t="shared" si="19"/>
        <v>ハローワーク来所日④</v>
      </c>
      <c r="R98" s="399" t="s">
        <v>284</v>
      </c>
      <c r="S98" s="399" t="str">
        <f t="shared" si="19"/>
        <v/>
      </c>
      <c r="T98" s="399" t="str">
        <f t="shared" si="19"/>
        <v/>
      </c>
      <c r="U98" s="399" t="s">
        <v>284</v>
      </c>
      <c r="V98" s="399" t="s">
        <v>284</v>
      </c>
      <c r="W98" s="399"/>
      <c r="X98" s="399" t="s">
        <v>284</v>
      </c>
      <c r="Y98" s="399" t="s">
        <v>284</v>
      </c>
      <c r="Z98" s="399" t="str">
        <f t="shared" si="19"/>
        <v/>
      </c>
      <c r="AA98" s="399" t="str">
        <f t="shared" si="19"/>
        <v/>
      </c>
      <c r="AB98" s="399" t="s">
        <v>286</v>
      </c>
      <c r="AC98" s="399"/>
      <c r="AD98" s="399" t="s">
        <v>285</v>
      </c>
      <c r="AE98" s="399" t="s">
        <v>285</v>
      </c>
      <c r="AF98" s="399" t="s">
        <v>285</v>
      </c>
      <c r="AG98" s="402" t="str">
        <f t="shared" si="19"/>
        <v/>
      </c>
      <c r="AH98" s="211">
        <v>1</v>
      </c>
      <c r="AI98" s="20"/>
      <c r="AJ98" s="20"/>
      <c r="AK98" s="20"/>
      <c r="AL98" s="20"/>
      <c r="AM98" s="20"/>
      <c r="AN98" s="20"/>
      <c r="AO98" s="20"/>
      <c r="AP98" s="20"/>
      <c r="AQ98" s="20"/>
      <c r="AR98" s="20"/>
      <c r="AS98" s="20"/>
      <c r="AT98" s="20"/>
      <c r="AU98" s="20"/>
      <c r="AV98" s="20"/>
    </row>
    <row r="99" spans="1:48" ht="18" customHeight="1">
      <c r="A99" s="411"/>
      <c r="B99" s="41"/>
      <c r="C99" s="413"/>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13"/>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13"/>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13"/>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13"/>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13"/>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13"/>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13"/>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13"/>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13"/>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14"/>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9"/>
      <c r="J110" s="44"/>
      <c r="K110" s="44"/>
      <c r="L110" s="44"/>
      <c r="M110" s="44"/>
      <c r="N110" s="44"/>
      <c r="O110" s="49"/>
      <c r="P110" s="49"/>
      <c r="Q110" s="44"/>
      <c r="R110" s="44"/>
      <c r="S110" s="44"/>
      <c r="T110" s="49"/>
      <c r="U110" s="49"/>
      <c r="V110" s="49" t="s">
        <v>64</v>
      </c>
      <c r="W110" s="49"/>
      <c r="X110" s="44"/>
      <c r="Y110" s="44"/>
      <c r="Z110" s="44"/>
      <c r="AA110" s="44"/>
      <c r="AB110" s="49"/>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3"/>
      <c r="T111" s="54"/>
      <c r="U111" s="54"/>
      <c r="V111" s="54"/>
      <c r="W111" s="54"/>
      <c r="X111" s="53"/>
      <c r="Y111" s="53"/>
      <c r="Z111" s="53"/>
      <c r="AA111" s="53"/>
      <c r="AB111" s="54"/>
      <c r="AC111" s="54"/>
      <c r="AD111" s="53"/>
      <c r="AE111" s="53"/>
      <c r="AF111" s="53"/>
      <c r="AG111" s="71"/>
      <c r="AH111" s="132" t="str">
        <f>IF(AI111="","","←")</f>
        <v/>
      </c>
      <c r="AI111" s="416" t="str">
        <f>[8]機構処理!BI89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v>6</v>
      </c>
      <c r="D112" s="57">
        <v>6</v>
      </c>
      <c r="E112" s="57"/>
      <c r="F112" s="57"/>
      <c r="G112" s="57">
        <v>6</v>
      </c>
      <c r="H112" s="57"/>
      <c r="I112" s="57"/>
      <c r="J112" s="57">
        <v>6</v>
      </c>
      <c r="K112" s="57">
        <v>6</v>
      </c>
      <c r="L112" s="57"/>
      <c r="M112" s="57"/>
      <c r="N112" s="57"/>
      <c r="O112" s="57"/>
      <c r="P112" s="57"/>
      <c r="Q112" s="57"/>
      <c r="R112" s="57">
        <v>6</v>
      </c>
      <c r="S112" s="57"/>
      <c r="T112" s="57"/>
      <c r="U112" s="57">
        <v>6</v>
      </c>
      <c r="V112" s="57">
        <v>6</v>
      </c>
      <c r="W112" s="57"/>
      <c r="X112" s="57">
        <v>6</v>
      </c>
      <c r="Y112" s="57">
        <v>6</v>
      </c>
      <c r="Z112" s="57"/>
      <c r="AA112" s="57"/>
      <c r="AB112" s="57">
        <v>6</v>
      </c>
      <c r="AC112" s="57"/>
      <c r="AD112" s="57">
        <v>6</v>
      </c>
      <c r="AE112" s="57">
        <v>6</v>
      </c>
      <c r="AF112" s="57">
        <v>6</v>
      </c>
      <c r="AG112" s="73"/>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IF(C95="","",[8]機構処理!BF53)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0">IF(C118="","",IF(C118=訓練終了日,"修了日",""))</f>
        <v/>
      </c>
      <c r="D115" s="28" t="str">
        <f t="shared" si="20"/>
        <v/>
      </c>
      <c r="E115" s="28" t="str">
        <f t="shared" si="20"/>
        <v/>
      </c>
      <c r="F115" s="28" t="str">
        <f t="shared" si="20"/>
        <v/>
      </c>
      <c r="G115" s="28" t="str">
        <f t="shared" si="20"/>
        <v/>
      </c>
      <c r="H115" s="28" t="str">
        <f t="shared" si="20"/>
        <v/>
      </c>
      <c r="I115" s="28" t="str">
        <f t="shared" si="20"/>
        <v/>
      </c>
      <c r="J115" s="28" t="str">
        <f t="shared" si="20"/>
        <v/>
      </c>
      <c r="K115" s="28" t="str">
        <f t="shared" si="20"/>
        <v/>
      </c>
      <c r="L115" s="28" t="str">
        <f t="shared" si="20"/>
        <v/>
      </c>
      <c r="M115" s="28" t="str">
        <f t="shared" si="20"/>
        <v/>
      </c>
      <c r="N115" s="28" t="str">
        <f t="shared" si="20"/>
        <v/>
      </c>
      <c r="O115" s="28" t="str">
        <f t="shared" si="20"/>
        <v/>
      </c>
      <c r="P115" s="28" t="str">
        <f t="shared" si="20"/>
        <v/>
      </c>
      <c r="Q115" s="28" t="str">
        <f t="shared" si="20"/>
        <v/>
      </c>
      <c r="R115" s="28" t="str">
        <f t="shared" si="20"/>
        <v/>
      </c>
      <c r="S115" s="28" t="str">
        <f t="shared" si="20"/>
        <v/>
      </c>
      <c r="T115" s="28" t="str">
        <f t="shared" si="20"/>
        <v/>
      </c>
      <c r="U115" s="28" t="str">
        <f t="shared" si="20"/>
        <v/>
      </c>
      <c r="V115" s="28" t="str">
        <f t="shared" si="20"/>
        <v/>
      </c>
      <c r="W115" s="28" t="str">
        <f t="shared" si="20"/>
        <v/>
      </c>
      <c r="X115" s="28" t="str">
        <f t="shared" si="20"/>
        <v/>
      </c>
      <c r="Y115" s="28" t="str">
        <f t="shared" si="20"/>
        <v/>
      </c>
      <c r="Z115" s="28" t="str">
        <f t="shared" si="20"/>
        <v/>
      </c>
      <c r="AA115" s="28" t="str">
        <f t="shared" si="20"/>
        <v/>
      </c>
      <c r="AB115" s="28" t="str">
        <f t="shared" si="20"/>
        <v/>
      </c>
      <c r="AC115" s="28" t="str">
        <f t="shared" si="20"/>
        <v/>
      </c>
      <c r="AD115" s="28" t="str">
        <f t="shared" si="20"/>
        <v/>
      </c>
      <c r="AE115" s="28" t="str">
        <f t="shared" si="20"/>
        <v/>
      </c>
      <c r="AF115" s="28" t="str">
        <f t="shared" si="20"/>
        <v/>
      </c>
      <c r="AG115" s="28" t="str">
        <f t="shared" si="20"/>
        <v>修了日</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46165</v>
      </c>
      <c r="D116" s="33">
        <f t="shared" ref="D116:AD116" si="21">IF(OR(C116="",C115="修了日"),"",C116+1)</f>
        <v>46166</v>
      </c>
      <c r="E116" s="33">
        <f t="shared" si="21"/>
        <v>46167</v>
      </c>
      <c r="F116" s="33">
        <f t="shared" si="21"/>
        <v>46168</v>
      </c>
      <c r="G116" s="33">
        <f t="shared" si="21"/>
        <v>46169</v>
      </c>
      <c r="H116" s="33">
        <f t="shared" si="21"/>
        <v>46170</v>
      </c>
      <c r="I116" s="33">
        <f t="shared" si="21"/>
        <v>46171</v>
      </c>
      <c r="J116" s="33">
        <f t="shared" si="21"/>
        <v>46172</v>
      </c>
      <c r="K116" s="33">
        <f t="shared" si="21"/>
        <v>46173</v>
      </c>
      <c r="L116" s="33">
        <f t="shared" si="21"/>
        <v>46174</v>
      </c>
      <c r="M116" s="33">
        <f t="shared" si="21"/>
        <v>46175</v>
      </c>
      <c r="N116" s="33">
        <f t="shared" si="21"/>
        <v>46176</v>
      </c>
      <c r="O116" s="33">
        <f t="shared" si="21"/>
        <v>46177</v>
      </c>
      <c r="P116" s="33">
        <f t="shared" si="21"/>
        <v>46178</v>
      </c>
      <c r="Q116" s="33">
        <f t="shared" si="21"/>
        <v>46179</v>
      </c>
      <c r="R116" s="33">
        <f t="shared" si="21"/>
        <v>46180</v>
      </c>
      <c r="S116" s="33">
        <f t="shared" si="21"/>
        <v>46181</v>
      </c>
      <c r="T116" s="33">
        <f t="shared" si="21"/>
        <v>46182</v>
      </c>
      <c r="U116" s="33">
        <f t="shared" si="21"/>
        <v>46183</v>
      </c>
      <c r="V116" s="33">
        <f t="shared" si="21"/>
        <v>46184</v>
      </c>
      <c r="W116" s="33">
        <f t="shared" si="21"/>
        <v>46185</v>
      </c>
      <c r="X116" s="33">
        <f t="shared" si="21"/>
        <v>46186</v>
      </c>
      <c r="Y116" s="33">
        <f t="shared" si="21"/>
        <v>46187</v>
      </c>
      <c r="Z116" s="33">
        <f t="shared" si="21"/>
        <v>46188</v>
      </c>
      <c r="AA116" s="33">
        <f t="shared" si="21"/>
        <v>46189</v>
      </c>
      <c r="AB116" s="33">
        <f t="shared" si="21"/>
        <v>46190</v>
      </c>
      <c r="AC116" s="33">
        <f t="shared" si="21"/>
        <v>46191</v>
      </c>
      <c r="AD116" s="33">
        <f t="shared" si="21"/>
        <v>46192</v>
      </c>
      <c r="AE116" s="33">
        <f>IF(OR(AD116="",AD115="修了日"),"",IF(AND(DAY(DATE(YEAR(C116),2,29))=29,MONTH(C116)=2),AD116+1,IF(MONTH(C116)=2,"",AD116+1)))</f>
        <v>46193</v>
      </c>
      <c r="AF116" s="33">
        <f>IF(OR(AE116="",AE115="修了日"),"",IF(MONTH(C116)=2,"",AE116+1))</f>
        <v>46194</v>
      </c>
      <c r="AG116" s="65">
        <f>IF(OR(AF116="",AF115="修了日"),"",IF(OR(MONTH(C116)=2,MONTH(C116)=4,MONTH(C116)=6,MONTH(C116)=9,MONTH(C116)=11),"",AF116+1))</f>
        <v>46195</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46165</v>
      </c>
      <c r="D117" s="67">
        <f t="shared" ref="D117:AG118" si="22">IF(D116="","",+D116)</f>
        <v>46166</v>
      </c>
      <c r="E117" s="67">
        <f t="shared" si="22"/>
        <v>46167</v>
      </c>
      <c r="F117" s="67">
        <f t="shared" si="22"/>
        <v>46168</v>
      </c>
      <c r="G117" s="67">
        <f t="shared" si="22"/>
        <v>46169</v>
      </c>
      <c r="H117" s="67">
        <f t="shared" si="22"/>
        <v>46170</v>
      </c>
      <c r="I117" s="67">
        <f t="shared" si="22"/>
        <v>46171</v>
      </c>
      <c r="J117" s="67">
        <f t="shared" si="22"/>
        <v>46172</v>
      </c>
      <c r="K117" s="67">
        <f t="shared" si="22"/>
        <v>46173</v>
      </c>
      <c r="L117" s="67">
        <f t="shared" si="22"/>
        <v>46174</v>
      </c>
      <c r="M117" s="67">
        <f t="shared" si="22"/>
        <v>46175</v>
      </c>
      <c r="N117" s="67">
        <f t="shared" si="22"/>
        <v>46176</v>
      </c>
      <c r="O117" s="67">
        <f t="shared" si="22"/>
        <v>46177</v>
      </c>
      <c r="P117" s="67">
        <f t="shared" si="22"/>
        <v>46178</v>
      </c>
      <c r="Q117" s="67">
        <f t="shared" si="22"/>
        <v>46179</v>
      </c>
      <c r="R117" s="67">
        <f t="shared" si="22"/>
        <v>46180</v>
      </c>
      <c r="S117" s="67">
        <f t="shared" si="22"/>
        <v>46181</v>
      </c>
      <c r="T117" s="67">
        <f t="shared" si="22"/>
        <v>46182</v>
      </c>
      <c r="U117" s="67">
        <f t="shared" si="22"/>
        <v>46183</v>
      </c>
      <c r="V117" s="67">
        <f t="shared" si="22"/>
        <v>46184</v>
      </c>
      <c r="W117" s="67">
        <f t="shared" si="22"/>
        <v>46185</v>
      </c>
      <c r="X117" s="67">
        <f t="shared" si="22"/>
        <v>46186</v>
      </c>
      <c r="Y117" s="67">
        <f t="shared" si="22"/>
        <v>46187</v>
      </c>
      <c r="Z117" s="67">
        <f t="shared" si="22"/>
        <v>46188</v>
      </c>
      <c r="AA117" s="67">
        <f t="shared" si="22"/>
        <v>46189</v>
      </c>
      <c r="AB117" s="67">
        <f t="shared" si="22"/>
        <v>46190</v>
      </c>
      <c r="AC117" s="67">
        <f t="shared" si="22"/>
        <v>46191</v>
      </c>
      <c r="AD117" s="67">
        <f t="shared" si="22"/>
        <v>46192</v>
      </c>
      <c r="AE117" s="67">
        <f t="shared" si="22"/>
        <v>46193</v>
      </c>
      <c r="AF117" s="67">
        <f t="shared" si="22"/>
        <v>46194</v>
      </c>
      <c r="AG117" s="38">
        <f t="shared" si="22"/>
        <v>46195</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46165</v>
      </c>
      <c r="D118" s="39">
        <f t="shared" si="22"/>
        <v>46166</v>
      </c>
      <c r="E118" s="39">
        <f t="shared" si="22"/>
        <v>46167</v>
      </c>
      <c r="F118" s="39">
        <f t="shared" si="22"/>
        <v>46168</v>
      </c>
      <c r="G118" s="39">
        <f t="shared" si="22"/>
        <v>46169</v>
      </c>
      <c r="H118" s="39">
        <f t="shared" si="22"/>
        <v>46170</v>
      </c>
      <c r="I118" s="39">
        <f t="shared" si="22"/>
        <v>46171</v>
      </c>
      <c r="J118" s="39">
        <f t="shared" si="22"/>
        <v>46172</v>
      </c>
      <c r="K118" s="39">
        <f t="shared" si="22"/>
        <v>46173</v>
      </c>
      <c r="L118" s="39">
        <f t="shared" si="22"/>
        <v>46174</v>
      </c>
      <c r="M118" s="39">
        <f t="shared" si="22"/>
        <v>46175</v>
      </c>
      <c r="N118" s="39">
        <f t="shared" si="22"/>
        <v>46176</v>
      </c>
      <c r="O118" s="39">
        <f t="shared" si="22"/>
        <v>46177</v>
      </c>
      <c r="P118" s="39">
        <f t="shared" si="22"/>
        <v>46178</v>
      </c>
      <c r="Q118" s="39">
        <f t="shared" si="22"/>
        <v>46179</v>
      </c>
      <c r="R118" s="39">
        <f t="shared" si="22"/>
        <v>46180</v>
      </c>
      <c r="S118" s="39">
        <f t="shared" si="22"/>
        <v>46181</v>
      </c>
      <c r="T118" s="39">
        <f t="shared" si="22"/>
        <v>46182</v>
      </c>
      <c r="U118" s="39">
        <f t="shared" si="22"/>
        <v>46183</v>
      </c>
      <c r="V118" s="39">
        <f t="shared" si="22"/>
        <v>46184</v>
      </c>
      <c r="W118" s="39">
        <f t="shared" si="22"/>
        <v>46185</v>
      </c>
      <c r="X118" s="39">
        <f t="shared" si="22"/>
        <v>46186</v>
      </c>
      <c r="Y118" s="39">
        <f t="shared" si="22"/>
        <v>46187</v>
      </c>
      <c r="Z118" s="39">
        <f t="shared" si="22"/>
        <v>46188</v>
      </c>
      <c r="AA118" s="39">
        <f t="shared" si="22"/>
        <v>46189</v>
      </c>
      <c r="AB118" s="39">
        <f t="shared" si="22"/>
        <v>46190</v>
      </c>
      <c r="AC118" s="39">
        <f t="shared" si="22"/>
        <v>46191</v>
      </c>
      <c r="AD118" s="39">
        <f t="shared" si="22"/>
        <v>46192</v>
      </c>
      <c r="AE118" s="39">
        <f t="shared" si="22"/>
        <v>46193</v>
      </c>
      <c r="AF118" s="39">
        <f t="shared" si="22"/>
        <v>46194</v>
      </c>
      <c r="AG118" s="40">
        <f t="shared" si="22"/>
        <v>46195</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tr">
        <f t="shared" ref="C119:AF119" si="23">IF(C$118="","",IF(C$118=$K$154,"ハローワーク来所日⑤",""))</f>
        <v/>
      </c>
      <c r="D119" s="399" t="str">
        <f t="shared" si="23"/>
        <v/>
      </c>
      <c r="E119" s="399" t="s">
        <v>285</v>
      </c>
      <c r="F119" s="399" t="str">
        <f t="shared" si="23"/>
        <v/>
      </c>
      <c r="G119" s="399" t="s">
        <v>285</v>
      </c>
      <c r="H119" s="399" t="s">
        <v>285</v>
      </c>
      <c r="I119" s="399" t="s">
        <v>285</v>
      </c>
      <c r="J119" s="399" t="str">
        <f t="shared" si="23"/>
        <v/>
      </c>
      <c r="K119" s="399" t="str">
        <f t="shared" si="23"/>
        <v/>
      </c>
      <c r="L119" s="399" t="s">
        <v>285</v>
      </c>
      <c r="M119" s="399" t="str">
        <f t="shared" si="23"/>
        <v>ハローワーク来所日⑤</v>
      </c>
      <c r="N119" s="399" t="str">
        <f t="shared" si="23"/>
        <v/>
      </c>
      <c r="O119" s="399" t="s">
        <v>285</v>
      </c>
      <c r="P119" s="399" t="s">
        <v>285</v>
      </c>
      <c r="Q119" s="399" t="s">
        <v>68</v>
      </c>
      <c r="R119" s="399" t="str">
        <f t="shared" si="23"/>
        <v/>
      </c>
      <c r="S119" s="399" t="str">
        <f t="shared" si="23"/>
        <v/>
      </c>
      <c r="T119" s="399" t="s">
        <v>285</v>
      </c>
      <c r="U119" s="399" t="str">
        <f t="shared" si="23"/>
        <v/>
      </c>
      <c r="V119" s="399" t="s">
        <v>285</v>
      </c>
      <c r="W119" s="399" t="s">
        <v>285</v>
      </c>
      <c r="X119" s="399" t="s">
        <v>68</v>
      </c>
      <c r="Y119" s="399" t="str">
        <f t="shared" si="23"/>
        <v/>
      </c>
      <c r="Z119" s="399" t="s">
        <v>285</v>
      </c>
      <c r="AA119" s="399" t="str">
        <f t="shared" si="23"/>
        <v/>
      </c>
      <c r="AB119" s="399" t="s">
        <v>285</v>
      </c>
      <c r="AC119" s="399" t="s">
        <v>285</v>
      </c>
      <c r="AD119" s="399" t="s">
        <v>286</v>
      </c>
      <c r="AE119" s="399" t="str">
        <f t="shared" si="23"/>
        <v/>
      </c>
      <c r="AF119" s="399" t="str">
        <f t="shared" si="23"/>
        <v/>
      </c>
      <c r="AG119" s="402" t="s">
        <v>205</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9"/>
      <c r="W131" s="49"/>
      <c r="X131" s="44"/>
      <c r="Y131" s="44"/>
      <c r="Z131" s="44"/>
      <c r="AA131" s="44"/>
      <c r="AB131" s="49"/>
      <c r="AC131" s="49" t="s">
        <v>69</v>
      </c>
      <c r="AD131" s="44"/>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4"/>
      <c r="W132" s="54"/>
      <c r="X132" s="53"/>
      <c r="Y132" s="53"/>
      <c r="Z132" s="53"/>
      <c r="AA132" s="53"/>
      <c r="AB132" s="54"/>
      <c r="AC132" s="54"/>
      <c r="AD132" s="53"/>
      <c r="AE132" s="53"/>
      <c r="AF132" s="53"/>
      <c r="AG132" s="71"/>
      <c r="AH132" s="132" t="str">
        <f>IF(AI132="","","←")</f>
        <v/>
      </c>
      <c r="AI132" s="406" t="str">
        <f>[8]機構処理!BI93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c r="D133" s="57"/>
      <c r="E133" s="57">
        <v>6</v>
      </c>
      <c r="F133" s="57"/>
      <c r="G133" s="57">
        <v>6</v>
      </c>
      <c r="H133" s="57">
        <v>6</v>
      </c>
      <c r="I133" s="57">
        <v>6</v>
      </c>
      <c r="J133" s="57"/>
      <c r="K133" s="57"/>
      <c r="L133" s="57">
        <v>6</v>
      </c>
      <c r="M133" s="57"/>
      <c r="N133" s="57"/>
      <c r="O133" s="57">
        <v>6</v>
      </c>
      <c r="P133" s="57">
        <v>6</v>
      </c>
      <c r="Q133" s="57">
        <v>0</v>
      </c>
      <c r="R133" s="57"/>
      <c r="S133" s="57"/>
      <c r="T133" s="57">
        <v>6</v>
      </c>
      <c r="U133" s="57"/>
      <c r="V133" s="57">
        <v>6</v>
      </c>
      <c r="W133" s="57">
        <v>6</v>
      </c>
      <c r="X133" s="57">
        <v>0</v>
      </c>
      <c r="Y133" s="57"/>
      <c r="Z133" s="57">
        <v>6</v>
      </c>
      <c r="AA133" s="57"/>
      <c r="AB133" s="57">
        <v>6</v>
      </c>
      <c r="AC133" s="57">
        <v>6</v>
      </c>
      <c r="AD133" s="57">
        <v>6</v>
      </c>
      <c r="AE133" s="57"/>
      <c r="AF133" s="57"/>
      <c r="AG133" s="73">
        <v>0</v>
      </c>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IF(C116="","",[8]機構処理!BF59)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319</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320</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t="s">
        <v>323</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IF([8]様式1!$E$20="","",AI21+AI44+AI66+AI88)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46015</v>
      </c>
      <c r="L140" s="385"/>
      <c r="M140" s="385"/>
      <c r="N140" s="385"/>
      <c r="O140" s="386"/>
      <c r="P140" s="96" t="s">
        <v>72</v>
      </c>
      <c r="Q140" s="387">
        <v>46044</v>
      </c>
      <c r="R140" s="385"/>
      <c r="S140" s="385"/>
      <c r="T140" s="385"/>
      <c r="U140" s="385"/>
      <c r="V140" s="390" t="s">
        <v>324</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46077</v>
      </c>
      <c r="L141" s="385"/>
      <c r="M141" s="385"/>
      <c r="N141" s="385"/>
      <c r="O141" s="386"/>
      <c r="P141" s="96" t="s">
        <v>72</v>
      </c>
      <c r="Q141" s="387">
        <v>46100</v>
      </c>
      <c r="R141" s="385"/>
      <c r="S141" s="385"/>
      <c r="T141" s="385"/>
      <c r="U141" s="385"/>
      <c r="V141" s="390" t="s">
        <v>324</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46167</v>
      </c>
      <c r="L142" s="385"/>
      <c r="M142" s="385"/>
      <c r="N142" s="385"/>
      <c r="O142" s="386"/>
      <c r="P142" s="96" t="s">
        <v>72</v>
      </c>
      <c r="Q142" s="387">
        <v>46192</v>
      </c>
      <c r="R142" s="385"/>
      <c r="S142" s="385"/>
      <c r="T142" s="385"/>
      <c r="U142" s="385"/>
      <c r="V142" s="388" t="s">
        <v>324</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0.4236111111111111</v>
      </c>
      <c r="D148" s="384"/>
      <c r="E148" s="94" t="s">
        <v>72</v>
      </c>
      <c r="F148" s="366">
        <v>0.45833333333333331</v>
      </c>
      <c r="G148" s="367"/>
      <c r="H148" s="15"/>
      <c r="I148" s="100" t="s">
        <v>86</v>
      </c>
      <c r="J148" s="15"/>
      <c r="K148" s="15"/>
      <c r="L148" s="15"/>
      <c r="M148" s="15"/>
      <c r="N148" s="15"/>
      <c r="O148" s="100" t="s">
        <v>321</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0.46527777777777779</v>
      </c>
      <c r="D149" s="366"/>
      <c r="E149" s="94" t="s">
        <v>72</v>
      </c>
      <c r="F149" s="366">
        <v>0.5</v>
      </c>
      <c r="G149" s="367"/>
      <c r="H149" s="15"/>
      <c r="I149" s="363"/>
      <c r="J149" s="364"/>
      <c r="K149" s="349" t="s">
        <v>322</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0.50694444444444442</v>
      </c>
      <c r="D150" s="366"/>
      <c r="E150" s="94" t="s">
        <v>72</v>
      </c>
      <c r="F150" s="366">
        <v>0.54166666666666663</v>
      </c>
      <c r="G150" s="367"/>
      <c r="H150" s="15"/>
      <c r="I150" s="380" t="str">
        <f>IF(AND(ハローワーク来所日パターン&lt;&gt;"",$C$29&lt;&gt;"",訓練終了日&gt;ハローワーク来所日1),"１回目","")</f>
        <v>１回目</v>
      </c>
      <c r="J150" s="381"/>
      <c r="K150" s="339">
        <f>IF($I150="","",ハローワーク来所日1)</f>
        <v>46058</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0.58333333333333337</v>
      </c>
      <c r="D151" s="366"/>
      <c r="E151" s="94" t="s">
        <v>72</v>
      </c>
      <c r="F151" s="366">
        <v>0.61805555555555558</v>
      </c>
      <c r="G151" s="367"/>
      <c r="H151" s="15"/>
      <c r="I151" s="380" t="str">
        <f>IF(AND(ハローワーク来所日パターン&lt;&gt;"",$C$51&lt;&gt;"",訓練終了日&gt;ハローワーク来所日2),"２回目","")</f>
        <v>２回目</v>
      </c>
      <c r="J151" s="381"/>
      <c r="K151" s="339">
        <f>IF($I151="","",ハローワーク来所日2)</f>
        <v>46090</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0.625</v>
      </c>
      <c r="D152" s="366"/>
      <c r="E152" s="94" t="s">
        <v>72</v>
      </c>
      <c r="F152" s="366">
        <v>0.65972222222222221</v>
      </c>
      <c r="G152" s="367"/>
      <c r="H152" s="15"/>
      <c r="I152" s="380" t="str">
        <f>IF(AND(ハローワーク来所日パターン&lt;&gt;"",$C$73&lt;&gt;"",訓練終了日&gt;ハローワーク来所日3),"３回目","")</f>
        <v>３回目</v>
      </c>
      <c r="J152" s="381"/>
      <c r="K152" s="339">
        <f>IF($I152="","",ハローワーク来所日3)</f>
        <v>46114</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0.66666666666666663</v>
      </c>
      <c r="D153" s="366"/>
      <c r="E153" s="94" t="s">
        <v>72</v>
      </c>
      <c r="F153" s="366">
        <v>0.70138888888888884</v>
      </c>
      <c r="G153" s="367"/>
      <c r="H153" s="15"/>
      <c r="I153" s="380" t="str">
        <f>IF(AND(ハローワーク来所日パターン&lt;&gt;"",$C$95&lt;&gt;"",訓練終了日&gt;ハローワーク来所日4),"４回目","")</f>
        <v>４回目</v>
      </c>
      <c r="J153" s="381"/>
      <c r="K153" s="339">
        <f>IF($I153="","",ハローワーク来所日4)</f>
        <v>46149</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0.70138888888888884</v>
      </c>
      <c r="D154" s="366"/>
      <c r="E154" s="94" t="s">
        <v>72</v>
      </c>
      <c r="F154" s="366">
        <v>0.74305555555555558</v>
      </c>
      <c r="G154" s="367"/>
      <c r="H154" s="15"/>
      <c r="I154" s="380" t="str">
        <f>IF(AND(ハローワーク来所日パターン&lt;&gt;"",$C$116&lt;&gt;"",訓練終了日&gt;ハローワーク来所日5),"５回目","")</f>
        <v>５回目</v>
      </c>
      <c r="J154" s="381"/>
      <c r="K154" s="339">
        <f>IF($I154="","",ハローワーク来所日5)</f>
        <v>46175</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46014</v>
      </c>
      <c r="F172" s="340"/>
      <c r="G172" s="340"/>
      <c r="H172" s="340"/>
      <c r="I172" s="340"/>
      <c r="J172" s="94" t="s">
        <v>104</v>
      </c>
      <c r="K172" s="340">
        <f>IF(訓練開始日="","",IF(訓練終了日&lt;EDATE(訓練開始日,1)-1,訓練終了日,EDATE(E172,1)-1))</f>
        <v>46044</v>
      </c>
      <c r="L172" s="340"/>
      <c r="M172" s="340"/>
      <c r="N172" s="340"/>
      <c r="O172" s="341"/>
      <c r="P172" s="108"/>
      <c r="Q172" s="215">
        <f>IF(E172="","",(K172-E172+1))</f>
        <v>31</v>
      </c>
      <c r="R172" s="112" t="s">
        <v>52</v>
      </c>
      <c r="S172" s="101"/>
      <c r="T172" s="113"/>
      <c r="U172" s="215">
        <f>IF(E172="","",[8]機構処理!$BG$24)</f>
        <v>17</v>
      </c>
      <c r="V172" s="112" t="s">
        <v>52</v>
      </c>
      <c r="W172" s="101"/>
      <c r="X172" s="353">
        <f>IF(E172="","",[8]機構処理!BG72)</f>
        <v>0</v>
      </c>
      <c r="Y172" s="354"/>
      <c r="Z172" s="354"/>
      <c r="AA172" s="114" t="s">
        <v>66</v>
      </c>
      <c r="AB172" s="107"/>
      <c r="AC172" s="344">
        <f>IF(E172="","",[8]機構処理!$BH$25)</f>
        <v>84</v>
      </c>
      <c r="AD172" s="345"/>
      <c r="AE172" s="345"/>
      <c r="AF172" s="324" t="s">
        <v>66</v>
      </c>
      <c r="AG172" s="325"/>
      <c r="AH172" s="346" t="str">
        <f>[8]機構処理!BR26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46045</v>
      </c>
      <c r="F173" s="340"/>
      <c r="G173" s="340"/>
      <c r="H173" s="340"/>
      <c r="I173" s="340"/>
      <c r="J173" s="94" t="s">
        <v>104</v>
      </c>
      <c r="K173" s="340">
        <f>IF(E173="","",IF(EDATE(E173,1)-1&lt;訓練終了日,EDATE(E173,1)-1,訓練終了日))</f>
        <v>46075</v>
      </c>
      <c r="L173" s="340"/>
      <c r="M173" s="340"/>
      <c r="N173" s="340"/>
      <c r="O173" s="341"/>
      <c r="P173" s="108"/>
      <c r="Q173" s="215">
        <f>IF(E173="","",(K173-E173+1))</f>
        <v>31</v>
      </c>
      <c r="R173" s="109" t="s">
        <v>52</v>
      </c>
      <c r="S173" s="101"/>
      <c r="T173" s="108"/>
      <c r="U173" s="215">
        <f>IF(E173="","",[8]機構処理!$BG$30)</f>
        <v>17</v>
      </c>
      <c r="V173" s="109" t="s">
        <v>52</v>
      </c>
      <c r="W173" s="101"/>
      <c r="X173" s="342">
        <f>IF(E173="","",[8]機構処理!BG77)</f>
        <v>0</v>
      </c>
      <c r="Y173" s="343"/>
      <c r="Z173" s="343"/>
      <c r="AA173" s="114" t="s">
        <v>66</v>
      </c>
      <c r="AB173" s="107"/>
      <c r="AC173" s="344">
        <f>IF(E173="","",[8]機構処理!$BH$31)</f>
        <v>102</v>
      </c>
      <c r="AD173" s="345"/>
      <c r="AE173" s="345"/>
      <c r="AF173" s="324" t="s">
        <v>66</v>
      </c>
      <c r="AG173" s="325"/>
      <c r="AH173" s="346" t="str">
        <f>[8]機構処理!BR27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46076</v>
      </c>
      <c r="F174" s="340"/>
      <c r="G174" s="340"/>
      <c r="H174" s="340"/>
      <c r="I174" s="340"/>
      <c r="J174" s="94" t="s">
        <v>104</v>
      </c>
      <c r="K174" s="340">
        <f>IF(E174="","",IF(EDATE(E174,1)-1&lt;訓練終了日,EDATE(E174,1)-1,訓練終了日))</f>
        <v>46103</v>
      </c>
      <c r="L174" s="340"/>
      <c r="M174" s="340"/>
      <c r="N174" s="340"/>
      <c r="O174" s="341"/>
      <c r="P174" s="108"/>
      <c r="Q174" s="215">
        <f>IF(E174="","",(K174-E174+1))</f>
        <v>28</v>
      </c>
      <c r="R174" s="109" t="s">
        <v>52</v>
      </c>
      <c r="S174" s="101"/>
      <c r="T174" s="108"/>
      <c r="U174" s="215">
        <f>IF(E174="","",[8]機構処理!$BG$36)</f>
        <v>19</v>
      </c>
      <c r="V174" s="109" t="s">
        <v>52</v>
      </c>
      <c r="W174" s="101"/>
      <c r="X174" s="342">
        <f>IF(E174="","",[8]機構処理!BG81)</f>
        <v>0</v>
      </c>
      <c r="Y174" s="343"/>
      <c r="Z174" s="343"/>
      <c r="AA174" s="114" t="s">
        <v>66</v>
      </c>
      <c r="AB174" s="107"/>
      <c r="AC174" s="344">
        <f>IF(E174="","",[8]機構処理!$BH$37)</f>
        <v>102</v>
      </c>
      <c r="AD174" s="345"/>
      <c r="AE174" s="345"/>
      <c r="AF174" s="324" t="s">
        <v>66</v>
      </c>
      <c r="AG174" s="325"/>
      <c r="AH174" s="346" t="str">
        <f>[8]機構処理!BR28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46104</v>
      </c>
      <c r="F175" s="340"/>
      <c r="G175" s="340"/>
      <c r="H175" s="340"/>
      <c r="I175" s="340"/>
      <c r="J175" s="94" t="s">
        <v>104</v>
      </c>
      <c r="K175" s="340">
        <f>IF(E175="","",IF(EDATE(E175,1)-1&lt;訓練終了日,EDATE(E175,1)-1,訓練終了日))</f>
        <v>46134</v>
      </c>
      <c r="L175" s="340"/>
      <c r="M175" s="340"/>
      <c r="N175" s="340"/>
      <c r="O175" s="341"/>
      <c r="P175" s="108"/>
      <c r="Q175" s="215">
        <f>IF(E175="","",(K175-E175+1))</f>
        <v>31</v>
      </c>
      <c r="R175" s="109" t="s">
        <v>52</v>
      </c>
      <c r="S175" s="101"/>
      <c r="T175" s="108"/>
      <c r="U175" s="215">
        <f>IF(E175="","",[8]機構処理!$BG$42)</f>
        <v>14</v>
      </c>
      <c r="V175" s="109" t="s">
        <v>52</v>
      </c>
      <c r="W175" s="101"/>
      <c r="X175" s="342">
        <f>IF(E175="","",[8]機構処理!BG85)</f>
        <v>0</v>
      </c>
      <c r="Y175" s="343"/>
      <c r="Z175" s="343"/>
      <c r="AA175" s="114" t="s">
        <v>66</v>
      </c>
      <c r="AB175" s="107"/>
      <c r="AC175" s="344">
        <f>IF(E175="","",[8]機構処理!$BH$43)</f>
        <v>84</v>
      </c>
      <c r="AD175" s="345"/>
      <c r="AE175" s="345"/>
      <c r="AF175" s="324" t="s">
        <v>66</v>
      </c>
      <c r="AG175" s="325"/>
      <c r="AH175" s="346" t="str">
        <f>[8]機構処理!BR29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46135</v>
      </c>
      <c r="F176" s="340"/>
      <c r="G176" s="340"/>
      <c r="H176" s="340"/>
      <c r="I176" s="340"/>
      <c r="J176" s="94" t="s">
        <v>104</v>
      </c>
      <c r="K176" s="340">
        <f>IF(E176="","",IF(EDATE(E176,1)-1&lt;訓練終了日,EDATE(E176,1)-1,訓練終了日))</f>
        <v>46164</v>
      </c>
      <c r="L176" s="340"/>
      <c r="M176" s="340"/>
      <c r="N176" s="340"/>
      <c r="O176" s="341"/>
      <c r="P176" s="108"/>
      <c r="Q176" s="215">
        <f>IF(E176="","",K176-E176+1)</f>
        <v>30</v>
      </c>
      <c r="R176" s="109" t="s">
        <v>52</v>
      </c>
      <c r="S176" s="101"/>
      <c r="T176" s="108"/>
      <c r="U176" s="215">
        <f>IF(E176="","",[8]機構処理!$BG$48)</f>
        <v>14</v>
      </c>
      <c r="V176" s="109" t="s">
        <v>52</v>
      </c>
      <c r="W176" s="101"/>
      <c r="X176" s="342">
        <f>IF(E176="","",[8]機構処理!BG89)</f>
        <v>0</v>
      </c>
      <c r="Y176" s="343"/>
      <c r="Z176" s="343"/>
      <c r="AA176" s="114" t="s">
        <v>66</v>
      </c>
      <c r="AB176" s="107"/>
      <c r="AC176" s="344">
        <f>IF(E176="","",[8]機構処理!$BH$49)</f>
        <v>84</v>
      </c>
      <c r="AD176" s="345"/>
      <c r="AE176" s="345"/>
      <c r="AF176" s="324" t="s">
        <v>66</v>
      </c>
      <c r="AG176" s="325"/>
      <c r="AH176" s="346" t="str">
        <f>[8]機構処理!BQ30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46165</v>
      </c>
      <c r="F177" s="340"/>
      <c r="G177" s="340"/>
      <c r="H177" s="340"/>
      <c r="I177" s="340"/>
      <c r="J177" s="94" t="s">
        <v>104</v>
      </c>
      <c r="K177" s="340">
        <f>IF(E177="","",IF(EDATE(E177,1)-1&lt;訓練終了日,EDATE(E177,1)-1,訓練終了日))</f>
        <v>46195</v>
      </c>
      <c r="L177" s="340"/>
      <c r="M177" s="340"/>
      <c r="N177" s="340"/>
      <c r="O177" s="341"/>
      <c r="P177" s="108"/>
      <c r="Q177" s="215">
        <f>IF(E177="","",K177-E177+1)</f>
        <v>31</v>
      </c>
      <c r="R177" s="109" t="s">
        <v>52</v>
      </c>
      <c r="S177" s="101"/>
      <c r="T177" s="108"/>
      <c r="U177" s="215">
        <f>IF(E177="","",[8]機構処理!$BG$54)</f>
        <v>17</v>
      </c>
      <c r="V177" s="109" t="s">
        <v>52</v>
      </c>
      <c r="W177" s="101"/>
      <c r="X177" s="342">
        <f>IF(E177="","",[8]機構処理!BG93)</f>
        <v>0</v>
      </c>
      <c r="Y177" s="343"/>
      <c r="Z177" s="343"/>
      <c r="AA177" s="114" t="s">
        <v>66</v>
      </c>
      <c r="AB177" s="107"/>
      <c r="AC177" s="344">
        <f>IF(E177="","",[8]機構処理!$BH$55)</f>
        <v>84</v>
      </c>
      <c r="AD177" s="345"/>
      <c r="AE177" s="345"/>
      <c r="AF177" s="324" t="s">
        <v>66</v>
      </c>
      <c r="AG177" s="325"/>
      <c r="AH177" s="346" t="str">
        <f>[8]機構処理!BQ31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182</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3.35" customHeight="1">
      <c r="AH181" s="100"/>
    </row>
    <row r="182" spans="1:48" ht="13.35" customHeight="1">
      <c r="AH182" s="100"/>
    </row>
    <row r="183" spans="1:48" ht="13.35"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116" priority="9">
      <formula>LEN(TRIM(C160))=0</formula>
    </cfRule>
  </conditionalFormatting>
  <conditionalFormatting sqref="C6:AG27">
    <cfRule type="expression" dxfId="115" priority="40">
      <formula>WORKDAY(C$6+1,-1,祝祭日)&lt;&gt;C$6</formula>
    </cfRule>
  </conditionalFormatting>
  <conditionalFormatting sqref="C22:AG22">
    <cfRule type="expression" dxfId="114" priority="48">
      <formula>$AH$22&lt;&gt;""</formula>
    </cfRule>
  </conditionalFormatting>
  <conditionalFormatting sqref="C29:AG49">
    <cfRule type="expression" dxfId="113" priority="3">
      <formula>WORKDAY(C$29+1,-1,祝祭日)&lt;&gt;C$29</formula>
    </cfRule>
  </conditionalFormatting>
  <conditionalFormatting sqref="C45:AG45">
    <cfRule type="expression" dxfId="112" priority="47">
      <formula>+$AH$45&lt;&gt;""</formula>
    </cfRule>
  </conditionalFormatting>
  <conditionalFormatting sqref="C51:AG71">
    <cfRule type="expression" dxfId="111" priority="31">
      <formula>WORKDAY(C$51+1,-1,祝祭日)&lt;&gt;C$51</formula>
    </cfRule>
  </conditionalFormatting>
  <conditionalFormatting sqref="C67:AG67">
    <cfRule type="expression" dxfId="110" priority="49">
      <formula>+$AH$67&lt;&gt;""</formula>
    </cfRule>
  </conditionalFormatting>
  <conditionalFormatting sqref="C73:AG75 C76:T87 V76:AG87">
    <cfRule type="expression" dxfId="109" priority="43">
      <formula>WORKDAY(C$73+1,-1,祝祭日)&lt;&gt;C$73</formula>
    </cfRule>
  </conditionalFormatting>
  <conditionalFormatting sqref="C88:AG93">
    <cfRule type="expression" dxfId="108" priority="30">
      <formula>WORKDAY(C$73+1,-1,祝祭日)&lt;&gt;C$73</formula>
    </cfRule>
  </conditionalFormatting>
  <conditionalFormatting sqref="C89:AG89">
    <cfRule type="expression" dxfId="107" priority="50">
      <formula>+$AH$89&lt;&gt;""</formula>
    </cfRule>
  </conditionalFormatting>
  <conditionalFormatting sqref="C95:AG114">
    <cfRule type="expression" dxfId="106" priority="42">
      <formula>WORKDAY(C$95+1,-1,祝祭日)&lt;&gt;C$95</formula>
    </cfRule>
  </conditionalFormatting>
  <conditionalFormatting sqref="C110:AG110">
    <cfRule type="expression" dxfId="105" priority="51">
      <formula>+$AH$110&lt;&gt;""</formula>
    </cfRule>
  </conditionalFormatting>
  <conditionalFormatting sqref="C116:AG118 C119:AB130 AD119:AG130 C131:AG135">
    <cfRule type="expression" dxfId="104" priority="41">
      <formula>WORKDAY(C$116+1,-1,祝祭日)&lt;&gt;C$116</formula>
    </cfRule>
  </conditionalFormatting>
  <conditionalFormatting sqref="C131:AG131">
    <cfRule type="expression" dxfId="103" priority="52">
      <formula>+$AH$131&lt;&gt;""</formula>
    </cfRule>
  </conditionalFormatting>
  <conditionalFormatting sqref="D158:E158">
    <cfRule type="containsBlanks" dxfId="102" priority="35">
      <formula>LEN(TRIM(D158))=0</formula>
    </cfRule>
  </conditionalFormatting>
  <conditionalFormatting sqref="D139:F140">
    <cfRule type="cellIs" dxfId="101" priority="34" operator="equal">
      <formula>""</formula>
    </cfRule>
  </conditionalFormatting>
  <conditionalFormatting sqref="F148:F154 C149:C154">
    <cfRule type="cellIs" dxfId="100" priority="46" stopIfTrue="1" operator="equal">
      <formula>""</formula>
    </cfRule>
  </conditionalFormatting>
  <conditionalFormatting sqref="F154">
    <cfRule type="cellIs" dxfId="99" priority="45" operator="greaterThan">
      <formula>0.917</formula>
    </cfRule>
  </conditionalFormatting>
  <conditionalFormatting sqref="F155:F156 C155:C156">
    <cfRule type="containsBlanks" dxfId="98" priority="12">
      <formula>LEN(TRIM(C155))=0</formula>
    </cfRule>
  </conditionalFormatting>
  <conditionalFormatting sqref="F153:G153">
    <cfRule type="cellIs" dxfId="97" priority="4" operator="greaterThan">
      <formula>0.917</formula>
    </cfRule>
  </conditionalFormatting>
  <conditionalFormatting sqref="F156:G156">
    <cfRule type="cellIs" dxfId="96" priority="7" operator="greaterThan">
      <formula>0.917</formula>
    </cfRule>
  </conditionalFormatting>
  <conditionalFormatting sqref="F160:G168 C161:D168">
    <cfRule type="containsBlanks" dxfId="95" priority="39">
      <formula>LEN(TRIM(C160))=0</formula>
    </cfRule>
  </conditionalFormatting>
  <conditionalFormatting sqref="F166:G166">
    <cfRule type="cellIs" dxfId="94" priority="6" operator="greaterThan">
      <formula>0.917</formula>
    </cfRule>
  </conditionalFormatting>
  <conditionalFormatting sqref="F168:G168">
    <cfRule type="cellIs" dxfId="93" priority="38" operator="greaterThan">
      <formula>0.917</formula>
    </cfRule>
  </conditionalFormatting>
  <conditionalFormatting sqref="K1">
    <cfRule type="expression" dxfId="92" priority="32">
      <formula>$K$1&lt;&gt;""</formula>
    </cfRule>
  </conditionalFormatting>
  <conditionalFormatting sqref="K140:O145 Q140:AG145">
    <cfRule type="containsBlanks" dxfId="91" priority="11">
      <formula>LEN(TRIM(K140))=0</formula>
    </cfRule>
  </conditionalFormatting>
  <conditionalFormatting sqref="N160">
    <cfRule type="containsBlanks" dxfId="90" priority="8">
      <formula>LEN(TRIM(N160))=0</formula>
    </cfRule>
  </conditionalFormatting>
  <conditionalFormatting sqref="O158:P158">
    <cfRule type="containsBlanks" dxfId="89" priority="10">
      <formula>LEN(TRIM(O158))=0</formula>
    </cfRule>
  </conditionalFormatting>
  <conditionalFormatting sqref="P170:W170">
    <cfRule type="expression" dxfId="88" priority="53">
      <formula>AND(訓練種別コード="001",AI21+AI44+AI66+AI88+#REF!+#REF!&gt;0)</formula>
    </cfRule>
  </conditionalFormatting>
  <conditionalFormatting sqref="Q172:Q177">
    <cfRule type="cellIs" dxfId="87" priority="44" stopIfTrue="1" operator="lessThan">
      <formula>28</formula>
    </cfRule>
  </conditionalFormatting>
  <conditionalFormatting sqref="Q160:R168 N161:O168">
    <cfRule type="containsBlanks" dxfId="86" priority="37">
      <formula>LEN(TRIM(N160))=0</formula>
    </cfRule>
  </conditionalFormatting>
  <conditionalFormatting sqref="Q166:R166">
    <cfRule type="cellIs" dxfId="85" priority="36" operator="greaterThan">
      <formula>0.917</formula>
    </cfRule>
  </conditionalFormatting>
  <conditionalFormatting sqref="Q168:R168">
    <cfRule type="cellIs" dxfId="84" priority="5" operator="greaterThan">
      <formula>0.917</formula>
    </cfRule>
  </conditionalFormatting>
  <conditionalFormatting sqref="U76:U87">
    <cfRule type="expression" dxfId="83" priority="2">
      <formula>WORKDAY(U$29+1,-1,祝祭日)&lt;&gt;U$29</formula>
    </cfRule>
  </conditionalFormatting>
  <conditionalFormatting sqref="X171:AB171 X172 AA172:AB172 X173:AB178">
    <cfRule type="expression" dxfId="82" priority="33">
      <formula>$X$171=""</formula>
    </cfRule>
  </conditionalFormatting>
  <conditionalFormatting sqref="AC119:AC130">
    <cfRule type="expression" dxfId="81" priority="1">
      <formula>WORKDAY(AC$95+1,-1,祝祭日)&lt;&gt;AC$95</formula>
    </cfRule>
  </conditionalFormatting>
  <conditionalFormatting sqref="AC178:AE178">
    <cfRule type="expression" dxfId="80" priority="13">
      <formula>AND(NOT(VALUE(訓練総時間)=訓練時間合計),NOT(VALUE(訓練総時間)=IF(様6_訓練時間合計="",0,様6_訓練時間合計)))</formula>
    </cfRule>
  </conditionalFormatting>
  <conditionalFormatting sqref="AH89:AI89">
    <cfRule type="expression" dxfId="79" priority="25">
      <formula>$AI89=""</formula>
    </cfRule>
  </conditionalFormatting>
  <conditionalFormatting sqref="AH111:AI111">
    <cfRule type="expression" dxfId="78" priority="24">
      <formula>$AI111=""</formula>
    </cfRule>
  </conditionalFormatting>
  <conditionalFormatting sqref="AH22:AJ23">
    <cfRule type="expression" dxfId="77" priority="29">
      <formula>$AI22=""</formula>
    </cfRule>
  </conditionalFormatting>
  <conditionalFormatting sqref="AH45:AJ46">
    <cfRule type="expression" dxfId="76" priority="28">
      <formula>$AI45=""</formula>
    </cfRule>
  </conditionalFormatting>
  <conditionalFormatting sqref="AH67:AJ68">
    <cfRule type="expression" dxfId="75" priority="27">
      <formula>$AI67=""</formula>
    </cfRule>
  </conditionalFormatting>
  <conditionalFormatting sqref="AH90:AJ90">
    <cfRule type="expression" dxfId="74" priority="26">
      <formula>$AI90=""</formula>
    </cfRule>
  </conditionalFormatting>
  <conditionalFormatting sqref="AH110:AJ110">
    <cfRule type="expression" dxfId="73" priority="23">
      <formula>$AI110=""</formula>
    </cfRule>
  </conditionalFormatting>
  <conditionalFormatting sqref="AH131:AJ132">
    <cfRule type="expression" dxfId="72" priority="22">
      <formula>$AI131=""</formula>
    </cfRule>
  </conditionalFormatting>
  <conditionalFormatting sqref="AH178:AL178">
    <cfRule type="expression" dxfId="71" priority="15">
      <formula>$AH$178=""</formula>
    </cfRule>
  </conditionalFormatting>
  <conditionalFormatting sqref="AI27:AL27">
    <cfRule type="expression" dxfId="70" priority="21">
      <formula>$C6=""</formula>
    </cfRule>
  </conditionalFormatting>
  <conditionalFormatting sqref="AI49:AL49">
    <cfRule type="expression" dxfId="69" priority="20">
      <formula>$C29=""</formula>
    </cfRule>
  </conditionalFormatting>
  <conditionalFormatting sqref="AI71:AL71">
    <cfRule type="expression" dxfId="68" priority="19">
      <formula>$C51=""</formula>
    </cfRule>
  </conditionalFormatting>
  <conditionalFormatting sqref="AI93:AL93">
    <cfRule type="expression" dxfId="67" priority="18">
      <formula>$C73=""</formula>
    </cfRule>
  </conditionalFormatting>
  <conditionalFormatting sqref="AI114:AL114">
    <cfRule type="expression" dxfId="66" priority="17">
      <formula>$C$95=""</formula>
    </cfRule>
  </conditionalFormatting>
  <conditionalFormatting sqref="AI135:AL135">
    <cfRule type="expression" dxfId="65" priority="16">
      <formula>$C$116=""</formula>
    </cfRule>
  </conditionalFormatting>
  <conditionalFormatting sqref="AK189:AL189">
    <cfRule type="expression" dxfId="64" priority="14">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FE615823-386C-4084-9E6F-2F939708E5C9}">
      <formula1>"○"</formula1>
    </dataValidation>
    <dataValidation type="whole" imeMode="off" allowBlank="1" showInputMessage="1" showErrorMessage="1" sqref="C24:AG27 C47:AG49 C133:AG135 C91:AG93 C112:AG114 C69:AG71" xr:uid="{78DC8464-CE6E-4534-B0DA-373D306215F0}">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C210FB3B-C174-472F-B51E-21E339E0E0EB}"/>
    <dataValidation type="list" allowBlank="1" showInputMessage="1" showErrorMessage="1" sqref="C89:AG89 C45:AG45 C110:AG110 C22:AG22 C67:AG67 C131:AG131" xr:uid="{A11CEE82-6679-488E-8B87-25B5E9078109}">
      <formula1>"○,◎"</formula1>
    </dataValidation>
    <dataValidation imeMode="hiragana" allowBlank="1" showInputMessage="1" showErrorMessage="1" sqref="C97:AG109 C118:AG130 C75:AG87 C53:AG65 C31:AG43 C8:AG20 V140:AG145" xr:uid="{0E6CF888-4407-4B42-BBA8-54F79DCEBDE7}"/>
  </dataValidations>
  <hyperlinks>
    <hyperlink ref="AJ150" location="様式7の１!B8" display="様式7の１作成へ" xr:uid="{529FCB99-D8EC-4857-ADEB-5F0529369783}"/>
    <hyperlink ref="AJ152" location="一覧表!M42" display="一覧表へ戻る" xr:uid="{32A9B1BA-A37A-4B27-8ED6-D39A8F0A2885}"/>
  </hyperlinks>
  <printOptions horizontalCentered="1"/>
  <pageMargins left="0.6692913385826772" right="0.31496062992125984" top="0.35433070866141736" bottom="0.35433070866141736" header="0.11811023622047245" footer="0.11811023622047245"/>
  <pageSetup paperSize="9" scale="57"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495617" r:id="rId4" name="来所日選択">
              <controlPr defaultSize="0" print="0" autoLine="0" autoPict="0">
                <anchor moveWithCells="1">
                  <from>
                    <xdr:col>4</xdr:col>
                    <xdr:colOff>335280</xdr:colOff>
                    <xdr:row>0</xdr:row>
                    <xdr:rowOff>182880</xdr:rowOff>
                  </from>
                  <to>
                    <xdr:col>8</xdr:col>
                    <xdr:colOff>335280</xdr:colOff>
                    <xdr:row>1</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B238B-E334-40CD-8786-D2C7DCC3DD61}">
  <dimension ref="A1:BQ248"/>
  <sheetViews>
    <sheetView zoomScale="80" zoomScaleNormal="80" zoomScaleSheetLayoutView="80" workbookViewId="0"/>
  </sheetViews>
  <sheetFormatPr defaultColWidth="5" defaultRowHeight="13.2"/>
  <cols>
    <col min="1" max="33" width="5.44140625" style="14" customWidth="1"/>
    <col min="34" max="34" width="5.44140625" style="15" customWidth="1"/>
    <col min="35" max="35" width="8.5546875" style="14" customWidth="1"/>
    <col min="36" max="36" width="14.44140625" style="14" customWidth="1"/>
    <col min="37" max="37" width="6.5546875" style="14" customWidth="1"/>
    <col min="38" max="38" width="6.44140625" style="14" customWidth="1"/>
    <col min="39" max="47" width="5.44140625" style="14" customWidth="1"/>
    <col min="48" max="48" width="19" style="14" customWidth="1"/>
    <col min="49" max="52" width="5.44140625" style="14" customWidth="1"/>
    <col min="53" max="16384" width="5" style="14"/>
  </cols>
  <sheetData>
    <row r="1" spans="1:69" ht="16.2">
      <c r="B1" s="15"/>
      <c r="C1" s="15"/>
      <c r="D1" s="16"/>
      <c r="E1" s="15"/>
      <c r="F1" s="15"/>
      <c r="G1" s="15"/>
      <c r="H1" s="15"/>
      <c r="I1" s="15"/>
      <c r="J1" s="15"/>
      <c r="K1" s="419" t="str">
        <f ca="1">IF(OR(訓練月数=0,訓練月数=""),"訓練期間が入力されていません！！",IF(訓練月数=1,IF(訓練終了日&lt;=INDIRECT("開講スケジュール!D"&amp;[9]開講スケジュール!$D$2+1), IF(OR(来所パターン=0,来所パターン=4),"","適切な来所日パターンを選択してください！！"), IF(AND(来所パターン&lt;&gt;0,来所パターン&lt;&gt;4),"","適切な来所日パターンを選択してください！！")),IF(訓練月数&gt;1,IF(AND(来所パターン&lt;&gt;1,来所パターン&lt;&gt;2,来所パターン&lt;&gt;3), "適切な来所日パターンを選択してください！！", ""),"")))</f>
        <v/>
      </c>
      <c r="L1" s="419"/>
      <c r="M1" s="419"/>
      <c r="N1" s="419"/>
      <c r="O1" s="419"/>
      <c r="P1" s="419"/>
      <c r="Q1" s="419"/>
      <c r="R1" s="419"/>
      <c r="S1" s="419"/>
      <c r="T1" s="419"/>
      <c r="U1" s="419"/>
      <c r="Y1" s="15"/>
      <c r="Z1" s="15"/>
      <c r="AA1" s="15"/>
      <c r="AB1" s="15"/>
      <c r="AC1" s="15"/>
      <c r="AD1" s="15"/>
      <c r="AE1" s="15"/>
      <c r="AF1" s="17"/>
      <c r="AG1" s="18" t="s">
        <v>46</v>
      </c>
      <c r="AH1" s="19"/>
      <c r="AI1" s="20"/>
      <c r="AJ1" s="20"/>
      <c r="AK1" s="20"/>
      <c r="AL1" s="20"/>
      <c r="AM1" s="20"/>
      <c r="AN1" s="20"/>
      <c r="AO1" s="20"/>
      <c r="AP1" s="20"/>
      <c r="AQ1" s="20"/>
      <c r="AR1" s="20"/>
      <c r="AS1" s="20"/>
      <c r="AT1" s="20"/>
      <c r="AU1" s="20"/>
      <c r="AV1" s="20"/>
    </row>
    <row r="2" spans="1:69" ht="18.75" customHeight="1">
      <c r="A2" s="420" t="s">
        <v>47</v>
      </c>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21"/>
      <c r="AH2" s="23"/>
      <c r="AI2" s="20"/>
      <c r="AJ2" s="20"/>
      <c r="AK2" s="20"/>
      <c r="AL2" s="20"/>
      <c r="AM2" s="20"/>
      <c r="AN2" s="20"/>
      <c r="AO2" s="20"/>
      <c r="AP2" s="20"/>
      <c r="AQ2" s="20"/>
      <c r="AR2" s="20"/>
      <c r="AS2" s="20"/>
      <c r="AT2" s="20"/>
      <c r="AU2" s="20"/>
      <c r="AV2" s="20"/>
      <c r="BQ2" s="24" t="s">
        <v>48</v>
      </c>
    </row>
    <row r="3" spans="1:69" ht="13.5" customHeight="1">
      <c r="D3" s="15"/>
      <c r="E3" s="15"/>
      <c r="F3" s="15"/>
      <c r="G3" s="15"/>
      <c r="H3" s="15"/>
      <c r="I3" s="15"/>
      <c r="J3" s="15"/>
      <c r="K3" s="15"/>
      <c r="M3" s="15"/>
      <c r="N3" s="15"/>
      <c r="O3" s="15"/>
      <c r="P3" s="15"/>
      <c r="Q3" s="15"/>
      <c r="R3" s="15"/>
      <c r="S3" s="15"/>
      <c r="T3" s="15"/>
      <c r="U3" s="15"/>
      <c r="V3" s="15"/>
      <c r="W3" s="15"/>
      <c r="X3" s="15"/>
      <c r="Y3" s="15"/>
      <c r="Z3" s="15"/>
      <c r="AA3" s="15"/>
      <c r="AB3" s="15"/>
      <c r="AC3" s="15"/>
      <c r="AD3" s="15"/>
      <c r="AE3" s="15"/>
      <c r="AF3" s="15"/>
      <c r="AG3" s="15"/>
      <c r="AH3" s="19"/>
      <c r="AI3" s="20"/>
      <c r="AJ3" s="20"/>
      <c r="AK3" s="20"/>
      <c r="AL3" s="20"/>
      <c r="AM3" s="20"/>
      <c r="AN3" s="20"/>
      <c r="AO3" s="20"/>
      <c r="AP3" s="20"/>
      <c r="AQ3" s="20"/>
      <c r="AR3" s="20"/>
      <c r="AS3" s="20"/>
      <c r="AT3" s="20"/>
      <c r="AU3" s="20"/>
      <c r="AV3" s="20"/>
      <c r="BQ3" s="24" t="s">
        <v>49</v>
      </c>
    </row>
    <row r="4" spans="1:69" s="27" customFormat="1" ht="20.100000000000001" customHeight="1">
      <c r="A4" s="421" t="s">
        <v>277</v>
      </c>
      <c r="B4" s="421"/>
      <c r="C4" s="421"/>
      <c r="D4" s="421"/>
      <c r="E4" s="422" t="str">
        <f>実施機関名</f>
        <v>株式会社キャリアプログラム</v>
      </c>
      <c r="F4" s="422"/>
      <c r="G4" s="422"/>
      <c r="H4" s="422"/>
      <c r="I4" s="422"/>
      <c r="J4" s="422"/>
      <c r="K4" s="422"/>
      <c r="L4" s="422"/>
      <c r="M4" s="422"/>
      <c r="N4" s="422"/>
      <c r="O4" s="422"/>
      <c r="P4" s="422" t="s">
        <v>278</v>
      </c>
      <c r="Q4" s="422"/>
      <c r="R4" s="422"/>
      <c r="S4" s="422" t="str">
        <f>訓練科名</f>
        <v>基礎から始めるフロントエンドエンジニア養成科</v>
      </c>
      <c r="T4" s="422"/>
      <c r="U4" s="422"/>
      <c r="V4" s="422"/>
      <c r="W4" s="422"/>
      <c r="X4" s="422"/>
      <c r="Y4" s="422"/>
      <c r="Z4" s="422"/>
      <c r="AA4" s="422"/>
      <c r="AB4" s="422"/>
      <c r="AC4" s="422"/>
      <c r="AD4" s="422"/>
      <c r="AE4" s="422"/>
      <c r="AF4" s="422"/>
      <c r="AG4" s="422"/>
      <c r="AH4" s="25"/>
      <c r="AI4" s="26"/>
      <c r="AJ4" s="26"/>
      <c r="AK4" s="26"/>
      <c r="AL4" s="26"/>
      <c r="AM4" s="26"/>
      <c r="AN4" s="26"/>
      <c r="AO4" s="26"/>
      <c r="AP4" s="26"/>
      <c r="AQ4" s="26"/>
      <c r="AR4" s="26"/>
      <c r="AS4" s="26"/>
      <c r="AT4" s="26"/>
      <c r="AU4" s="26"/>
      <c r="AV4" s="26"/>
      <c r="BQ4" s="24" t="s">
        <v>50</v>
      </c>
    </row>
    <row r="5" spans="1:69" ht="14.4">
      <c r="A5" s="15"/>
      <c r="B5" s="15"/>
      <c r="C5" s="28" t="str">
        <f>IF(C8="","",IF(C8=訓練開始日,"開講日",""))</f>
        <v>開講日</v>
      </c>
      <c r="D5" s="28"/>
      <c r="E5" s="29"/>
      <c r="F5" s="29"/>
      <c r="G5" s="29"/>
      <c r="H5" s="29"/>
      <c r="I5" s="29"/>
      <c r="J5" s="29"/>
      <c r="V5" s="28" t="str">
        <f t="shared" ref="V5:AG5" si="0">IF(V8="","",IF(V8=訓練終了日,"修了日",""))</f>
        <v/>
      </c>
      <c r="W5" s="28" t="str">
        <f t="shared" si="0"/>
        <v/>
      </c>
      <c r="X5" s="28" t="str">
        <f t="shared" si="0"/>
        <v/>
      </c>
      <c r="Y5" s="28" t="str">
        <f t="shared" si="0"/>
        <v/>
      </c>
      <c r="Z5" s="28" t="str">
        <f t="shared" si="0"/>
        <v/>
      </c>
      <c r="AA5" s="28" t="str">
        <f t="shared" si="0"/>
        <v/>
      </c>
      <c r="AB5" s="28" t="str">
        <f t="shared" si="0"/>
        <v/>
      </c>
      <c r="AC5" s="28" t="str">
        <f t="shared" si="0"/>
        <v/>
      </c>
      <c r="AD5" s="28" t="str">
        <f t="shared" si="0"/>
        <v/>
      </c>
      <c r="AE5" s="28" t="str">
        <f t="shared" si="0"/>
        <v/>
      </c>
      <c r="AF5" s="28" t="str">
        <f t="shared" si="0"/>
        <v/>
      </c>
      <c r="AG5" s="28" t="str">
        <f t="shared" si="0"/>
        <v/>
      </c>
      <c r="AH5" s="19"/>
      <c r="AI5" s="20"/>
      <c r="AJ5" s="20"/>
      <c r="AK5" s="20"/>
      <c r="AL5" s="20"/>
      <c r="AM5" s="20"/>
      <c r="AN5" s="20"/>
      <c r="AO5" s="20"/>
      <c r="AP5" s="20"/>
      <c r="AQ5" s="20"/>
      <c r="AR5" s="20"/>
      <c r="AS5" s="20"/>
      <c r="AT5" s="20"/>
      <c r="AU5" s="20"/>
      <c r="AV5" s="20"/>
    </row>
    <row r="6" spans="1:69" ht="18" customHeight="1">
      <c r="A6" s="30"/>
      <c r="B6" s="31" t="s">
        <v>51</v>
      </c>
      <c r="C6" s="32">
        <f>訓練開始日</f>
        <v>46100</v>
      </c>
      <c r="D6" s="33">
        <f>IF(C6="","",C6+1)</f>
        <v>46101</v>
      </c>
      <c r="E6" s="33">
        <f t="shared" ref="E6:P6" si="1">IF(D6="","",D6+1)</f>
        <v>46102</v>
      </c>
      <c r="F6" s="33">
        <f t="shared" si="1"/>
        <v>46103</v>
      </c>
      <c r="G6" s="33">
        <f t="shared" si="1"/>
        <v>46104</v>
      </c>
      <c r="H6" s="33">
        <f t="shared" si="1"/>
        <v>46105</v>
      </c>
      <c r="I6" s="33">
        <f t="shared" si="1"/>
        <v>46106</v>
      </c>
      <c r="J6" s="33">
        <f t="shared" si="1"/>
        <v>46107</v>
      </c>
      <c r="K6" s="33">
        <f t="shared" si="1"/>
        <v>46108</v>
      </c>
      <c r="L6" s="33">
        <f t="shared" si="1"/>
        <v>46109</v>
      </c>
      <c r="M6" s="33">
        <f t="shared" si="1"/>
        <v>46110</v>
      </c>
      <c r="N6" s="33">
        <f t="shared" si="1"/>
        <v>46111</v>
      </c>
      <c r="O6" s="33">
        <f t="shared" si="1"/>
        <v>46112</v>
      </c>
      <c r="P6" s="33">
        <f t="shared" si="1"/>
        <v>46113</v>
      </c>
      <c r="Q6" s="33">
        <f t="shared" ref="Q6:AB6" si="2">IF(P6="","",IF(P6+1&gt;訓練終了日,"",P6+1))</f>
        <v>46114</v>
      </c>
      <c r="R6" s="33">
        <f t="shared" si="2"/>
        <v>46115</v>
      </c>
      <c r="S6" s="33">
        <f t="shared" si="2"/>
        <v>46116</v>
      </c>
      <c r="T6" s="33">
        <f t="shared" si="2"/>
        <v>46117</v>
      </c>
      <c r="U6" s="33">
        <f t="shared" si="2"/>
        <v>46118</v>
      </c>
      <c r="V6" s="33">
        <f t="shared" si="2"/>
        <v>46119</v>
      </c>
      <c r="W6" s="33">
        <f t="shared" si="2"/>
        <v>46120</v>
      </c>
      <c r="X6" s="33">
        <f t="shared" si="2"/>
        <v>46121</v>
      </c>
      <c r="Y6" s="33">
        <f t="shared" si="2"/>
        <v>46122</v>
      </c>
      <c r="Z6" s="33">
        <f t="shared" si="2"/>
        <v>46123</v>
      </c>
      <c r="AA6" s="33">
        <f t="shared" si="2"/>
        <v>46124</v>
      </c>
      <c r="AB6" s="33">
        <f t="shared" si="2"/>
        <v>46125</v>
      </c>
      <c r="AC6" s="33">
        <f>IF(AB6="","",IF(AB6+1&gt;訓練終了日,"",IF(AB6+1&gt;=EDATE(C6,1),"",AB6+1)))</f>
        <v>46126</v>
      </c>
      <c r="AD6" s="33">
        <f>IF(AC6="","",IF(AC6+1&gt;訓練終了日,"",IF(AC6+1&gt;=EDATE(C6,1),"",AC6+1)))</f>
        <v>46127</v>
      </c>
      <c r="AE6" s="33">
        <f>IF(AD6="","",IF(AD6+1&gt;訓練終了日,"",IF(AD6+1&gt;=EDATE(C6,1),"",AD6+1)))</f>
        <v>46128</v>
      </c>
      <c r="AF6" s="33">
        <f>IF(AE6="","",IF(AE6+1&gt;訓練終了日,"",IF(AE6+1&gt;=EDATE(C6,1),"",AE6+1)))</f>
        <v>46129</v>
      </c>
      <c r="AG6" s="33">
        <f>IF(AF6="","",IF(AF6+1&gt;訓練終了日,"",IF(AF6+1&gt;=EDATE(C6,1),"",AF6+1)))</f>
        <v>46130</v>
      </c>
      <c r="AH6" s="19"/>
      <c r="AI6" s="20"/>
      <c r="AJ6" s="20"/>
      <c r="AK6" s="20"/>
      <c r="AL6" s="20"/>
      <c r="AM6" s="20"/>
      <c r="AN6" s="20"/>
      <c r="AO6" s="34"/>
      <c r="AP6" s="20"/>
      <c r="AQ6" s="20"/>
      <c r="AR6" s="20"/>
      <c r="AS6" s="20"/>
      <c r="AT6" s="20"/>
      <c r="AU6" s="20"/>
      <c r="AV6" s="20"/>
    </row>
    <row r="7" spans="1:69" ht="18" customHeight="1">
      <c r="A7" s="35"/>
      <c r="B7" s="31" t="s">
        <v>52</v>
      </c>
      <c r="C7" s="36">
        <f t="shared" ref="C7:AG8" si="3">+C6</f>
        <v>46100</v>
      </c>
      <c r="D7" s="37">
        <f t="shared" si="3"/>
        <v>46101</v>
      </c>
      <c r="E7" s="37">
        <f t="shared" si="3"/>
        <v>46102</v>
      </c>
      <c r="F7" s="37">
        <f t="shared" si="3"/>
        <v>46103</v>
      </c>
      <c r="G7" s="37">
        <f t="shared" si="3"/>
        <v>46104</v>
      </c>
      <c r="H7" s="37">
        <f t="shared" si="3"/>
        <v>46105</v>
      </c>
      <c r="I7" s="37">
        <f t="shared" si="3"/>
        <v>46106</v>
      </c>
      <c r="J7" s="37">
        <f t="shared" si="3"/>
        <v>46107</v>
      </c>
      <c r="K7" s="37">
        <f t="shared" si="3"/>
        <v>46108</v>
      </c>
      <c r="L7" s="37">
        <f t="shared" si="3"/>
        <v>46109</v>
      </c>
      <c r="M7" s="37">
        <f t="shared" si="3"/>
        <v>46110</v>
      </c>
      <c r="N7" s="37">
        <f t="shared" si="3"/>
        <v>46111</v>
      </c>
      <c r="O7" s="37">
        <f t="shared" si="3"/>
        <v>46112</v>
      </c>
      <c r="P7" s="37">
        <f t="shared" si="3"/>
        <v>46113</v>
      </c>
      <c r="Q7" s="37">
        <f t="shared" si="3"/>
        <v>46114</v>
      </c>
      <c r="R7" s="37">
        <f t="shared" si="3"/>
        <v>46115</v>
      </c>
      <c r="S7" s="37">
        <f t="shared" si="3"/>
        <v>46116</v>
      </c>
      <c r="T7" s="37">
        <f t="shared" si="3"/>
        <v>46117</v>
      </c>
      <c r="U7" s="37">
        <f t="shared" si="3"/>
        <v>46118</v>
      </c>
      <c r="V7" s="37">
        <f t="shared" si="3"/>
        <v>46119</v>
      </c>
      <c r="W7" s="37">
        <f t="shared" si="3"/>
        <v>46120</v>
      </c>
      <c r="X7" s="37">
        <f t="shared" si="3"/>
        <v>46121</v>
      </c>
      <c r="Y7" s="37">
        <f t="shared" si="3"/>
        <v>46122</v>
      </c>
      <c r="Z7" s="37">
        <f t="shared" si="3"/>
        <v>46123</v>
      </c>
      <c r="AA7" s="37">
        <f t="shared" si="3"/>
        <v>46124</v>
      </c>
      <c r="AB7" s="37">
        <f t="shared" si="3"/>
        <v>46125</v>
      </c>
      <c r="AC7" s="37">
        <f t="shared" si="3"/>
        <v>46126</v>
      </c>
      <c r="AD7" s="37">
        <f t="shared" si="3"/>
        <v>46127</v>
      </c>
      <c r="AE7" s="37">
        <f t="shared" si="3"/>
        <v>46128</v>
      </c>
      <c r="AF7" s="37">
        <f t="shared" si="3"/>
        <v>46129</v>
      </c>
      <c r="AG7" s="38">
        <f t="shared" si="3"/>
        <v>46130</v>
      </c>
      <c r="AH7" s="19"/>
      <c r="AI7" s="20"/>
      <c r="AJ7" s="20"/>
      <c r="AK7" s="20"/>
      <c r="AL7" s="20"/>
      <c r="AM7" s="20"/>
      <c r="AN7" s="20"/>
      <c r="AO7" s="34"/>
      <c r="AP7" s="20"/>
      <c r="AQ7" s="20"/>
      <c r="AR7" s="20"/>
      <c r="AS7" s="20"/>
      <c r="AT7" s="20"/>
      <c r="AU7" s="20"/>
      <c r="AV7" s="20"/>
    </row>
    <row r="8" spans="1:69" ht="18" customHeight="1">
      <c r="A8" s="35"/>
      <c r="B8" s="31" t="s">
        <v>53</v>
      </c>
      <c r="C8" s="39">
        <f t="shared" si="3"/>
        <v>46100</v>
      </c>
      <c r="D8" s="39">
        <f t="shared" si="3"/>
        <v>46101</v>
      </c>
      <c r="E8" s="39">
        <f t="shared" si="3"/>
        <v>46102</v>
      </c>
      <c r="F8" s="39">
        <f t="shared" si="3"/>
        <v>46103</v>
      </c>
      <c r="G8" s="39">
        <f t="shared" si="3"/>
        <v>46104</v>
      </c>
      <c r="H8" s="39">
        <f t="shared" si="3"/>
        <v>46105</v>
      </c>
      <c r="I8" s="39">
        <f t="shared" si="3"/>
        <v>46106</v>
      </c>
      <c r="J8" s="39">
        <f t="shared" si="3"/>
        <v>46107</v>
      </c>
      <c r="K8" s="39">
        <f t="shared" si="3"/>
        <v>46108</v>
      </c>
      <c r="L8" s="39">
        <f t="shared" si="3"/>
        <v>46109</v>
      </c>
      <c r="M8" s="39">
        <f t="shared" si="3"/>
        <v>46110</v>
      </c>
      <c r="N8" s="39">
        <f t="shared" si="3"/>
        <v>46111</v>
      </c>
      <c r="O8" s="39">
        <f t="shared" si="3"/>
        <v>46112</v>
      </c>
      <c r="P8" s="39">
        <f t="shared" si="3"/>
        <v>46113</v>
      </c>
      <c r="Q8" s="39">
        <f t="shared" si="3"/>
        <v>46114</v>
      </c>
      <c r="R8" s="39">
        <f t="shared" si="3"/>
        <v>46115</v>
      </c>
      <c r="S8" s="39">
        <f t="shared" si="3"/>
        <v>46116</v>
      </c>
      <c r="T8" s="39">
        <f t="shared" si="3"/>
        <v>46117</v>
      </c>
      <c r="U8" s="39">
        <f t="shared" si="3"/>
        <v>46118</v>
      </c>
      <c r="V8" s="39">
        <f t="shared" si="3"/>
        <v>46119</v>
      </c>
      <c r="W8" s="39">
        <f t="shared" si="3"/>
        <v>46120</v>
      </c>
      <c r="X8" s="39">
        <f t="shared" si="3"/>
        <v>46121</v>
      </c>
      <c r="Y8" s="39">
        <f t="shared" si="3"/>
        <v>46122</v>
      </c>
      <c r="Z8" s="39">
        <f t="shared" si="3"/>
        <v>46123</v>
      </c>
      <c r="AA8" s="39">
        <f t="shared" si="3"/>
        <v>46124</v>
      </c>
      <c r="AB8" s="39">
        <f t="shared" si="3"/>
        <v>46125</v>
      </c>
      <c r="AC8" s="39">
        <f t="shared" si="3"/>
        <v>46126</v>
      </c>
      <c r="AD8" s="39">
        <f t="shared" si="3"/>
        <v>46127</v>
      </c>
      <c r="AE8" s="39">
        <f t="shared" si="3"/>
        <v>46128</v>
      </c>
      <c r="AF8" s="39">
        <f t="shared" si="3"/>
        <v>46129</v>
      </c>
      <c r="AG8" s="40">
        <f t="shared" si="3"/>
        <v>46130</v>
      </c>
      <c r="AH8" s="19"/>
      <c r="AI8" s="20"/>
      <c r="AJ8" s="20"/>
      <c r="AK8" s="20"/>
      <c r="AL8" s="20"/>
      <c r="AM8" s="20"/>
      <c r="AN8" s="20"/>
      <c r="AO8" s="20"/>
      <c r="AP8" s="20"/>
      <c r="AQ8" s="20"/>
      <c r="AR8" s="20"/>
      <c r="AS8" s="20"/>
      <c r="AT8" s="20"/>
      <c r="AU8" s="20"/>
      <c r="AV8" s="20"/>
    </row>
    <row r="9" spans="1:69" ht="18" customHeight="1">
      <c r="A9" s="411" t="s">
        <v>54</v>
      </c>
      <c r="B9" s="41"/>
      <c r="C9" s="423" t="s">
        <v>55</v>
      </c>
      <c r="D9" s="399"/>
      <c r="E9" s="399"/>
      <c r="F9" s="425"/>
      <c r="G9" s="399" t="s">
        <v>390</v>
      </c>
      <c r="H9" s="399"/>
      <c r="I9" s="399" t="s">
        <v>391</v>
      </c>
      <c r="J9" s="399" t="s">
        <v>392</v>
      </c>
      <c r="K9" s="399" t="s">
        <v>393</v>
      </c>
      <c r="L9" s="399"/>
      <c r="M9" s="399"/>
      <c r="N9" s="399" t="s">
        <v>394</v>
      </c>
      <c r="O9" s="399"/>
      <c r="P9" s="399" t="s">
        <v>394</v>
      </c>
      <c r="Q9" s="399" t="s">
        <v>394</v>
      </c>
      <c r="R9" s="399" t="s">
        <v>394</v>
      </c>
      <c r="S9" s="399" t="s">
        <v>57</v>
      </c>
      <c r="T9" s="399"/>
      <c r="U9" s="399" t="s">
        <v>394</v>
      </c>
      <c r="V9" s="399"/>
      <c r="W9" s="399"/>
      <c r="X9" s="399" t="s">
        <v>394</v>
      </c>
      <c r="Y9" s="399" t="s">
        <v>394</v>
      </c>
      <c r="Z9" s="399" t="s">
        <v>57</v>
      </c>
      <c r="AA9" s="399"/>
      <c r="AB9" s="399" t="s">
        <v>394</v>
      </c>
      <c r="AC9" s="399"/>
      <c r="AD9" s="433"/>
      <c r="AE9" s="399" t="s">
        <v>394</v>
      </c>
      <c r="AF9" s="399" t="s">
        <v>394</v>
      </c>
      <c r="AG9" s="426"/>
      <c r="AH9" s="211">
        <v>1</v>
      </c>
      <c r="AI9" s="20"/>
      <c r="AJ9" s="20"/>
      <c r="AK9" s="20"/>
      <c r="AL9" s="20"/>
      <c r="AM9" s="20"/>
      <c r="AN9" s="20"/>
      <c r="AO9" s="20"/>
      <c r="AP9" s="20"/>
      <c r="AQ9" s="20"/>
      <c r="AR9" s="20"/>
      <c r="AS9" s="20"/>
      <c r="AT9" s="20"/>
      <c r="AU9" s="20"/>
      <c r="AV9" s="20"/>
    </row>
    <row r="10" spans="1:69" ht="18" customHeight="1">
      <c r="A10" s="411"/>
      <c r="B10" s="41"/>
      <c r="C10" s="424"/>
      <c r="D10" s="400"/>
      <c r="E10" s="400"/>
      <c r="F10" s="400"/>
      <c r="G10" s="400"/>
      <c r="H10" s="400"/>
      <c r="I10" s="400"/>
      <c r="J10" s="400"/>
      <c r="K10" s="400"/>
      <c r="L10" s="400"/>
      <c r="M10" s="400"/>
      <c r="N10" s="400"/>
      <c r="O10" s="400"/>
      <c r="P10" s="400"/>
      <c r="Q10" s="400"/>
      <c r="R10" s="400"/>
      <c r="S10" s="400"/>
      <c r="T10" s="400"/>
      <c r="U10" s="400"/>
      <c r="V10" s="400"/>
      <c r="W10" s="400"/>
      <c r="X10" s="400"/>
      <c r="Y10" s="400"/>
      <c r="Z10" s="400"/>
      <c r="AA10" s="400"/>
      <c r="AB10" s="400"/>
      <c r="AC10" s="400"/>
      <c r="AD10" s="434"/>
      <c r="AE10" s="400"/>
      <c r="AF10" s="400"/>
      <c r="AG10" s="427"/>
      <c r="AH10" s="211">
        <v>2</v>
      </c>
      <c r="AI10" s="20"/>
      <c r="AJ10" s="20"/>
      <c r="AK10" s="20"/>
      <c r="AL10" s="20"/>
      <c r="AM10" s="20"/>
      <c r="AN10" s="20"/>
      <c r="AO10" s="20"/>
      <c r="AP10" s="20"/>
      <c r="AQ10" s="20"/>
      <c r="AR10" s="20"/>
      <c r="AS10" s="20"/>
      <c r="AT10" s="20"/>
      <c r="AU10" s="20"/>
      <c r="AV10" s="20"/>
    </row>
    <row r="11" spans="1:69" ht="18" customHeight="1">
      <c r="A11" s="411"/>
      <c r="B11" s="41" t="s">
        <v>58</v>
      </c>
      <c r="C11" s="424"/>
      <c r="D11" s="400"/>
      <c r="E11" s="400"/>
      <c r="F11" s="400"/>
      <c r="G11" s="400"/>
      <c r="H11" s="400"/>
      <c r="I11" s="400"/>
      <c r="J11" s="400"/>
      <c r="K11" s="400"/>
      <c r="L11" s="400"/>
      <c r="M11" s="400"/>
      <c r="N11" s="400"/>
      <c r="O11" s="400"/>
      <c r="P11" s="400"/>
      <c r="Q11" s="400"/>
      <c r="R11" s="400"/>
      <c r="S11" s="400"/>
      <c r="T11" s="400"/>
      <c r="U11" s="400"/>
      <c r="V11" s="400"/>
      <c r="W11" s="400"/>
      <c r="X11" s="400"/>
      <c r="Y11" s="400"/>
      <c r="Z11" s="400"/>
      <c r="AA11" s="400"/>
      <c r="AB11" s="400"/>
      <c r="AC11" s="400"/>
      <c r="AD11" s="434"/>
      <c r="AE11" s="400"/>
      <c r="AF11" s="400"/>
      <c r="AG11" s="427"/>
      <c r="AH11" s="211">
        <v>3</v>
      </c>
      <c r="AI11" s="20"/>
      <c r="AJ11" s="20"/>
      <c r="AK11" s="20"/>
      <c r="AL11" s="20"/>
      <c r="AM11" s="20"/>
      <c r="AN11" s="20"/>
      <c r="AO11" s="20"/>
      <c r="AP11" s="20"/>
      <c r="AQ11" s="20"/>
      <c r="AR11" s="20"/>
      <c r="AS11" s="20"/>
      <c r="AT11" s="20"/>
      <c r="AU11" s="20"/>
      <c r="AV11" s="20"/>
    </row>
    <row r="12" spans="1:69" ht="18" customHeight="1">
      <c r="A12" s="411"/>
      <c r="B12" s="41"/>
      <c r="C12" s="424"/>
      <c r="D12" s="400"/>
      <c r="E12" s="400"/>
      <c r="F12" s="400"/>
      <c r="G12" s="400"/>
      <c r="H12" s="400"/>
      <c r="I12" s="400"/>
      <c r="J12" s="400"/>
      <c r="K12" s="400"/>
      <c r="L12" s="400"/>
      <c r="M12" s="400"/>
      <c r="N12" s="400"/>
      <c r="O12" s="400"/>
      <c r="P12" s="400"/>
      <c r="Q12" s="400"/>
      <c r="R12" s="400"/>
      <c r="S12" s="400"/>
      <c r="T12" s="400"/>
      <c r="U12" s="400"/>
      <c r="V12" s="400"/>
      <c r="W12" s="400"/>
      <c r="X12" s="400"/>
      <c r="Y12" s="400"/>
      <c r="Z12" s="400"/>
      <c r="AA12" s="400"/>
      <c r="AB12" s="400"/>
      <c r="AC12" s="400"/>
      <c r="AD12" s="434"/>
      <c r="AE12" s="400"/>
      <c r="AF12" s="400"/>
      <c r="AG12" s="427"/>
      <c r="AH12" s="211">
        <v>4</v>
      </c>
      <c r="AI12" s="20"/>
      <c r="AJ12" s="20"/>
      <c r="AK12" s="20"/>
      <c r="AL12" s="20"/>
      <c r="AM12" s="20"/>
      <c r="AN12" s="20"/>
      <c r="AO12" s="20"/>
      <c r="AP12" s="20"/>
      <c r="AQ12" s="20"/>
      <c r="AR12" s="20"/>
      <c r="AS12" s="20"/>
      <c r="AT12" s="20"/>
      <c r="AU12" s="20"/>
      <c r="AV12" s="20"/>
    </row>
    <row r="13" spans="1:69" ht="18" customHeight="1">
      <c r="A13" s="411"/>
      <c r="B13" s="41" t="s">
        <v>59</v>
      </c>
      <c r="C13" s="424"/>
      <c r="D13" s="400"/>
      <c r="E13" s="400"/>
      <c r="F13" s="400"/>
      <c r="G13" s="400"/>
      <c r="H13" s="400"/>
      <c r="I13" s="400"/>
      <c r="J13" s="400"/>
      <c r="K13" s="400"/>
      <c r="L13" s="400"/>
      <c r="M13" s="400"/>
      <c r="N13" s="400"/>
      <c r="O13" s="400"/>
      <c r="P13" s="400"/>
      <c r="Q13" s="400"/>
      <c r="R13" s="400"/>
      <c r="S13" s="400"/>
      <c r="T13" s="400"/>
      <c r="U13" s="400"/>
      <c r="V13" s="400"/>
      <c r="W13" s="400"/>
      <c r="X13" s="400"/>
      <c r="Y13" s="400"/>
      <c r="Z13" s="400"/>
      <c r="AA13" s="400"/>
      <c r="AB13" s="400"/>
      <c r="AC13" s="400"/>
      <c r="AD13" s="434"/>
      <c r="AE13" s="400"/>
      <c r="AF13" s="400"/>
      <c r="AG13" s="427"/>
      <c r="AH13" s="211">
        <v>5</v>
      </c>
      <c r="AI13" s="20"/>
      <c r="AJ13" s="20"/>
      <c r="AK13" s="20"/>
      <c r="AL13" s="20"/>
      <c r="AM13" s="20"/>
      <c r="AN13" s="20"/>
      <c r="AO13" s="20"/>
      <c r="AP13" s="20"/>
      <c r="AQ13" s="20"/>
      <c r="AR13" s="20"/>
      <c r="AS13" s="20"/>
      <c r="AT13" s="20"/>
      <c r="AU13" s="20"/>
      <c r="AV13" s="20"/>
    </row>
    <row r="14" spans="1:69" ht="18" customHeight="1">
      <c r="A14" s="411"/>
      <c r="B14" s="41"/>
      <c r="C14" s="424"/>
      <c r="D14" s="400"/>
      <c r="E14" s="400"/>
      <c r="F14" s="400"/>
      <c r="G14" s="400"/>
      <c r="H14" s="400"/>
      <c r="I14" s="400"/>
      <c r="J14" s="400"/>
      <c r="K14" s="400"/>
      <c r="L14" s="400"/>
      <c r="M14" s="400"/>
      <c r="N14" s="400"/>
      <c r="O14" s="400"/>
      <c r="P14" s="400"/>
      <c r="Q14" s="400"/>
      <c r="R14" s="400"/>
      <c r="S14" s="400"/>
      <c r="T14" s="400"/>
      <c r="U14" s="400"/>
      <c r="V14" s="400"/>
      <c r="W14" s="400"/>
      <c r="X14" s="400"/>
      <c r="Y14" s="400"/>
      <c r="Z14" s="400"/>
      <c r="AA14" s="400"/>
      <c r="AB14" s="400"/>
      <c r="AC14" s="400"/>
      <c r="AD14" s="434"/>
      <c r="AE14" s="400"/>
      <c r="AF14" s="400"/>
      <c r="AG14" s="427"/>
      <c r="AH14" s="212">
        <v>6</v>
      </c>
      <c r="AI14" s="20"/>
      <c r="AJ14" s="20"/>
      <c r="AK14" s="20"/>
      <c r="AL14" s="20"/>
      <c r="AM14" s="20"/>
      <c r="AN14" s="20"/>
      <c r="AO14" s="20"/>
      <c r="AP14" s="20"/>
      <c r="AQ14" s="20"/>
      <c r="AR14" s="20"/>
      <c r="AS14" s="20"/>
      <c r="AT14" s="20"/>
      <c r="AU14" s="20"/>
      <c r="AV14" s="20"/>
    </row>
    <row r="15" spans="1:69" ht="14.25" hidden="1" customHeight="1">
      <c r="A15" s="411"/>
      <c r="B15" s="41"/>
      <c r="C15" s="424"/>
      <c r="D15" s="400"/>
      <c r="E15" s="400"/>
      <c r="F15" s="400"/>
      <c r="G15" s="400"/>
      <c r="H15" s="400"/>
      <c r="I15" s="400"/>
      <c r="J15" s="400"/>
      <c r="K15" s="400"/>
      <c r="L15" s="400"/>
      <c r="M15" s="400"/>
      <c r="N15" s="400"/>
      <c r="O15" s="400"/>
      <c r="P15" s="400"/>
      <c r="Q15" s="400"/>
      <c r="R15" s="400"/>
      <c r="S15" s="400"/>
      <c r="T15" s="400"/>
      <c r="U15" s="400"/>
      <c r="V15" s="400"/>
      <c r="W15" s="400"/>
      <c r="X15" s="400"/>
      <c r="Y15" s="400"/>
      <c r="Z15" s="400"/>
      <c r="AA15" s="400"/>
      <c r="AB15" s="400"/>
      <c r="AC15" s="400"/>
      <c r="AD15" s="434"/>
      <c r="AE15" s="400"/>
      <c r="AF15" s="400"/>
      <c r="AG15" s="427"/>
      <c r="AH15" s="213">
        <v>7</v>
      </c>
      <c r="AI15" s="20"/>
      <c r="AJ15" s="20"/>
      <c r="AK15" s="20"/>
      <c r="AL15" s="20"/>
      <c r="AM15" s="20"/>
      <c r="AN15" s="20"/>
      <c r="AO15" s="20"/>
      <c r="AP15" s="20"/>
      <c r="AQ15" s="20"/>
      <c r="AR15" s="20"/>
      <c r="AS15" s="20"/>
      <c r="AT15" s="20"/>
      <c r="AU15" s="20"/>
      <c r="AV15" s="20"/>
    </row>
    <row r="16" spans="1:69" ht="17.25" customHeight="1">
      <c r="A16" s="411"/>
      <c r="B16" s="41" t="s">
        <v>60</v>
      </c>
      <c r="C16" s="424"/>
      <c r="D16" s="400"/>
      <c r="E16" s="400"/>
      <c r="F16" s="400"/>
      <c r="G16" s="400"/>
      <c r="H16" s="400"/>
      <c r="I16" s="400"/>
      <c r="J16" s="400"/>
      <c r="K16" s="400"/>
      <c r="L16" s="400"/>
      <c r="M16" s="400"/>
      <c r="N16" s="400"/>
      <c r="O16" s="400"/>
      <c r="P16" s="400"/>
      <c r="Q16" s="400"/>
      <c r="R16" s="400"/>
      <c r="S16" s="400"/>
      <c r="T16" s="400"/>
      <c r="U16" s="400"/>
      <c r="V16" s="400"/>
      <c r="W16" s="400"/>
      <c r="X16" s="400"/>
      <c r="Y16" s="400"/>
      <c r="Z16" s="400"/>
      <c r="AA16" s="400"/>
      <c r="AB16" s="400"/>
      <c r="AC16" s="400"/>
      <c r="AD16" s="434"/>
      <c r="AE16" s="400"/>
      <c r="AF16" s="400"/>
      <c r="AG16" s="427"/>
      <c r="AH16" s="212">
        <v>8</v>
      </c>
      <c r="AI16" s="20"/>
      <c r="AJ16" s="20"/>
      <c r="AK16" s="20"/>
      <c r="AL16" s="20"/>
      <c r="AM16" s="20"/>
      <c r="AN16" s="20"/>
      <c r="AO16" s="20"/>
      <c r="AP16" s="20"/>
      <c r="AQ16" s="20"/>
      <c r="AR16" s="20"/>
      <c r="AS16" s="20"/>
      <c r="AT16" s="20"/>
      <c r="AU16" s="20"/>
      <c r="AV16" s="20"/>
    </row>
    <row r="17" spans="1:48" ht="17.25" customHeight="1">
      <c r="A17" s="411"/>
      <c r="B17" s="41"/>
      <c r="C17" s="424"/>
      <c r="D17" s="400"/>
      <c r="E17" s="400"/>
      <c r="F17" s="400"/>
      <c r="G17" s="400"/>
      <c r="H17" s="400"/>
      <c r="I17" s="400"/>
      <c r="J17" s="400"/>
      <c r="K17" s="400"/>
      <c r="L17" s="400"/>
      <c r="M17" s="400"/>
      <c r="N17" s="400"/>
      <c r="O17" s="400"/>
      <c r="P17" s="400"/>
      <c r="Q17" s="400"/>
      <c r="R17" s="400"/>
      <c r="S17" s="400"/>
      <c r="T17" s="400"/>
      <c r="U17" s="400"/>
      <c r="V17" s="400"/>
      <c r="W17" s="400"/>
      <c r="X17" s="400"/>
      <c r="Y17" s="400"/>
      <c r="Z17" s="400"/>
      <c r="AA17" s="400"/>
      <c r="AB17" s="400"/>
      <c r="AC17" s="400"/>
      <c r="AD17" s="434"/>
      <c r="AE17" s="400"/>
      <c r="AF17" s="400"/>
      <c r="AG17" s="427"/>
      <c r="AH17" s="211">
        <v>9</v>
      </c>
      <c r="AI17" s="20"/>
      <c r="AJ17" s="20"/>
      <c r="AK17" s="20"/>
      <c r="AL17" s="20"/>
      <c r="AM17" s="20"/>
      <c r="AN17" s="20"/>
      <c r="AO17" s="20"/>
      <c r="AP17" s="20"/>
      <c r="AQ17" s="20"/>
      <c r="AR17" s="20"/>
      <c r="AS17" s="20"/>
      <c r="AT17" s="20"/>
      <c r="AU17" s="20"/>
      <c r="AV17" s="20"/>
    </row>
    <row r="18" spans="1:48" ht="17.25" customHeight="1">
      <c r="A18" s="411"/>
      <c r="B18" s="41" t="s">
        <v>61</v>
      </c>
      <c r="C18" s="424"/>
      <c r="D18" s="400"/>
      <c r="E18" s="400"/>
      <c r="F18" s="400"/>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34"/>
      <c r="AE18" s="400"/>
      <c r="AF18" s="400"/>
      <c r="AG18" s="427"/>
      <c r="AH18" s="211">
        <v>10</v>
      </c>
      <c r="AI18" s="20"/>
      <c r="AJ18" s="20"/>
      <c r="AK18" s="20"/>
      <c r="AL18" s="20"/>
      <c r="AM18" s="20"/>
      <c r="AN18" s="20"/>
      <c r="AO18" s="20"/>
      <c r="AP18" s="20"/>
      <c r="AQ18" s="20"/>
      <c r="AR18" s="20"/>
      <c r="AS18" s="20"/>
      <c r="AT18" s="20"/>
      <c r="AU18" s="20"/>
      <c r="AV18" s="20"/>
    </row>
    <row r="19" spans="1:48" ht="17.25" customHeight="1">
      <c r="A19" s="411"/>
      <c r="B19" s="41"/>
      <c r="C19" s="424"/>
      <c r="D19" s="400"/>
      <c r="E19" s="400"/>
      <c r="F19" s="400"/>
      <c r="G19" s="400"/>
      <c r="H19" s="400"/>
      <c r="I19" s="400"/>
      <c r="J19" s="400"/>
      <c r="K19" s="400"/>
      <c r="L19" s="400"/>
      <c r="M19" s="400"/>
      <c r="N19" s="400"/>
      <c r="O19" s="400"/>
      <c r="P19" s="400"/>
      <c r="Q19" s="400"/>
      <c r="R19" s="400"/>
      <c r="S19" s="400"/>
      <c r="T19" s="400"/>
      <c r="U19" s="400"/>
      <c r="V19" s="400"/>
      <c r="W19" s="400"/>
      <c r="X19" s="400"/>
      <c r="Y19" s="400"/>
      <c r="Z19" s="400"/>
      <c r="AA19" s="400"/>
      <c r="AB19" s="400"/>
      <c r="AC19" s="400"/>
      <c r="AD19" s="434"/>
      <c r="AE19" s="400"/>
      <c r="AF19" s="400"/>
      <c r="AG19" s="427"/>
      <c r="AH19" s="211">
        <v>11</v>
      </c>
      <c r="AI19" s="20"/>
      <c r="AJ19" s="20"/>
      <c r="AK19" s="20"/>
      <c r="AL19" s="20"/>
      <c r="AM19" s="20"/>
      <c r="AN19" s="20"/>
      <c r="AO19" s="20"/>
      <c r="AP19" s="20"/>
      <c r="AQ19" s="20"/>
      <c r="AR19" s="20"/>
      <c r="AS19" s="20"/>
      <c r="AT19" s="20"/>
      <c r="AU19" s="20"/>
      <c r="AV19" s="20"/>
    </row>
    <row r="20" spans="1:48" ht="17.25" customHeight="1">
      <c r="A20" s="411"/>
      <c r="B20" s="41"/>
      <c r="C20" s="424"/>
      <c r="D20" s="400"/>
      <c r="E20" s="400"/>
      <c r="F20" s="400"/>
      <c r="G20" s="400"/>
      <c r="H20" s="400"/>
      <c r="I20" s="400"/>
      <c r="J20" s="400"/>
      <c r="K20" s="400"/>
      <c r="L20" s="400"/>
      <c r="M20" s="400"/>
      <c r="N20" s="400"/>
      <c r="O20" s="401"/>
      <c r="P20" s="401"/>
      <c r="Q20" s="401"/>
      <c r="R20" s="401"/>
      <c r="S20" s="401"/>
      <c r="T20" s="401"/>
      <c r="U20" s="401"/>
      <c r="V20" s="401"/>
      <c r="W20" s="401"/>
      <c r="X20" s="401"/>
      <c r="Y20" s="401"/>
      <c r="Z20" s="401"/>
      <c r="AA20" s="401"/>
      <c r="AB20" s="401"/>
      <c r="AC20" s="401"/>
      <c r="AD20" s="435"/>
      <c r="AE20" s="401"/>
      <c r="AF20" s="401"/>
      <c r="AG20" s="428"/>
      <c r="AH20" s="211">
        <v>12</v>
      </c>
      <c r="AI20" s="20"/>
      <c r="AJ20" s="20"/>
      <c r="AK20" s="20"/>
      <c r="AL20" s="20"/>
      <c r="AM20" s="20"/>
      <c r="AN20" s="20"/>
      <c r="AO20" s="20"/>
      <c r="AP20" s="20"/>
      <c r="AQ20" s="20"/>
      <c r="AR20" s="20"/>
      <c r="AS20" s="20"/>
      <c r="AT20" s="20"/>
      <c r="AU20" s="20"/>
      <c r="AV20" s="20"/>
    </row>
    <row r="21" spans="1:48" ht="20.100000000000001" hidden="1" customHeight="1">
      <c r="A21" s="35"/>
      <c r="B21" s="42" t="s">
        <v>62</v>
      </c>
      <c r="C21" s="43"/>
      <c r="D21" s="44"/>
      <c r="E21" s="44"/>
      <c r="F21" s="44"/>
      <c r="G21" s="44"/>
      <c r="H21" s="44"/>
      <c r="I21" s="44"/>
      <c r="J21" s="44"/>
      <c r="K21" s="44"/>
      <c r="L21" s="44"/>
      <c r="M21" s="44"/>
      <c r="N21" s="44"/>
      <c r="O21" s="45"/>
      <c r="P21" s="45"/>
      <c r="Q21" s="45"/>
      <c r="R21" s="45"/>
      <c r="S21" s="45"/>
      <c r="T21" s="45"/>
      <c r="U21" s="45"/>
      <c r="V21" s="45"/>
      <c r="W21" s="45"/>
      <c r="X21" s="45"/>
      <c r="Y21" s="45"/>
      <c r="Z21" s="45"/>
      <c r="AA21" s="45"/>
      <c r="AB21" s="45"/>
      <c r="AC21" s="45"/>
      <c r="AD21" s="45"/>
      <c r="AE21" s="45"/>
      <c r="AF21" s="45"/>
      <c r="AG21" s="46"/>
      <c r="AH21" s="47"/>
      <c r="AI21" s="130">
        <f>COUNTIF(C21:AG21,"○")</f>
        <v>0</v>
      </c>
      <c r="AJ21" s="131" t="s">
        <v>62</v>
      </c>
      <c r="AK21" s="20"/>
      <c r="AL21" s="20"/>
      <c r="AM21" s="20"/>
      <c r="AN21" s="20"/>
      <c r="AO21" s="20"/>
      <c r="AP21" s="20"/>
      <c r="AQ21" s="20"/>
      <c r="AR21" s="20"/>
      <c r="AS21" s="20"/>
      <c r="AT21" s="20"/>
      <c r="AU21" s="20"/>
      <c r="AV21" s="20"/>
    </row>
    <row r="22" spans="1:48" ht="18" customHeight="1">
      <c r="A22" s="35"/>
      <c r="B22" s="48" t="s">
        <v>63</v>
      </c>
      <c r="C22" s="43"/>
      <c r="D22" s="44"/>
      <c r="E22" s="44"/>
      <c r="F22" s="44"/>
      <c r="G22" s="44" t="s">
        <v>64</v>
      </c>
      <c r="H22" s="49"/>
      <c r="I22" s="49"/>
      <c r="J22" s="44"/>
      <c r="K22" s="44"/>
      <c r="L22" s="44"/>
      <c r="M22" s="44"/>
      <c r="N22" s="44"/>
      <c r="O22" s="49"/>
      <c r="P22" s="49"/>
      <c r="Q22" s="44"/>
      <c r="R22" s="44"/>
      <c r="S22" s="44"/>
      <c r="T22" s="49"/>
      <c r="U22" s="49"/>
      <c r="V22" s="49"/>
      <c r="W22" s="49"/>
      <c r="X22" s="44"/>
      <c r="Y22" s="44"/>
      <c r="Z22" s="44"/>
      <c r="AA22" s="44"/>
      <c r="AB22" s="49"/>
      <c r="AC22" s="49"/>
      <c r="AD22" s="44"/>
      <c r="AE22" s="44"/>
      <c r="AF22" s="44"/>
      <c r="AG22" s="50"/>
      <c r="AH22" s="132" t="str">
        <f>IF(AI22="","","←")</f>
        <v/>
      </c>
      <c r="AI22" s="405" t="str">
        <f>IF(C8="","",IF(COUNTA(C22:AG22)&gt;=1,"","成績考査もれ"))</f>
        <v/>
      </c>
      <c r="AJ22" s="405"/>
      <c r="AK22" s="20"/>
      <c r="AL22" s="20"/>
      <c r="AM22" s="20"/>
      <c r="AN22" s="20"/>
      <c r="AO22" s="20"/>
      <c r="AP22" s="20"/>
      <c r="AQ22" s="20"/>
      <c r="AR22" s="20"/>
      <c r="AS22" s="20"/>
      <c r="AT22" s="20"/>
      <c r="AU22" s="20"/>
      <c r="AV22" s="20"/>
    </row>
    <row r="23" spans="1:48" ht="18" customHeight="1">
      <c r="A23" s="35"/>
      <c r="B23" s="51" t="s">
        <v>65</v>
      </c>
      <c r="C23" s="52"/>
      <c r="D23" s="53"/>
      <c r="E23" s="53"/>
      <c r="F23" s="53"/>
      <c r="G23" s="53"/>
      <c r="H23" s="54"/>
      <c r="I23" s="54"/>
      <c r="J23" s="53"/>
      <c r="K23" s="53"/>
      <c r="L23" s="53"/>
      <c r="M23" s="53"/>
      <c r="N23" s="53"/>
      <c r="O23" s="54"/>
      <c r="P23" s="54"/>
      <c r="Q23" s="53"/>
      <c r="R23" s="53"/>
      <c r="S23" s="53"/>
      <c r="T23" s="54"/>
      <c r="U23" s="54"/>
      <c r="V23" s="54"/>
      <c r="W23" s="54"/>
      <c r="X23" s="53"/>
      <c r="Y23" s="53"/>
      <c r="Z23" s="53"/>
      <c r="AA23" s="53"/>
      <c r="AB23" s="54"/>
      <c r="AC23" s="54"/>
      <c r="AD23" s="53"/>
      <c r="AE23" s="53"/>
      <c r="AF23" s="53"/>
      <c r="AG23" s="55"/>
      <c r="AH23" s="132" t="str">
        <f>IF(AI23="","","←")</f>
        <v/>
      </c>
      <c r="AI23" s="418" t="str">
        <f>[9]機構処理!BI72</f>
        <v/>
      </c>
      <c r="AJ23" s="418"/>
      <c r="AK23" s="20"/>
      <c r="AL23" s="20"/>
      <c r="AM23" s="20"/>
      <c r="AN23" s="20"/>
      <c r="AO23" s="20"/>
      <c r="AP23" s="20"/>
      <c r="AQ23" s="20"/>
      <c r="AR23" s="20"/>
      <c r="AS23" s="20"/>
      <c r="AT23" s="20"/>
      <c r="AU23" s="20"/>
      <c r="AV23" s="20"/>
    </row>
    <row r="24" spans="1:48" ht="18" customHeight="1">
      <c r="A24" s="35"/>
      <c r="B24" s="407" t="s">
        <v>66</v>
      </c>
      <c r="C24" s="56">
        <v>0</v>
      </c>
      <c r="D24" s="57"/>
      <c r="E24" s="57"/>
      <c r="F24" s="57"/>
      <c r="G24" s="57">
        <v>1</v>
      </c>
      <c r="H24" s="57"/>
      <c r="I24" s="57">
        <v>6</v>
      </c>
      <c r="J24" s="57">
        <v>6</v>
      </c>
      <c r="K24" s="57">
        <v>6</v>
      </c>
      <c r="L24" s="57"/>
      <c r="M24" s="57"/>
      <c r="N24" s="57">
        <v>6</v>
      </c>
      <c r="O24" s="57"/>
      <c r="P24" s="57">
        <v>6</v>
      </c>
      <c r="Q24" s="57">
        <v>6</v>
      </c>
      <c r="R24" s="57">
        <v>6</v>
      </c>
      <c r="S24" s="57">
        <v>0</v>
      </c>
      <c r="T24" s="57"/>
      <c r="U24" s="57">
        <v>6</v>
      </c>
      <c r="V24" s="57"/>
      <c r="W24" s="57"/>
      <c r="X24" s="57">
        <v>6</v>
      </c>
      <c r="Y24" s="57">
        <v>6</v>
      </c>
      <c r="Z24" s="57">
        <v>0</v>
      </c>
      <c r="AA24" s="57"/>
      <c r="AB24" s="57">
        <v>6</v>
      </c>
      <c r="AC24" s="57"/>
      <c r="AD24" s="57"/>
      <c r="AE24" s="57">
        <v>6</v>
      </c>
      <c r="AF24" s="57">
        <v>6</v>
      </c>
      <c r="AG24" s="58"/>
      <c r="AH24" s="212">
        <v>1</v>
      </c>
      <c r="AI24" s="20"/>
      <c r="AJ24" s="20"/>
      <c r="AK24" s="20"/>
      <c r="AL24" s="20"/>
      <c r="AM24" s="59"/>
      <c r="AN24" s="20"/>
      <c r="AO24" s="20"/>
      <c r="AP24" s="20"/>
      <c r="AQ24" s="20"/>
      <c r="AR24" s="20"/>
      <c r="AS24" s="20"/>
      <c r="AT24" s="20"/>
      <c r="AU24" s="20"/>
      <c r="AV24" s="20"/>
    </row>
    <row r="25" spans="1:48" ht="18" hidden="1" customHeight="1">
      <c r="A25" s="35"/>
      <c r="B25" s="408"/>
      <c r="C25" s="60"/>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2"/>
      <c r="AH25" s="211">
        <v>2</v>
      </c>
      <c r="AI25" s="20"/>
      <c r="AJ25" s="20"/>
      <c r="AK25" s="20"/>
      <c r="AL25" s="20"/>
      <c r="AM25" s="20"/>
      <c r="AN25" s="20"/>
      <c r="AO25" s="20"/>
      <c r="AP25" s="20"/>
      <c r="AQ25" s="20"/>
      <c r="AR25" s="20"/>
      <c r="AS25" s="20"/>
      <c r="AT25" s="20"/>
      <c r="AU25" s="20"/>
      <c r="AV25" s="20"/>
    </row>
    <row r="26" spans="1:48" ht="18" hidden="1" customHeight="1">
      <c r="A26" s="35"/>
      <c r="B26" s="408"/>
      <c r="C26" s="60"/>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2"/>
      <c r="AH26" s="211">
        <v>3</v>
      </c>
      <c r="AI26" s="20"/>
      <c r="AJ26" s="20"/>
      <c r="AK26" s="20"/>
      <c r="AL26" s="20"/>
      <c r="AM26" s="20"/>
      <c r="AN26" s="20"/>
      <c r="AO26" s="20"/>
      <c r="AP26" s="20"/>
      <c r="AQ26" s="20"/>
      <c r="AR26" s="20"/>
      <c r="AS26" s="20"/>
      <c r="AT26" s="20"/>
      <c r="AU26" s="20"/>
      <c r="AV26" s="20"/>
    </row>
    <row r="27" spans="1:48" ht="18" customHeight="1">
      <c r="A27" s="63"/>
      <c r="B27" s="409"/>
      <c r="C27" s="253"/>
      <c r="D27" s="254"/>
      <c r="E27" s="254"/>
      <c r="F27" s="254"/>
      <c r="G27" s="254">
        <v>5</v>
      </c>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5"/>
      <c r="AH27" s="212">
        <v>4</v>
      </c>
      <c r="AI27" s="410" t="str">
        <f>IF(C6="","","土日祝の訓練日数⇒")</f>
        <v>土日祝の訓練日数⇒</v>
      </c>
      <c r="AJ27" s="410"/>
      <c r="AK27" s="69">
        <f>IF(C6="","",[9]機構処理!BF29)</f>
        <v>2</v>
      </c>
      <c r="AL27" s="69" t="str">
        <f>IF(C6="","","日")</f>
        <v>日</v>
      </c>
      <c r="AM27" s="64"/>
      <c r="AN27" s="20"/>
      <c r="AO27" s="20"/>
      <c r="AP27" s="20"/>
      <c r="AQ27" s="20"/>
      <c r="AR27" s="20"/>
      <c r="AS27" s="20"/>
      <c r="AT27" s="20"/>
      <c r="AU27" s="20"/>
      <c r="AV27" s="20"/>
    </row>
    <row r="28" spans="1:48" ht="14.4">
      <c r="A28" s="15"/>
      <c r="B28" s="28"/>
      <c r="C28" s="28" t="str">
        <f t="shared" ref="C28:AG28" si="4">IF(C31="","",IF(C31=訓練終了日,"修了日",""))</f>
        <v/>
      </c>
      <c r="D28" s="28" t="str">
        <f t="shared" si="4"/>
        <v/>
      </c>
      <c r="E28" s="28" t="str">
        <f t="shared" si="4"/>
        <v/>
      </c>
      <c r="F28" s="28" t="str">
        <f t="shared" si="4"/>
        <v/>
      </c>
      <c r="G28" s="28" t="str">
        <f t="shared" si="4"/>
        <v/>
      </c>
      <c r="H28" s="28" t="str">
        <f t="shared" si="4"/>
        <v/>
      </c>
      <c r="I28" s="28" t="str">
        <f t="shared" si="4"/>
        <v/>
      </c>
      <c r="J28" s="28" t="str">
        <f t="shared" si="4"/>
        <v/>
      </c>
      <c r="K28" s="28" t="str">
        <f t="shared" si="4"/>
        <v/>
      </c>
      <c r="L28" s="28" t="str">
        <f t="shared" si="4"/>
        <v/>
      </c>
      <c r="M28" s="28" t="str">
        <f t="shared" si="4"/>
        <v/>
      </c>
      <c r="N28" s="28" t="str">
        <f t="shared" si="4"/>
        <v/>
      </c>
      <c r="O28" s="28" t="str">
        <f t="shared" si="4"/>
        <v/>
      </c>
      <c r="P28" s="28" t="str">
        <f t="shared" si="4"/>
        <v/>
      </c>
      <c r="Q28" s="28" t="str">
        <f t="shared" si="4"/>
        <v/>
      </c>
      <c r="R28" s="28" t="str">
        <f t="shared" si="4"/>
        <v/>
      </c>
      <c r="S28" s="28" t="str">
        <f t="shared" si="4"/>
        <v/>
      </c>
      <c r="T28" s="28" t="str">
        <f t="shared" si="4"/>
        <v/>
      </c>
      <c r="U28" s="28" t="str">
        <f t="shared" si="4"/>
        <v/>
      </c>
      <c r="V28" s="28" t="str">
        <f t="shared" si="4"/>
        <v/>
      </c>
      <c r="W28" s="28" t="str">
        <f t="shared" si="4"/>
        <v/>
      </c>
      <c r="X28" s="28" t="str">
        <f t="shared" si="4"/>
        <v/>
      </c>
      <c r="Y28" s="28" t="str">
        <f t="shared" si="4"/>
        <v/>
      </c>
      <c r="Z28" s="28" t="str">
        <f t="shared" si="4"/>
        <v/>
      </c>
      <c r="AA28" s="28" t="str">
        <f t="shared" si="4"/>
        <v/>
      </c>
      <c r="AB28" s="28" t="str">
        <f t="shared" si="4"/>
        <v/>
      </c>
      <c r="AC28" s="28" t="str">
        <f t="shared" si="4"/>
        <v/>
      </c>
      <c r="AD28" s="28" t="str">
        <f t="shared" si="4"/>
        <v/>
      </c>
      <c r="AE28" s="28" t="str">
        <f t="shared" si="4"/>
        <v/>
      </c>
      <c r="AF28" s="28" t="str">
        <f t="shared" si="4"/>
        <v/>
      </c>
      <c r="AG28" s="28" t="str">
        <f t="shared" si="4"/>
        <v/>
      </c>
      <c r="AH28" s="19"/>
      <c r="AI28" s="20"/>
      <c r="AJ28" s="20"/>
      <c r="AK28" s="20"/>
      <c r="AL28" s="20"/>
      <c r="AM28" s="20"/>
      <c r="AN28" s="20"/>
      <c r="AO28" s="20"/>
      <c r="AP28" s="20"/>
      <c r="AQ28" s="20"/>
      <c r="AR28" s="20"/>
      <c r="AS28" s="20"/>
      <c r="AT28" s="20"/>
      <c r="AU28" s="20"/>
      <c r="AV28" s="20"/>
    </row>
    <row r="29" spans="1:48" ht="18" customHeight="1">
      <c r="A29" s="30"/>
      <c r="B29" s="31" t="s">
        <v>51</v>
      </c>
      <c r="C29" s="32">
        <f>IFERROR(IF(EDATE(C6,1)&lt;=訓練終了日,EDATE(C6,1),""),"")</f>
        <v>46131</v>
      </c>
      <c r="D29" s="33">
        <f t="shared" ref="D29:AD29" si="5">IF(OR(C29="",C28="修了日"),"",C29+1)</f>
        <v>46132</v>
      </c>
      <c r="E29" s="33">
        <f t="shared" si="5"/>
        <v>46133</v>
      </c>
      <c r="F29" s="33">
        <f t="shared" si="5"/>
        <v>46134</v>
      </c>
      <c r="G29" s="33">
        <f t="shared" si="5"/>
        <v>46135</v>
      </c>
      <c r="H29" s="33">
        <f t="shared" si="5"/>
        <v>46136</v>
      </c>
      <c r="I29" s="33">
        <f t="shared" si="5"/>
        <v>46137</v>
      </c>
      <c r="J29" s="33">
        <f t="shared" si="5"/>
        <v>46138</v>
      </c>
      <c r="K29" s="33">
        <f t="shared" si="5"/>
        <v>46139</v>
      </c>
      <c r="L29" s="33">
        <f t="shared" si="5"/>
        <v>46140</v>
      </c>
      <c r="M29" s="33">
        <f t="shared" si="5"/>
        <v>46141</v>
      </c>
      <c r="N29" s="33">
        <f t="shared" si="5"/>
        <v>46142</v>
      </c>
      <c r="O29" s="33">
        <f t="shared" si="5"/>
        <v>46143</v>
      </c>
      <c r="P29" s="33">
        <f t="shared" si="5"/>
        <v>46144</v>
      </c>
      <c r="Q29" s="33">
        <f t="shared" si="5"/>
        <v>46145</v>
      </c>
      <c r="R29" s="33">
        <f t="shared" si="5"/>
        <v>46146</v>
      </c>
      <c r="S29" s="33">
        <f t="shared" si="5"/>
        <v>46147</v>
      </c>
      <c r="T29" s="33">
        <f t="shared" si="5"/>
        <v>46148</v>
      </c>
      <c r="U29" s="33">
        <f t="shared" si="5"/>
        <v>46149</v>
      </c>
      <c r="V29" s="33">
        <f t="shared" si="5"/>
        <v>46150</v>
      </c>
      <c r="W29" s="33">
        <f t="shared" si="5"/>
        <v>46151</v>
      </c>
      <c r="X29" s="33">
        <f t="shared" si="5"/>
        <v>46152</v>
      </c>
      <c r="Y29" s="33">
        <f t="shared" si="5"/>
        <v>46153</v>
      </c>
      <c r="Z29" s="33">
        <f t="shared" si="5"/>
        <v>46154</v>
      </c>
      <c r="AA29" s="33">
        <f t="shared" si="5"/>
        <v>46155</v>
      </c>
      <c r="AB29" s="33">
        <f t="shared" si="5"/>
        <v>46156</v>
      </c>
      <c r="AC29" s="33">
        <f t="shared" si="5"/>
        <v>46157</v>
      </c>
      <c r="AD29" s="33">
        <f t="shared" si="5"/>
        <v>46158</v>
      </c>
      <c r="AE29" s="33">
        <f>IF(OR(AD29="",AD28="修了日"),"",IF(AND(DAY(DATE(YEAR(C29),2,29))=29,MONTH(C29)=2),AD29+1,IF(MONTH(C29)=2,"",AD29+1)))</f>
        <v>46159</v>
      </c>
      <c r="AF29" s="33">
        <f>IF(OR(AE29="",AE28="修了日"),"",IF(MONTH(C29)=2,"",AE29+1))</f>
        <v>46160</v>
      </c>
      <c r="AG29" s="65" t="str">
        <f>IF(OR(AF29="",AF28="修了日"),"",IF(OR(MONTH(C29)=2,MONTH(C29)=4,MONTH(C29)=6,MONTH(C29)=9,MONTH(C29)=11),"",AF29+1))</f>
        <v/>
      </c>
      <c r="AH29" s="19"/>
      <c r="AI29" s="20"/>
      <c r="AJ29" s="66"/>
      <c r="AK29" s="20"/>
      <c r="AL29" s="20"/>
      <c r="AM29" s="20"/>
      <c r="AN29" s="34"/>
      <c r="AO29" s="20"/>
      <c r="AP29" s="20"/>
      <c r="AQ29" s="20"/>
      <c r="AR29" s="20"/>
      <c r="AS29" s="20"/>
      <c r="AT29" s="20"/>
      <c r="AU29" s="20"/>
      <c r="AV29" s="20"/>
    </row>
    <row r="30" spans="1:48" ht="18" customHeight="1">
      <c r="A30" s="35"/>
      <c r="B30" s="31" t="s">
        <v>52</v>
      </c>
      <c r="C30" s="67">
        <f t="shared" ref="C30:AG31" si="6">IF(C29="","",+C29)</f>
        <v>46131</v>
      </c>
      <c r="D30" s="67">
        <f t="shared" si="6"/>
        <v>46132</v>
      </c>
      <c r="E30" s="67">
        <f t="shared" si="6"/>
        <v>46133</v>
      </c>
      <c r="F30" s="67">
        <f t="shared" si="6"/>
        <v>46134</v>
      </c>
      <c r="G30" s="67">
        <f t="shared" si="6"/>
        <v>46135</v>
      </c>
      <c r="H30" s="67">
        <f t="shared" si="6"/>
        <v>46136</v>
      </c>
      <c r="I30" s="67">
        <f t="shared" si="6"/>
        <v>46137</v>
      </c>
      <c r="J30" s="67">
        <f t="shared" si="6"/>
        <v>46138</v>
      </c>
      <c r="K30" s="67">
        <f t="shared" si="6"/>
        <v>46139</v>
      </c>
      <c r="L30" s="67">
        <f t="shared" si="6"/>
        <v>46140</v>
      </c>
      <c r="M30" s="67">
        <f t="shared" si="6"/>
        <v>46141</v>
      </c>
      <c r="N30" s="67">
        <f t="shared" si="6"/>
        <v>46142</v>
      </c>
      <c r="O30" s="67">
        <f t="shared" si="6"/>
        <v>46143</v>
      </c>
      <c r="P30" s="67">
        <f t="shared" si="6"/>
        <v>46144</v>
      </c>
      <c r="Q30" s="67">
        <f t="shared" si="6"/>
        <v>46145</v>
      </c>
      <c r="R30" s="67">
        <f t="shared" si="6"/>
        <v>46146</v>
      </c>
      <c r="S30" s="67">
        <f t="shared" si="6"/>
        <v>46147</v>
      </c>
      <c r="T30" s="67">
        <f t="shared" si="6"/>
        <v>46148</v>
      </c>
      <c r="U30" s="67">
        <f t="shared" si="6"/>
        <v>46149</v>
      </c>
      <c r="V30" s="67">
        <f t="shared" si="6"/>
        <v>46150</v>
      </c>
      <c r="W30" s="67">
        <f t="shared" si="6"/>
        <v>46151</v>
      </c>
      <c r="X30" s="67">
        <f t="shared" si="6"/>
        <v>46152</v>
      </c>
      <c r="Y30" s="67">
        <f t="shared" si="6"/>
        <v>46153</v>
      </c>
      <c r="Z30" s="67">
        <f t="shared" si="6"/>
        <v>46154</v>
      </c>
      <c r="AA30" s="67">
        <f t="shared" si="6"/>
        <v>46155</v>
      </c>
      <c r="AB30" s="67">
        <f>IF(AB29="","",+AB29)</f>
        <v>46156</v>
      </c>
      <c r="AC30" s="67">
        <f t="shared" si="6"/>
        <v>46157</v>
      </c>
      <c r="AD30" s="37">
        <f t="shared" si="6"/>
        <v>46158</v>
      </c>
      <c r="AE30" s="67">
        <f t="shared" si="6"/>
        <v>46159</v>
      </c>
      <c r="AF30" s="67">
        <f t="shared" si="6"/>
        <v>46160</v>
      </c>
      <c r="AG30" s="68" t="str">
        <f t="shared" si="6"/>
        <v/>
      </c>
      <c r="AH30" s="19"/>
      <c r="AI30" s="20"/>
      <c r="AJ30" s="66"/>
      <c r="AK30" s="20"/>
      <c r="AL30" s="20"/>
      <c r="AM30" s="20"/>
      <c r="AN30" s="20"/>
      <c r="AO30" s="20"/>
      <c r="AP30" s="20"/>
      <c r="AQ30" s="20"/>
      <c r="AR30" s="20"/>
      <c r="AS30" s="20"/>
      <c r="AT30" s="20"/>
      <c r="AU30" s="20"/>
      <c r="AV30" s="20"/>
    </row>
    <row r="31" spans="1:48" ht="18" customHeight="1">
      <c r="A31" s="35"/>
      <c r="B31" s="31" t="s">
        <v>53</v>
      </c>
      <c r="C31" s="39">
        <f t="shared" si="6"/>
        <v>46131</v>
      </c>
      <c r="D31" s="39">
        <f t="shared" si="6"/>
        <v>46132</v>
      </c>
      <c r="E31" s="39">
        <f t="shared" si="6"/>
        <v>46133</v>
      </c>
      <c r="F31" s="39">
        <f t="shared" si="6"/>
        <v>46134</v>
      </c>
      <c r="G31" s="39">
        <f t="shared" si="6"/>
        <v>46135</v>
      </c>
      <c r="H31" s="39">
        <f t="shared" si="6"/>
        <v>46136</v>
      </c>
      <c r="I31" s="39">
        <f t="shared" si="6"/>
        <v>46137</v>
      </c>
      <c r="J31" s="39">
        <f t="shared" si="6"/>
        <v>46138</v>
      </c>
      <c r="K31" s="39">
        <f t="shared" si="6"/>
        <v>46139</v>
      </c>
      <c r="L31" s="39">
        <f t="shared" si="6"/>
        <v>46140</v>
      </c>
      <c r="M31" s="39">
        <f t="shared" si="6"/>
        <v>46141</v>
      </c>
      <c r="N31" s="39">
        <f t="shared" si="6"/>
        <v>46142</v>
      </c>
      <c r="O31" s="39">
        <f t="shared" si="6"/>
        <v>46143</v>
      </c>
      <c r="P31" s="39">
        <f t="shared" si="6"/>
        <v>46144</v>
      </c>
      <c r="Q31" s="39">
        <f t="shared" si="6"/>
        <v>46145</v>
      </c>
      <c r="R31" s="39">
        <f t="shared" si="6"/>
        <v>46146</v>
      </c>
      <c r="S31" s="39">
        <f t="shared" si="6"/>
        <v>46147</v>
      </c>
      <c r="T31" s="39">
        <f t="shared" si="6"/>
        <v>46148</v>
      </c>
      <c r="U31" s="39">
        <f t="shared" si="6"/>
        <v>46149</v>
      </c>
      <c r="V31" s="39">
        <f t="shared" si="6"/>
        <v>46150</v>
      </c>
      <c r="W31" s="39">
        <f t="shared" si="6"/>
        <v>46151</v>
      </c>
      <c r="X31" s="39">
        <f t="shared" si="6"/>
        <v>46152</v>
      </c>
      <c r="Y31" s="39">
        <f t="shared" si="6"/>
        <v>46153</v>
      </c>
      <c r="Z31" s="39">
        <f t="shared" si="6"/>
        <v>46154</v>
      </c>
      <c r="AA31" s="39">
        <f t="shared" si="6"/>
        <v>46155</v>
      </c>
      <c r="AB31" s="39">
        <f t="shared" si="6"/>
        <v>46156</v>
      </c>
      <c r="AC31" s="39">
        <f t="shared" si="6"/>
        <v>46157</v>
      </c>
      <c r="AD31" s="39">
        <f t="shared" si="6"/>
        <v>46158</v>
      </c>
      <c r="AE31" s="39">
        <f t="shared" si="6"/>
        <v>46159</v>
      </c>
      <c r="AF31" s="39">
        <f t="shared" si="6"/>
        <v>46160</v>
      </c>
      <c r="AG31" s="40" t="str">
        <f t="shared" si="6"/>
        <v/>
      </c>
      <c r="AH31" s="19"/>
      <c r="AI31" s="20"/>
      <c r="AJ31" s="20"/>
      <c r="AK31" s="20"/>
      <c r="AL31" s="20"/>
      <c r="AM31" s="20"/>
      <c r="AN31" s="20"/>
      <c r="AO31" s="20"/>
      <c r="AP31" s="20"/>
      <c r="AQ31" s="20"/>
      <c r="AR31" s="20"/>
      <c r="AS31" s="20"/>
      <c r="AT31" s="20"/>
      <c r="AU31" s="20"/>
      <c r="AV31" s="20"/>
    </row>
    <row r="32" spans="1:48" ht="18" customHeight="1">
      <c r="A32" s="411" t="s">
        <v>247</v>
      </c>
      <c r="B32" s="41"/>
      <c r="C32" s="412" t="str">
        <f t="shared" ref="C32:AE32" si="7">IF(C$31="","",IF(C$31=$K$150,"ハローワーク来所日①",""))</f>
        <v/>
      </c>
      <c r="D32" s="399" t="s">
        <v>394</v>
      </c>
      <c r="E32" s="399" t="str">
        <f t="shared" si="7"/>
        <v/>
      </c>
      <c r="F32" s="425" t="s">
        <v>394</v>
      </c>
      <c r="G32" s="425" t="s">
        <v>394</v>
      </c>
      <c r="H32" s="425" t="s">
        <v>394</v>
      </c>
      <c r="I32" s="433" t="str">
        <f t="shared" si="7"/>
        <v/>
      </c>
      <c r="J32" s="433" t="str">
        <f t="shared" si="7"/>
        <v/>
      </c>
      <c r="K32" s="399" t="s">
        <v>394</v>
      </c>
      <c r="L32" s="399" t="str">
        <f t="shared" si="7"/>
        <v>ハローワーク来所日①</v>
      </c>
      <c r="M32" s="433" t="str">
        <f t="shared" si="7"/>
        <v/>
      </c>
      <c r="N32" s="425" t="s">
        <v>395</v>
      </c>
      <c r="O32" s="433" t="s">
        <v>396</v>
      </c>
      <c r="P32" s="425" t="str">
        <f t="shared" si="7"/>
        <v/>
      </c>
      <c r="Q32" s="399" t="str">
        <f t="shared" si="7"/>
        <v/>
      </c>
      <c r="R32" s="399" t="str">
        <f t="shared" si="7"/>
        <v/>
      </c>
      <c r="S32" s="399" t="str">
        <f t="shared" si="7"/>
        <v/>
      </c>
      <c r="T32" s="462" t="str">
        <f t="shared" si="7"/>
        <v/>
      </c>
      <c r="U32" s="433" t="s">
        <v>396</v>
      </c>
      <c r="V32" s="433" t="s">
        <v>396</v>
      </c>
      <c r="W32" s="462" t="str">
        <f t="shared" si="7"/>
        <v/>
      </c>
      <c r="X32" s="462" t="str">
        <f t="shared" si="7"/>
        <v/>
      </c>
      <c r="Y32" s="399" t="s">
        <v>397</v>
      </c>
      <c r="Z32" s="399"/>
      <c r="AA32" s="399" t="s">
        <v>397</v>
      </c>
      <c r="AB32" s="399" t="s">
        <v>397</v>
      </c>
      <c r="AC32" s="399" t="s">
        <v>397</v>
      </c>
      <c r="AD32" s="462" t="str">
        <f t="shared" si="7"/>
        <v/>
      </c>
      <c r="AE32" s="462" t="str">
        <f t="shared" si="7"/>
        <v/>
      </c>
      <c r="AF32" s="399" t="s">
        <v>397</v>
      </c>
      <c r="AG32" s="402" t="str">
        <f t="shared" ref="AG32" si="8">IF(AG$31="","",IF(AG$31=$K$150,"ハローワーク来所日①",""))</f>
        <v/>
      </c>
      <c r="AH32" s="211">
        <v>1</v>
      </c>
      <c r="AI32" s="20"/>
      <c r="AJ32" s="20"/>
      <c r="AK32" s="20"/>
      <c r="AL32" s="20"/>
      <c r="AM32" s="20"/>
      <c r="AN32" s="20"/>
      <c r="AO32" s="20"/>
      <c r="AP32" s="20"/>
      <c r="AQ32" s="20"/>
      <c r="AR32" s="20"/>
      <c r="AS32" s="20"/>
      <c r="AT32" s="20"/>
      <c r="AU32" s="20"/>
      <c r="AV32" s="20"/>
    </row>
    <row r="33" spans="1:48" ht="18" customHeight="1">
      <c r="A33" s="411"/>
      <c r="B33" s="41"/>
      <c r="C33" s="413"/>
      <c r="D33" s="400"/>
      <c r="E33" s="400"/>
      <c r="F33" s="400"/>
      <c r="G33" s="400"/>
      <c r="H33" s="400"/>
      <c r="I33" s="434"/>
      <c r="J33" s="434"/>
      <c r="K33" s="400"/>
      <c r="L33" s="400"/>
      <c r="M33" s="434"/>
      <c r="N33" s="436"/>
      <c r="O33" s="465"/>
      <c r="P33" s="436"/>
      <c r="Q33" s="400"/>
      <c r="R33" s="400"/>
      <c r="S33" s="400"/>
      <c r="T33" s="463"/>
      <c r="U33" s="465"/>
      <c r="V33" s="465"/>
      <c r="W33" s="463"/>
      <c r="X33" s="463"/>
      <c r="Y33" s="400"/>
      <c r="Z33" s="400"/>
      <c r="AA33" s="400"/>
      <c r="AB33" s="400"/>
      <c r="AC33" s="400"/>
      <c r="AD33" s="463"/>
      <c r="AE33" s="463"/>
      <c r="AF33" s="400"/>
      <c r="AG33" s="403"/>
      <c r="AH33" s="211">
        <v>2</v>
      </c>
      <c r="AI33" s="20"/>
      <c r="AJ33" s="20"/>
      <c r="AK33" s="20"/>
      <c r="AL33" s="20"/>
      <c r="AM33" s="20"/>
      <c r="AN33" s="20"/>
      <c r="AO33" s="20"/>
      <c r="AP33" s="20"/>
      <c r="AQ33" s="20"/>
      <c r="AR33" s="20"/>
      <c r="AS33" s="20"/>
      <c r="AT33" s="20"/>
      <c r="AU33" s="20"/>
      <c r="AV33" s="20"/>
    </row>
    <row r="34" spans="1:48" ht="18" customHeight="1">
      <c r="A34" s="411"/>
      <c r="B34" s="41" t="s">
        <v>58</v>
      </c>
      <c r="C34" s="413"/>
      <c r="D34" s="400"/>
      <c r="E34" s="400"/>
      <c r="F34" s="400"/>
      <c r="G34" s="400"/>
      <c r="H34" s="400"/>
      <c r="I34" s="434"/>
      <c r="J34" s="434"/>
      <c r="K34" s="400"/>
      <c r="L34" s="400"/>
      <c r="M34" s="434"/>
      <c r="N34" s="436"/>
      <c r="O34" s="465"/>
      <c r="P34" s="436"/>
      <c r="Q34" s="400"/>
      <c r="R34" s="400"/>
      <c r="S34" s="400"/>
      <c r="T34" s="463"/>
      <c r="U34" s="465"/>
      <c r="V34" s="465"/>
      <c r="W34" s="463"/>
      <c r="X34" s="463"/>
      <c r="Y34" s="400"/>
      <c r="Z34" s="400"/>
      <c r="AA34" s="400"/>
      <c r="AB34" s="400"/>
      <c r="AC34" s="400"/>
      <c r="AD34" s="463"/>
      <c r="AE34" s="463"/>
      <c r="AF34" s="400"/>
      <c r="AG34" s="403"/>
      <c r="AH34" s="211">
        <v>3</v>
      </c>
      <c r="AI34" s="20"/>
      <c r="AJ34" s="20"/>
      <c r="AK34" s="20"/>
      <c r="AL34" s="20"/>
      <c r="AM34" s="20"/>
      <c r="AN34" s="20"/>
      <c r="AO34" s="20"/>
      <c r="AP34" s="20"/>
      <c r="AQ34" s="20"/>
      <c r="AR34" s="20"/>
      <c r="AS34" s="20"/>
      <c r="AT34" s="20"/>
      <c r="AU34" s="20"/>
      <c r="AV34" s="20"/>
    </row>
    <row r="35" spans="1:48" ht="18" customHeight="1">
      <c r="A35" s="411"/>
      <c r="B35" s="41"/>
      <c r="C35" s="413"/>
      <c r="D35" s="400"/>
      <c r="E35" s="400"/>
      <c r="F35" s="400"/>
      <c r="G35" s="400"/>
      <c r="H35" s="400"/>
      <c r="I35" s="434"/>
      <c r="J35" s="434"/>
      <c r="K35" s="400"/>
      <c r="L35" s="400"/>
      <c r="M35" s="434"/>
      <c r="N35" s="436"/>
      <c r="O35" s="465"/>
      <c r="P35" s="436"/>
      <c r="Q35" s="400"/>
      <c r="R35" s="400"/>
      <c r="S35" s="400"/>
      <c r="T35" s="463"/>
      <c r="U35" s="465"/>
      <c r="V35" s="465"/>
      <c r="W35" s="463"/>
      <c r="X35" s="463"/>
      <c r="Y35" s="400"/>
      <c r="Z35" s="400"/>
      <c r="AA35" s="400"/>
      <c r="AB35" s="400"/>
      <c r="AC35" s="400"/>
      <c r="AD35" s="463"/>
      <c r="AE35" s="463"/>
      <c r="AF35" s="400"/>
      <c r="AG35" s="403"/>
      <c r="AH35" s="211">
        <v>4</v>
      </c>
      <c r="AI35" s="20"/>
      <c r="AJ35" s="20"/>
      <c r="AK35" s="20"/>
      <c r="AL35" s="20"/>
      <c r="AM35" s="20"/>
      <c r="AN35" s="20"/>
      <c r="AO35" s="20"/>
      <c r="AP35" s="20"/>
      <c r="AQ35" s="20"/>
      <c r="AR35" s="20"/>
      <c r="AS35" s="20"/>
      <c r="AT35" s="20"/>
      <c r="AU35" s="20"/>
      <c r="AV35" s="20"/>
    </row>
    <row r="36" spans="1:48" ht="18" customHeight="1">
      <c r="A36" s="411"/>
      <c r="B36" s="41" t="s">
        <v>59</v>
      </c>
      <c r="C36" s="413"/>
      <c r="D36" s="400"/>
      <c r="E36" s="400"/>
      <c r="F36" s="400"/>
      <c r="G36" s="400"/>
      <c r="H36" s="400"/>
      <c r="I36" s="434"/>
      <c r="J36" s="434"/>
      <c r="K36" s="400"/>
      <c r="L36" s="400"/>
      <c r="M36" s="434"/>
      <c r="N36" s="436"/>
      <c r="O36" s="465"/>
      <c r="P36" s="436"/>
      <c r="Q36" s="400"/>
      <c r="R36" s="400"/>
      <c r="S36" s="400"/>
      <c r="T36" s="463"/>
      <c r="U36" s="465"/>
      <c r="V36" s="465"/>
      <c r="W36" s="463"/>
      <c r="X36" s="463"/>
      <c r="Y36" s="400"/>
      <c r="Z36" s="400"/>
      <c r="AA36" s="400"/>
      <c r="AB36" s="400"/>
      <c r="AC36" s="400"/>
      <c r="AD36" s="463"/>
      <c r="AE36" s="463"/>
      <c r="AF36" s="400"/>
      <c r="AG36" s="403"/>
      <c r="AH36" s="211">
        <v>5</v>
      </c>
      <c r="AI36" s="20"/>
      <c r="AJ36" s="20"/>
      <c r="AK36" s="20"/>
      <c r="AL36" s="20"/>
      <c r="AM36" s="20"/>
      <c r="AN36" s="20"/>
      <c r="AO36" s="20"/>
      <c r="AP36" s="20"/>
      <c r="AQ36" s="20"/>
      <c r="AR36" s="20"/>
      <c r="AS36" s="20"/>
      <c r="AT36" s="20"/>
      <c r="AU36" s="20"/>
      <c r="AV36" s="20"/>
    </row>
    <row r="37" spans="1:48" ht="18" customHeight="1">
      <c r="A37" s="411"/>
      <c r="B37" s="41"/>
      <c r="C37" s="413"/>
      <c r="D37" s="400"/>
      <c r="E37" s="400"/>
      <c r="F37" s="400"/>
      <c r="G37" s="400"/>
      <c r="H37" s="400"/>
      <c r="I37" s="434"/>
      <c r="J37" s="434"/>
      <c r="K37" s="400"/>
      <c r="L37" s="400"/>
      <c r="M37" s="434"/>
      <c r="N37" s="436"/>
      <c r="O37" s="465"/>
      <c r="P37" s="436"/>
      <c r="Q37" s="400"/>
      <c r="R37" s="400"/>
      <c r="S37" s="400"/>
      <c r="T37" s="463"/>
      <c r="U37" s="465"/>
      <c r="V37" s="465"/>
      <c r="W37" s="463"/>
      <c r="X37" s="463"/>
      <c r="Y37" s="400"/>
      <c r="Z37" s="400"/>
      <c r="AA37" s="400"/>
      <c r="AB37" s="400"/>
      <c r="AC37" s="400"/>
      <c r="AD37" s="463"/>
      <c r="AE37" s="463"/>
      <c r="AF37" s="400"/>
      <c r="AG37" s="403"/>
      <c r="AH37" s="212">
        <v>6</v>
      </c>
      <c r="AI37" s="20"/>
      <c r="AJ37" s="20"/>
      <c r="AK37" s="20"/>
      <c r="AL37" s="20"/>
      <c r="AM37" s="20"/>
      <c r="AN37" s="20"/>
      <c r="AO37" s="20"/>
      <c r="AP37" s="20"/>
      <c r="AQ37" s="20"/>
      <c r="AR37" s="20"/>
      <c r="AS37" s="20"/>
      <c r="AT37" s="20"/>
      <c r="AU37" s="20"/>
      <c r="AV37" s="20"/>
    </row>
    <row r="38" spans="1:48" ht="18" hidden="1" customHeight="1">
      <c r="A38" s="411"/>
      <c r="B38" s="41"/>
      <c r="C38" s="413"/>
      <c r="D38" s="400"/>
      <c r="E38" s="400"/>
      <c r="F38" s="400"/>
      <c r="G38" s="400"/>
      <c r="H38" s="400"/>
      <c r="I38" s="434"/>
      <c r="J38" s="434"/>
      <c r="K38" s="400"/>
      <c r="L38" s="400"/>
      <c r="M38" s="434"/>
      <c r="N38" s="436"/>
      <c r="O38" s="465"/>
      <c r="P38" s="436"/>
      <c r="Q38" s="400"/>
      <c r="R38" s="400"/>
      <c r="S38" s="400"/>
      <c r="T38" s="463"/>
      <c r="U38" s="465"/>
      <c r="V38" s="465"/>
      <c r="W38" s="463"/>
      <c r="X38" s="463"/>
      <c r="Y38" s="400"/>
      <c r="Z38" s="400"/>
      <c r="AA38" s="400"/>
      <c r="AB38" s="400"/>
      <c r="AC38" s="400"/>
      <c r="AD38" s="463"/>
      <c r="AE38" s="463"/>
      <c r="AF38" s="400"/>
      <c r="AG38" s="403"/>
      <c r="AH38" s="213">
        <v>7</v>
      </c>
      <c r="AI38" s="20"/>
      <c r="AJ38" s="20"/>
      <c r="AK38" s="20"/>
      <c r="AL38" s="20"/>
      <c r="AM38" s="20"/>
      <c r="AN38" s="20"/>
      <c r="AO38" s="20"/>
      <c r="AP38" s="20"/>
      <c r="AQ38" s="20"/>
      <c r="AR38" s="20"/>
      <c r="AS38" s="20"/>
      <c r="AT38" s="20"/>
      <c r="AU38" s="20"/>
      <c r="AV38" s="20"/>
    </row>
    <row r="39" spans="1:48" ht="18" customHeight="1">
      <c r="A39" s="411"/>
      <c r="B39" s="41" t="s">
        <v>60</v>
      </c>
      <c r="C39" s="413"/>
      <c r="D39" s="400"/>
      <c r="E39" s="400"/>
      <c r="F39" s="400"/>
      <c r="G39" s="400"/>
      <c r="H39" s="400"/>
      <c r="I39" s="434"/>
      <c r="J39" s="434"/>
      <c r="K39" s="400"/>
      <c r="L39" s="400"/>
      <c r="M39" s="434"/>
      <c r="N39" s="436"/>
      <c r="O39" s="465"/>
      <c r="P39" s="436"/>
      <c r="Q39" s="400"/>
      <c r="R39" s="400"/>
      <c r="S39" s="400"/>
      <c r="T39" s="463"/>
      <c r="U39" s="465"/>
      <c r="V39" s="465"/>
      <c r="W39" s="463"/>
      <c r="X39" s="463"/>
      <c r="Y39" s="400"/>
      <c r="Z39" s="400"/>
      <c r="AA39" s="400"/>
      <c r="AB39" s="400"/>
      <c r="AC39" s="400"/>
      <c r="AD39" s="463"/>
      <c r="AE39" s="463"/>
      <c r="AF39" s="400"/>
      <c r="AG39" s="403"/>
      <c r="AH39" s="212">
        <v>8</v>
      </c>
      <c r="AI39" s="20"/>
      <c r="AJ39" s="20"/>
      <c r="AK39" s="20"/>
      <c r="AL39" s="20"/>
      <c r="AM39" s="20"/>
      <c r="AN39" s="20"/>
      <c r="AO39" s="20"/>
      <c r="AP39" s="20"/>
      <c r="AQ39" s="20"/>
      <c r="AR39" s="20"/>
      <c r="AS39" s="20"/>
      <c r="AT39" s="20"/>
      <c r="AU39" s="20"/>
      <c r="AV39" s="20"/>
    </row>
    <row r="40" spans="1:48" ht="18" customHeight="1">
      <c r="A40" s="411"/>
      <c r="B40" s="41"/>
      <c r="C40" s="413"/>
      <c r="D40" s="400"/>
      <c r="E40" s="400"/>
      <c r="F40" s="400"/>
      <c r="G40" s="400"/>
      <c r="H40" s="400"/>
      <c r="I40" s="434"/>
      <c r="J40" s="434"/>
      <c r="K40" s="400"/>
      <c r="L40" s="400"/>
      <c r="M40" s="434"/>
      <c r="N40" s="436"/>
      <c r="O40" s="465"/>
      <c r="P40" s="436"/>
      <c r="Q40" s="400"/>
      <c r="R40" s="400"/>
      <c r="S40" s="400"/>
      <c r="T40" s="463"/>
      <c r="U40" s="465"/>
      <c r="V40" s="465"/>
      <c r="W40" s="463"/>
      <c r="X40" s="463"/>
      <c r="Y40" s="400"/>
      <c r="Z40" s="400"/>
      <c r="AA40" s="400"/>
      <c r="AB40" s="400"/>
      <c r="AC40" s="400"/>
      <c r="AD40" s="463"/>
      <c r="AE40" s="463"/>
      <c r="AF40" s="400"/>
      <c r="AG40" s="403"/>
      <c r="AH40" s="211">
        <v>9</v>
      </c>
      <c r="AI40" s="20"/>
      <c r="AJ40" s="20"/>
      <c r="AK40" s="20"/>
      <c r="AL40" s="20"/>
      <c r="AM40" s="20"/>
      <c r="AN40" s="20"/>
      <c r="AO40" s="20"/>
      <c r="AP40" s="20"/>
      <c r="AQ40" s="20"/>
      <c r="AR40" s="20"/>
      <c r="AS40" s="20"/>
      <c r="AT40" s="20"/>
      <c r="AU40" s="20"/>
      <c r="AV40" s="20"/>
    </row>
    <row r="41" spans="1:48" ht="18" customHeight="1">
      <c r="A41" s="411"/>
      <c r="B41" s="41" t="s">
        <v>61</v>
      </c>
      <c r="C41" s="413"/>
      <c r="D41" s="400"/>
      <c r="E41" s="400"/>
      <c r="F41" s="400"/>
      <c r="G41" s="400"/>
      <c r="H41" s="400"/>
      <c r="I41" s="434"/>
      <c r="J41" s="434"/>
      <c r="K41" s="400"/>
      <c r="L41" s="400"/>
      <c r="M41" s="434"/>
      <c r="N41" s="436"/>
      <c r="O41" s="465"/>
      <c r="P41" s="436"/>
      <c r="Q41" s="400"/>
      <c r="R41" s="400"/>
      <c r="S41" s="400"/>
      <c r="T41" s="463"/>
      <c r="U41" s="465"/>
      <c r="V41" s="465"/>
      <c r="W41" s="463"/>
      <c r="X41" s="463"/>
      <c r="Y41" s="400"/>
      <c r="Z41" s="400"/>
      <c r="AA41" s="400"/>
      <c r="AB41" s="400"/>
      <c r="AC41" s="400"/>
      <c r="AD41" s="463"/>
      <c r="AE41" s="463"/>
      <c r="AF41" s="400"/>
      <c r="AG41" s="403"/>
      <c r="AH41" s="211">
        <v>10</v>
      </c>
      <c r="AI41" s="20"/>
      <c r="AJ41" s="20"/>
      <c r="AK41" s="20"/>
      <c r="AL41" s="20"/>
      <c r="AM41" s="20"/>
      <c r="AN41" s="20"/>
      <c r="AO41" s="20"/>
      <c r="AP41" s="20"/>
      <c r="AQ41" s="20"/>
      <c r="AR41" s="20"/>
      <c r="AS41" s="20"/>
      <c r="AT41" s="20"/>
      <c r="AU41" s="20"/>
      <c r="AV41" s="20"/>
    </row>
    <row r="42" spans="1:48" ht="18" customHeight="1">
      <c r="A42" s="411"/>
      <c r="B42" s="41"/>
      <c r="C42" s="413"/>
      <c r="D42" s="400"/>
      <c r="E42" s="400"/>
      <c r="F42" s="400"/>
      <c r="G42" s="400"/>
      <c r="H42" s="400"/>
      <c r="I42" s="434"/>
      <c r="J42" s="434"/>
      <c r="K42" s="400"/>
      <c r="L42" s="400"/>
      <c r="M42" s="434"/>
      <c r="N42" s="436"/>
      <c r="O42" s="465"/>
      <c r="P42" s="436"/>
      <c r="Q42" s="400"/>
      <c r="R42" s="400"/>
      <c r="S42" s="400"/>
      <c r="T42" s="463"/>
      <c r="U42" s="465"/>
      <c r="V42" s="465"/>
      <c r="W42" s="463"/>
      <c r="X42" s="463"/>
      <c r="Y42" s="400"/>
      <c r="Z42" s="400"/>
      <c r="AA42" s="400"/>
      <c r="AB42" s="400"/>
      <c r="AC42" s="400"/>
      <c r="AD42" s="463"/>
      <c r="AE42" s="463"/>
      <c r="AF42" s="400"/>
      <c r="AG42" s="403"/>
      <c r="AH42" s="211">
        <v>11</v>
      </c>
      <c r="AI42" s="20"/>
      <c r="AJ42" s="20"/>
      <c r="AK42" s="20"/>
      <c r="AL42" s="20"/>
      <c r="AM42" s="20"/>
      <c r="AN42" s="20"/>
      <c r="AO42" s="20"/>
      <c r="AP42" s="20"/>
      <c r="AQ42" s="20"/>
      <c r="AR42" s="20"/>
      <c r="AS42" s="20"/>
      <c r="AT42" s="20"/>
      <c r="AU42" s="20"/>
      <c r="AV42" s="20"/>
    </row>
    <row r="43" spans="1:48" ht="18" customHeight="1">
      <c r="A43" s="411"/>
      <c r="B43" s="41"/>
      <c r="C43" s="414"/>
      <c r="D43" s="401"/>
      <c r="E43" s="401"/>
      <c r="F43" s="401"/>
      <c r="G43" s="401"/>
      <c r="H43" s="401"/>
      <c r="I43" s="435"/>
      <c r="J43" s="435"/>
      <c r="K43" s="401"/>
      <c r="L43" s="401"/>
      <c r="M43" s="435"/>
      <c r="N43" s="437"/>
      <c r="O43" s="466"/>
      <c r="P43" s="437"/>
      <c r="Q43" s="401"/>
      <c r="R43" s="401"/>
      <c r="S43" s="401"/>
      <c r="T43" s="464"/>
      <c r="U43" s="466"/>
      <c r="V43" s="466"/>
      <c r="W43" s="464"/>
      <c r="X43" s="464"/>
      <c r="Y43" s="401"/>
      <c r="Z43" s="401"/>
      <c r="AA43" s="401"/>
      <c r="AB43" s="401"/>
      <c r="AC43" s="401"/>
      <c r="AD43" s="464"/>
      <c r="AE43" s="464"/>
      <c r="AF43" s="401"/>
      <c r="AG43" s="404"/>
      <c r="AH43" s="211">
        <v>12</v>
      </c>
      <c r="AI43" s="20"/>
      <c r="AJ43" s="20"/>
      <c r="AK43" s="20"/>
      <c r="AL43" s="20"/>
      <c r="AM43" s="20"/>
      <c r="AN43" s="20"/>
      <c r="AO43" s="20"/>
      <c r="AP43" s="20"/>
      <c r="AQ43" s="20"/>
      <c r="AR43" s="20"/>
      <c r="AS43" s="20"/>
      <c r="AT43" s="20"/>
      <c r="AU43" s="20"/>
      <c r="AV43" s="20"/>
    </row>
    <row r="44" spans="1:48" ht="20.100000000000001" hidden="1" customHeight="1">
      <c r="A44" s="35"/>
      <c r="B44" s="42" t="s">
        <v>62</v>
      </c>
      <c r="C44" s="43"/>
      <c r="D44" s="44"/>
      <c r="E44" s="44"/>
      <c r="F44" s="44"/>
      <c r="G44" s="44"/>
      <c r="H44" s="44"/>
      <c r="I44" s="44"/>
      <c r="J44" s="44"/>
      <c r="K44" s="44"/>
      <c r="L44" s="44"/>
      <c r="M44" s="44"/>
      <c r="N44" s="44"/>
      <c r="O44" s="45"/>
      <c r="P44" s="45"/>
      <c r="Q44" s="45"/>
      <c r="R44" s="45"/>
      <c r="S44" s="45"/>
      <c r="T44" s="45"/>
      <c r="U44" s="45"/>
      <c r="V44" s="45"/>
      <c r="W44" s="45"/>
      <c r="X44" s="45"/>
      <c r="Y44" s="45"/>
      <c r="Z44" s="45"/>
      <c r="AA44" s="45"/>
      <c r="AB44" s="45"/>
      <c r="AC44" s="45"/>
      <c r="AD44" s="45"/>
      <c r="AE44" s="45"/>
      <c r="AF44" s="45"/>
      <c r="AG44" s="46"/>
      <c r="AH44" s="47"/>
      <c r="AI44" s="130">
        <f>COUNTIF(C44:AG44,"○")</f>
        <v>0</v>
      </c>
      <c r="AJ44" s="131" t="s">
        <v>62</v>
      </c>
      <c r="AK44" s="20"/>
      <c r="AL44" s="20"/>
      <c r="AM44" s="20"/>
      <c r="AN44" s="20"/>
      <c r="AO44" s="20"/>
      <c r="AP44" s="20"/>
      <c r="AQ44" s="20"/>
      <c r="AR44" s="20"/>
      <c r="AS44" s="20"/>
      <c r="AT44" s="20"/>
      <c r="AU44" s="20"/>
      <c r="AV44" s="20"/>
    </row>
    <row r="45" spans="1:48" ht="18" customHeight="1">
      <c r="A45" s="35"/>
      <c r="B45" s="48" t="s">
        <v>63</v>
      </c>
      <c r="C45" s="43"/>
      <c r="D45" s="44"/>
      <c r="E45" s="44"/>
      <c r="F45" s="44"/>
      <c r="G45" s="44"/>
      <c r="H45" s="49"/>
      <c r="I45" s="49"/>
      <c r="J45" s="44"/>
      <c r="K45" s="44" t="s">
        <v>64</v>
      </c>
      <c r="L45" s="44"/>
      <c r="M45" s="44"/>
      <c r="N45" s="44"/>
      <c r="O45" s="49"/>
      <c r="P45" s="49"/>
      <c r="Q45" s="44"/>
      <c r="R45" s="44"/>
      <c r="S45" s="44"/>
      <c r="T45" s="49"/>
      <c r="U45" s="49"/>
      <c r="V45" s="49"/>
      <c r="W45" s="49"/>
      <c r="X45" s="44"/>
      <c r="Y45" s="44"/>
      <c r="Z45" s="44"/>
      <c r="AA45" s="44"/>
      <c r="AB45" s="49"/>
      <c r="AC45" s="49"/>
      <c r="AD45" s="44"/>
      <c r="AE45" s="44"/>
      <c r="AF45" s="44"/>
      <c r="AG45" s="50"/>
      <c r="AH45" s="132" t="str">
        <f>IF(AI45="","","←")</f>
        <v/>
      </c>
      <c r="AI45" s="405" t="str">
        <f>IF(C31="","",IF(COUNTA(C45:AG45)&gt;=1,"","成績考査もれ"))</f>
        <v/>
      </c>
      <c r="AJ45" s="405"/>
      <c r="AK45" s="26"/>
      <c r="AL45" s="26"/>
      <c r="AM45" s="26"/>
      <c r="AN45" s="26"/>
      <c r="AO45" s="26"/>
      <c r="AP45" s="20"/>
      <c r="AQ45" s="20"/>
      <c r="AR45" s="20"/>
      <c r="AS45" s="20"/>
      <c r="AT45" s="20"/>
      <c r="AU45" s="20"/>
      <c r="AV45" s="20"/>
    </row>
    <row r="46" spans="1:48" ht="18" customHeight="1">
      <c r="A46" s="35"/>
      <c r="B46" s="51" t="s">
        <v>65</v>
      </c>
      <c r="C46" s="52"/>
      <c r="D46" s="53"/>
      <c r="E46" s="53"/>
      <c r="F46" s="53"/>
      <c r="G46" s="53"/>
      <c r="H46" s="54"/>
      <c r="I46" s="54"/>
      <c r="J46" s="53"/>
      <c r="K46" s="53"/>
      <c r="L46" s="53"/>
      <c r="M46" s="53"/>
      <c r="N46" s="53"/>
      <c r="O46" s="54"/>
      <c r="P46" s="54"/>
      <c r="Q46" s="53"/>
      <c r="R46" s="53"/>
      <c r="S46" s="53"/>
      <c r="T46" s="54"/>
      <c r="U46" s="54"/>
      <c r="V46" s="54"/>
      <c r="W46" s="54"/>
      <c r="X46" s="53"/>
      <c r="Y46" s="53"/>
      <c r="Z46" s="53"/>
      <c r="AA46" s="53"/>
      <c r="AB46" s="54"/>
      <c r="AC46" s="54"/>
      <c r="AD46" s="53"/>
      <c r="AE46" s="53"/>
      <c r="AF46" s="53"/>
      <c r="AG46" s="55"/>
      <c r="AH46" s="132" t="str">
        <f>IF(AI46="","","←")</f>
        <v/>
      </c>
      <c r="AI46" s="418" t="str">
        <f>[9]機構処理!BI77</f>
        <v/>
      </c>
      <c r="AJ46" s="418"/>
      <c r="AK46" s="70"/>
      <c r="AL46" s="70"/>
      <c r="AM46" s="70"/>
      <c r="AN46" s="70"/>
      <c r="AO46" s="70"/>
      <c r="AP46" s="20"/>
      <c r="AQ46" s="20"/>
      <c r="AR46" s="20"/>
      <c r="AS46" s="20"/>
      <c r="AT46" s="20"/>
      <c r="AU46" s="20"/>
      <c r="AV46" s="20"/>
    </row>
    <row r="47" spans="1:48" ht="18" customHeight="1">
      <c r="A47" s="35"/>
      <c r="B47" s="407" t="s">
        <v>66</v>
      </c>
      <c r="C47" s="56"/>
      <c r="D47" s="57">
        <v>6</v>
      </c>
      <c r="E47" s="57"/>
      <c r="F47" s="57">
        <v>6</v>
      </c>
      <c r="G47" s="57">
        <v>6</v>
      </c>
      <c r="H47" s="57">
        <v>6</v>
      </c>
      <c r="I47" s="57"/>
      <c r="J47" s="57"/>
      <c r="K47" s="57">
        <v>6</v>
      </c>
      <c r="L47" s="57"/>
      <c r="M47" s="57"/>
      <c r="N47" s="57">
        <v>6</v>
      </c>
      <c r="O47" s="57">
        <v>6</v>
      </c>
      <c r="P47" s="57"/>
      <c r="Q47" s="57"/>
      <c r="R47" s="57"/>
      <c r="S47" s="57"/>
      <c r="T47" s="57"/>
      <c r="U47" s="57">
        <v>6</v>
      </c>
      <c r="V47" s="57">
        <v>6</v>
      </c>
      <c r="W47" s="57"/>
      <c r="X47" s="57"/>
      <c r="Y47" s="57">
        <v>6</v>
      </c>
      <c r="Z47" s="57"/>
      <c r="AA47" s="57">
        <v>6</v>
      </c>
      <c r="AB47" s="57">
        <v>6</v>
      </c>
      <c r="AC47" s="57">
        <v>6</v>
      </c>
      <c r="AD47" s="57"/>
      <c r="AE47" s="57"/>
      <c r="AF47" s="57">
        <v>6</v>
      </c>
      <c r="AG47" s="58"/>
      <c r="AH47" s="212">
        <v>1</v>
      </c>
      <c r="AI47" s="26"/>
      <c r="AJ47" s="26"/>
      <c r="AK47" s="26"/>
      <c r="AL47" s="26"/>
      <c r="AM47" s="20"/>
      <c r="AN47" s="20"/>
      <c r="AO47" s="20"/>
      <c r="AP47" s="20"/>
      <c r="AQ47" s="20"/>
      <c r="AR47" s="20"/>
      <c r="AS47" s="20"/>
      <c r="AT47" s="20"/>
      <c r="AU47" s="20"/>
      <c r="AV47" s="20"/>
    </row>
    <row r="48" spans="1:48" ht="18" hidden="1" customHeight="1">
      <c r="A48" s="35"/>
      <c r="B48" s="408"/>
      <c r="C48" s="60"/>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2"/>
      <c r="AH48" s="213">
        <v>2</v>
      </c>
      <c r="AI48" s="26"/>
      <c r="AJ48" s="26"/>
      <c r="AK48" s="26"/>
      <c r="AL48" s="26"/>
      <c r="AM48" s="20"/>
      <c r="AN48" s="20"/>
      <c r="AO48" s="20"/>
      <c r="AP48" s="20"/>
      <c r="AQ48" s="20"/>
      <c r="AR48" s="20"/>
      <c r="AS48" s="20"/>
      <c r="AT48" s="20"/>
      <c r="AU48" s="20"/>
      <c r="AV48" s="20"/>
    </row>
    <row r="49" spans="1:48" ht="18" customHeight="1">
      <c r="A49" s="63"/>
      <c r="B49" s="409"/>
      <c r="C49" s="253"/>
      <c r="D49" s="254"/>
      <c r="E49" s="254"/>
      <c r="F49" s="254"/>
      <c r="G49" s="254"/>
      <c r="H49" s="254"/>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5"/>
      <c r="AH49" s="212">
        <v>3</v>
      </c>
      <c r="AI49" s="410" t="str">
        <f>IF(C29="","","土日祝の訓練日数⇒")</f>
        <v>土日祝の訓練日数⇒</v>
      </c>
      <c r="AJ49" s="410"/>
      <c r="AK49" s="69">
        <f>IF(C29="","",[9]機構処理!BF35)</f>
        <v>0</v>
      </c>
      <c r="AL49" s="69" t="str">
        <f>IF(C29="","","日")</f>
        <v>日</v>
      </c>
      <c r="AM49" s="64"/>
      <c r="AN49" s="20"/>
      <c r="AO49" s="20"/>
      <c r="AP49" s="20"/>
      <c r="AQ49" s="20"/>
      <c r="AR49" s="20"/>
      <c r="AS49" s="20"/>
      <c r="AT49" s="20"/>
      <c r="AU49" s="20"/>
      <c r="AV49" s="20"/>
    </row>
    <row r="50" spans="1:48" ht="14.4">
      <c r="A50" s="15"/>
      <c r="B50" s="15"/>
      <c r="C50" s="28" t="str">
        <f t="shared" ref="C50:AG50" si="9">IF(C53="","",IF(C53=訓練終了日,"修了日",""))</f>
        <v/>
      </c>
      <c r="D50" s="28" t="str">
        <f t="shared" si="9"/>
        <v/>
      </c>
      <c r="E50" s="28" t="str">
        <f t="shared" si="9"/>
        <v/>
      </c>
      <c r="F50" s="28" t="str">
        <f t="shared" si="9"/>
        <v/>
      </c>
      <c r="G50" s="28" t="str">
        <f t="shared" si="9"/>
        <v/>
      </c>
      <c r="H50" s="28" t="str">
        <f t="shared" si="9"/>
        <v/>
      </c>
      <c r="I50" s="28" t="str">
        <f t="shared" si="9"/>
        <v/>
      </c>
      <c r="J50" s="28" t="str">
        <f t="shared" si="9"/>
        <v/>
      </c>
      <c r="K50" s="28" t="str">
        <f t="shared" si="9"/>
        <v/>
      </c>
      <c r="L50" s="28" t="str">
        <f t="shared" si="9"/>
        <v/>
      </c>
      <c r="M50" s="28" t="str">
        <f t="shared" si="9"/>
        <v/>
      </c>
      <c r="N50" s="28" t="str">
        <f t="shared" si="9"/>
        <v/>
      </c>
      <c r="O50" s="28" t="str">
        <f t="shared" si="9"/>
        <v/>
      </c>
      <c r="P50" s="28" t="str">
        <f t="shared" si="9"/>
        <v/>
      </c>
      <c r="Q50" s="28" t="str">
        <f t="shared" si="9"/>
        <v/>
      </c>
      <c r="R50" s="28" t="str">
        <f t="shared" si="9"/>
        <v/>
      </c>
      <c r="S50" s="28" t="str">
        <f t="shared" si="9"/>
        <v/>
      </c>
      <c r="T50" s="28" t="str">
        <f t="shared" si="9"/>
        <v/>
      </c>
      <c r="U50" s="28" t="str">
        <f t="shared" si="9"/>
        <v/>
      </c>
      <c r="V50" s="28" t="str">
        <f t="shared" si="9"/>
        <v/>
      </c>
      <c r="W50" s="28" t="str">
        <f t="shared" si="9"/>
        <v/>
      </c>
      <c r="X50" s="28" t="str">
        <f t="shared" si="9"/>
        <v/>
      </c>
      <c r="Y50" s="28" t="str">
        <f t="shared" si="9"/>
        <v/>
      </c>
      <c r="Z50" s="28" t="str">
        <f t="shared" si="9"/>
        <v/>
      </c>
      <c r="AA50" s="28" t="str">
        <f t="shared" si="9"/>
        <v/>
      </c>
      <c r="AB50" s="28" t="str">
        <f t="shared" si="9"/>
        <v/>
      </c>
      <c r="AC50" s="28" t="str">
        <f t="shared" si="9"/>
        <v/>
      </c>
      <c r="AD50" s="28" t="str">
        <f t="shared" si="9"/>
        <v/>
      </c>
      <c r="AE50" s="28" t="str">
        <f t="shared" si="9"/>
        <v/>
      </c>
      <c r="AF50" s="28" t="str">
        <f t="shared" si="9"/>
        <v/>
      </c>
      <c r="AG50" s="28" t="str">
        <f t="shared" si="9"/>
        <v/>
      </c>
      <c r="AH50" s="19"/>
      <c r="AI50" s="20"/>
      <c r="AJ50" s="20"/>
      <c r="AK50" s="20"/>
      <c r="AL50" s="20"/>
      <c r="AM50" s="20"/>
      <c r="AN50" s="20"/>
      <c r="AO50" s="20"/>
      <c r="AP50" s="20"/>
      <c r="AQ50" s="20"/>
      <c r="AR50" s="20"/>
      <c r="AS50" s="20"/>
      <c r="AT50" s="20"/>
      <c r="AU50" s="20"/>
      <c r="AV50" s="20"/>
    </row>
    <row r="51" spans="1:48" ht="18" customHeight="1">
      <c r="A51" s="30"/>
      <c r="B51" s="31" t="s">
        <v>51</v>
      </c>
      <c r="C51" s="32">
        <f>IF(OR(C29="",COUNTIF(C28:AG28,"修了日")=1),"",EDATE(C29,1))</f>
        <v>46161</v>
      </c>
      <c r="D51" s="33">
        <f t="shared" ref="D51:AD51" si="10">IF(OR(C51="",C50="修了日"),"",C51+1)</f>
        <v>46162</v>
      </c>
      <c r="E51" s="33">
        <f t="shared" si="10"/>
        <v>46163</v>
      </c>
      <c r="F51" s="33">
        <f t="shared" si="10"/>
        <v>46164</v>
      </c>
      <c r="G51" s="33">
        <f t="shared" si="10"/>
        <v>46165</v>
      </c>
      <c r="H51" s="33">
        <f t="shared" si="10"/>
        <v>46166</v>
      </c>
      <c r="I51" s="33">
        <f t="shared" si="10"/>
        <v>46167</v>
      </c>
      <c r="J51" s="33">
        <f t="shared" si="10"/>
        <v>46168</v>
      </c>
      <c r="K51" s="33">
        <f t="shared" si="10"/>
        <v>46169</v>
      </c>
      <c r="L51" s="33">
        <f t="shared" si="10"/>
        <v>46170</v>
      </c>
      <c r="M51" s="33">
        <f t="shared" si="10"/>
        <v>46171</v>
      </c>
      <c r="N51" s="33">
        <f t="shared" si="10"/>
        <v>46172</v>
      </c>
      <c r="O51" s="33">
        <f t="shared" si="10"/>
        <v>46173</v>
      </c>
      <c r="P51" s="33">
        <f t="shared" si="10"/>
        <v>46174</v>
      </c>
      <c r="Q51" s="33">
        <f t="shared" si="10"/>
        <v>46175</v>
      </c>
      <c r="R51" s="33">
        <f t="shared" si="10"/>
        <v>46176</v>
      </c>
      <c r="S51" s="33">
        <f t="shared" si="10"/>
        <v>46177</v>
      </c>
      <c r="T51" s="33">
        <f t="shared" si="10"/>
        <v>46178</v>
      </c>
      <c r="U51" s="33">
        <f t="shared" si="10"/>
        <v>46179</v>
      </c>
      <c r="V51" s="33">
        <f t="shared" si="10"/>
        <v>46180</v>
      </c>
      <c r="W51" s="33">
        <f t="shared" si="10"/>
        <v>46181</v>
      </c>
      <c r="X51" s="33">
        <f t="shared" si="10"/>
        <v>46182</v>
      </c>
      <c r="Y51" s="33">
        <f t="shared" si="10"/>
        <v>46183</v>
      </c>
      <c r="Z51" s="33">
        <f t="shared" si="10"/>
        <v>46184</v>
      </c>
      <c r="AA51" s="33">
        <f t="shared" si="10"/>
        <v>46185</v>
      </c>
      <c r="AB51" s="33">
        <f t="shared" si="10"/>
        <v>46186</v>
      </c>
      <c r="AC51" s="33">
        <f t="shared" si="10"/>
        <v>46187</v>
      </c>
      <c r="AD51" s="33">
        <f t="shared" si="10"/>
        <v>46188</v>
      </c>
      <c r="AE51" s="33">
        <f>IF(OR(AD51="",AD50="修了日"),"",IF(AND(DAY(DATE(YEAR(C51),2,29))=29,MONTH(C51)=2),AD51+1,IF(MONTH(C51)=2,"",AD51+1)))</f>
        <v>46189</v>
      </c>
      <c r="AF51" s="33">
        <f>IF(OR(AE51="",AE50="修了日"),"",IF(MONTH(C51)=2,"",AE51+1))</f>
        <v>46190</v>
      </c>
      <c r="AG51" s="65">
        <f>IF(OR(AF51="",AF50="修了日"),"",IF(OR(MONTH(C51)=2,MONTH(C51)=4,MONTH(C51)=6,MONTH(C51)=9,MONTH(C51)=11),"",AF51+1))</f>
        <v>46191</v>
      </c>
      <c r="AH51" s="19"/>
      <c r="AI51" s="20"/>
      <c r="AJ51" s="20"/>
      <c r="AK51" s="20"/>
      <c r="AL51" s="20"/>
      <c r="AM51" s="20"/>
      <c r="AN51" s="20"/>
      <c r="AO51" s="20"/>
      <c r="AP51" s="20"/>
      <c r="AQ51" s="20"/>
      <c r="AR51" s="20"/>
      <c r="AS51" s="20"/>
      <c r="AT51" s="20"/>
      <c r="AU51" s="20"/>
      <c r="AV51" s="20"/>
    </row>
    <row r="52" spans="1:48" ht="18" customHeight="1">
      <c r="A52" s="35"/>
      <c r="B52" s="31" t="s">
        <v>52</v>
      </c>
      <c r="C52" s="67">
        <f>+C51</f>
        <v>46161</v>
      </c>
      <c r="D52" s="67">
        <f t="shared" ref="D52:AG53" si="11">IF(D51="","",+D51)</f>
        <v>46162</v>
      </c>
      <c r="E52" s="67">
        <f t="shared" si="11"/>
        <v>46163</v>
      </c>
      <c r="F52" s="67">
        <f t="shared" si="11"/>
        <v>46164</v>
      </c>
      <c r="G52" s="67">
        <f t="shared" si="11"/>
        <v>46165</v>
      </c>
      <c r="H52" s="67">
        <f t="shared" si="11"/>
        <v>46166</v>
      </c>
      <c r="I52" s="67">
        <f t="shared" si="11"/>
        <v>46167</v>
      </c>
      <c r="J52" s="67">
        <f t="shared" si="11"/>
        <v>46168</v>
      </c>
      <c r="K52" s="67">
        <f t="shared" si="11"/>
        <v>46169</v>
      </c>
      <c r="L52" s="67">
        <f t="shared" si="11"/>
        <v>46170</v>
      </c>
      <c r="M52" s="67">
        <f t="shared" si="11"/>
        <v>46171</v>
      </c>
      <c r="N52" s="67">
        <f t="shared" si="11"/>
        <v>46172</v>
      </c>
      <c r="O52" s="67">
        <f t="shared" si="11"/>
        <v>46173</v>
      </c>
      <c r="P52" s="67">
        <f t="shared" si="11"/>
        <v>46174</v>
      </c>
      <c r="Q52" s="67">
        <f t="shared" si="11"/>
        <v>46175</v>
      </c>
      <c r="R52" s="67">
        <f t="shared" si="11"/>
        <v>46176</v>
      </c>
      <c r="S52" s="67">
        <f t="shared" si="11"/>
        <v>46177</v>
      </c>
      <c r="T52" s="67">
        <f t="shared" si="11"/>
        <v>46178</v>
      </c>
      <c r="U52" s="67">
        <f t="shared" si="11"/>
        <v>46179</v>
      </c>
      <c r="V52" s="67">
        <f t="shared" si="11"/>
        <v>46180</v>
      </c>
      <c r="W52" s="67">
        <f t="shared" si="11"/>
        <v>46181</v>
      </c>
      <c r="X52" s="67">
        <f t="shared" si="11"/>
        <v>46182</v>
      </c>
      <c r="Y52" s="67">
        <f t="shared" si="11"/>
        <v>46183</v>
      </c>
      <c r="Z52" s="67">
        <f t="shared" si="11"/>
        <v>46184</v>
      </c>
      <c r="AA52" s="67">
        <f t="shared" si="11"/>
        <v>46185</v>
      </c>
      <c r="AB52" s="67">
        <f t="shared" si="11"/>
        <v>46186</v>
      </c>
      <c r="AC52" s="67">
        <f t="shared" si="11"/>
        <v>46187</v>
      </c>
      <c r="AD52" s="67">
        <f t="shared" si="11"/>
        <v>46188</v>
      </c>
      <c r="AE52" s="67">
        <f t="shared" si="11"/>
        <v>46189</v>
      </c>
      <c r="AF52" s="67">
        <f t="shared" si="11"/>
        <v>46190</v>
      </c>
      <c r="AG52" s="38">
        <f t="shared" si="11"/>
        <v>46191</v>
      </c>
      <c r="AH52" s="19"/>
      <c r="AI52" s="20"/>
      <c r="AJ52" s="20"/>
      <c r="AK52" s="20"/>
      <c r="AL52" s="20"/>
      <c r="AM52" s="20"/>
      <c r="AN52" s="20"/>
      <c r="AO52" s="20"/>
      <c r="AP52" s="20"/>
      <c r="AQ52" s="20"/>
      <c r="AR52" s="20"/>
      <c r="AS52" s="20"/>
      <c r="AT52" s="20"/>
      <c r="AU52" s="20"/>
      <c r="AV52" s="20"/>
    </row>
    <row r="53" spans="1:48" ht="18" customHeight="1">
      <c r="A53" s="35"/>
      <c r="B53" s="31" t="s">
        <v>53</v>
      </c>
      <c r="C53" s="39">
        <f>+C52</f>
        <v>46161</v>
      </c>
      <c r="D53" s="39">
        <f t="shared" si="11"/>
        <v>46162</v>
      </c>
      <c r="E53" s="39">
        <f t="shared" si="11"/>
        <v>46163</v>
      </c>
      <c r="F53" s="39">
        <f t="shared" si="11"/>
        <v>46164</v>
      </c>
      <c r="G53" s="39">
        <f t="shared" si="11"/>
        <v>46165</v>
      </c>
      <c r="H53" s="39">
        <f t="shared" si="11"/>
        <v>46166</v>
      </c>
      <c r="I53" s="39">
        <f t="shared" si="11"/>
        <v>46167</v>
      </c>
      <c r="J53" s="39">
        <f t="shared" si="11"/>
        <v>46168</v>
      </c>
      <c r="K53" s="39">
        <f t="shared" si="11"/>
        <v>46169</v>
      </c>
      <c r="L53" s="39">
        <f t="shared" si="11"/>
        <v>46170</v>
      </c>
      <c r="M53" s="39">
        <f t="shared" si="11"/>
        <v>46171</v>
      </c>
      <c r="N53" s="39">
        <f t="shared" si="11"/>
        <v>46172</v>
      </c>
      <c r="O53" s="39">
        <f t="shared" si="11"/>
        <v>46173</v>
      </c>
      <c r="P53" s="39">
        <f t="shared" si="11"/>
        <v>46174</v>
      </c>
      <c r="Q53" s="39">
        <f t="shared" si="11"/>
        <v>46175</v>
      </c>
      <c r="R53" s="39">
        <f t="shared" si="11"/>
        <v>46176</v>
      </c>
      <c r="S53" s="39">
        <f t="shared" si="11"/>
        <v>46177</v>
      </c>
      <c r="T53" s="39">
        <f t="shared" si="11"/>
        <v>46178</v>
      </c>
      <c r="U53" s="39">
        <f t="shared" si="11"/>
        <v>46179</v>
      </c>
      <c r="V53" s="39">
        <f t="shared" si="11"/>
        <v>46180</v>
      </c>
      <c r="W53" s="39">
        <f t="shared" si="11"/>
        <v>46181</v>
      </c>
      <c r="X53" s="39">
        <f t="shared" si="11"/>
        <v>46182</v>
      </c>
      <c r="Y53" s="39">
        <f t="shared" si="11"/>
        <v>46183</v>
      </c>
      <c r="Z53" s="39">
        <f t="shared" si="11"/>
        <v>46184</v>
      </c>
      <c r="AA53" s="39">
        <f t="shared" si="11"/>
        <v>46185</v>
      </c>
      <c r="AB53" s="39">
        <f t="shared" si="11"/>
        <v>46186</v>
      </c>
      <c r="AC53" s="39">
        <f t="shared" si="11"/>
        <v>46187</v>
      </c>
      <c r="AD53" s="39">
        <f t="shared" si="11"/>
        <v>46188</v>
      </c>
      <c r="AE53" s="39">
        <f t="shared" si="11"/>
        <v>46189</v>
      </c>
      <c r="AF53" s="39">
        <f t="shared" si="11"/>
        <v>46190</v>
      </c>
      <c r="AG53" s="40">
        <f t="shared" si="11"/>
        <v>46191</v>
      </c>
      <c r="AH53" s="19"/>
      <c r="AI53" s="20"/>
      <c r="AJ53" s="20"/>
      <c r="AK53" s="20"/>
      <c r="AL53" s="20"/>
      <c r="AM53" s="20"/>
      <c r="AN53" s="20"/>
      <c r="AO53" s="20"/>
      <c r="AP53" s="20"/>
      <c r="AQ53" s="20"/>
      <c r="AR53" s="20"/>
      <c r="AS53" s="20"/>
      <c r="AT53" s="20"/>
      <c r="AU53" s="20"/>
      <c r="AV53" s="20"/>
    </row>
    <row r="54" spans="1:48" ht="18" customHeight="1">
      <c r="A54" s="411" t="str">
        <f>IF(C51="","","３か月目")</f>
        <v>３か月目</v>
      </c>
      <c r="B54" s="41"/>
      <c r="C54" s="412" t="str">
        <f t="shared" ref="C54:AC54" si="12">IF(C$53="","",IF(C$53=$K$151,"ハローワーク来所日②",""))</f>
        <v/>
      </c>
      <c r="D54" s="399" t="s">
        <v>397</v>
      </c>
      <c r="E54" s="399" t="s">
        <v>397</v>
      </c>
      <c r="F54" s="399" t="s">
        <v>397</v>
      </c>
      <c r="G54" s="399" t="str">
        <f t="shared" si="12"/>
        <v/>
      </c>
      <c r="H54" s="399" t="str">
        <f t="shared" si="12"/>
        <v/>
      </c>
      <c r="I54" s="399" t="s">
        <v>397</v>
      </c>
      <c r="J54" s="399" t="str">
        <f t="shared" si="12"/>
        <v/>
      </c>
      <c r="K54" s="399" t="s">
        <v>397</v>
      </c>
      <c r="L54" s="399" t="str">
        <f t="shared" si="12"/>
        <v>ハローワーク来所日②</v>
      </c>
      <c r="M54" s="399" t="s">
        <v>398</v>
      </c>
      <c r="N54" s="399"/>
      <c r="O54" s="399" t="str">
        <f t="shared" si="12"/>
        <v/>
      </c>
      <c r="P54" s="399" t="s">
        <v>397</v>
      </c>
      <c r="Q54" s="399" t="str">
        <f t="shared" si="12"/>
        <v/>
      </c>
      <c r="R54" s="399" t="s">
        <v>399</v>
      </c>
      <c r="S54" s="399" t="s">
        <v>400</v>
      </c>
      <c r="T54" s="399" t="s">
        <v>401</v>
      </c>
      <c r="U54" s="399" t="s">
        <v>67</v>
      </c>
      <c r="V54" s="399" t="str">
        <f t="shared" si="12"/>
        <v/>
      </c>
      <c r="W54" s="399" t="s">
        <v>402</v>
      </c>
      <c r="X54" s="399" t="str">
        <f t="shared" si="12"/>
        <v/>
      </c>
      <c r="Y54" s="399" t="s">
        <v>402</v>
      </c>
      <c r="Z54" s="399" t="s">
        <v>402</v>
      </c>
      <c r="AA54" s="399" t="s">
        <v>402</v>
      </c>
      <c r="AB54" s="399" t="s">
        <v>67</v>
      </c>
      <c r="AC54" s="399" t="str">
        <f t="shared" si="12"/>
        <v/>
      </c>
      <c r="AD54" s="399" t="s">
        <v>402</v>
      </c>
      <c r="AE54" s="399" t="str">
        <f t="shared" ref="AE54" si="13">IF(AE$53="","",IF(AE$53=$K$151,"ハローワーク来所日②",""))</f>
        <v/>
      </c>
      <c r="AF54" s="399" t="s">
        <v>402</v>
      </c>
      <c r="AG54" s="402" t="s">
        <v>402</v>
      </c>
      <c r="AH54" s="211">
        <v>1</v>
      </c>
      <c r="AI54" s="20"/>
      <c r="AJ54" s="20"/>
      <c r="AK54" s="20"/>
      <c r="AL54" s="20"/>
      <c r="AM54" s="20"/>
      <c r="AN54" s="20"/>
      <c r="AO54" s="20"/>
      <c r="AP54" s="20"/>
      <c r="AQ54" s="20"/>
      <c r="AR54" s="20"/>
      <c r="AS54" s="20"/>
      <c r="AT54" s="20"/>
      <c r="AU54" s="20"/>
      <c r="AV54" s="20"/>
    </row>
    <row r="55" spans="1:48" ht="18" customHeight="1">
      <c r="A55" s="411"/>
      <c r="B55" s="41"/>
      <c r="C55" s="413"/>
      <c r="D55" s="400"/>
      <c r="E55" s="400"/>
      <c r="F55" s="400"/>
      <c r="G55" s="400"/>
      <c r="H55" s="400"/>
      <c r="I55" s="400"/>
      <c r="J55" s="400"/>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3"/>
      <c r="AH55" s="211">
        <v>2</v>
      </c>
      <c r="AI55" s="20"/>
      <c r="AJ55" s="20"/>
      <c r="AK55" s="20"/>
      <c r="AL55" s="20"/>
      <c r="AM55" s="20"/>
      <c r="AN55" s="20"/>
      <c r="AO55" s="20"/>
      <c r="AP55" s="20"/>
      <c r="AQ55" s="20"/>
      <c r="AR55" s="20"/>
      <c r="AS55" s="20"/>
      <c r="AT55" s="20"/>
      <c r="AU55" s="20"/>
      <c r="AV55" s="20"/>
    </row>
    <row r="56" spans="1:48" ht="18" customHeight="1">
      <c r="A56" s="411"/>
      <c r="B56" s="41" t="s">
        <v>58</v>
      </c>
      <c r="C56" s="413"/>
      <c r="D56" s="400"/>
      <c r="E56" s="400"/>
      <c r="F56" s="400"/>
      <c r="G56" s="400"/>
      <c r="H56" s="400"/>
      <c r="I56" s="400"/>
      <c r="J56" s="400"/>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3"/>
      <c r="AH56" s="211">
        <v>3</v>
      </c>
      <c r="AI56" s="20"/>
      <c r="AJ56" s="20"/>
      <c r="AK56" s="20"/>
      <c r="AL56" s="20"/>
      <c r="AM56" s="20"/>
      <c r="AN56" s="20"/>
      <c r="AO56" s="20"/>
      <c r="AP56" s="20"/>
      <c r="AQ56" s="20"/>
      <c r="AR56" s="20"/>
      <c r="AS56" s="20"/>
      <c r="AT56" s="20"/>
      <c r="AU56" s="20"/>
      <c r="AV56" s="20"/>
    </row>
    <row r="57" spans="1:48" ht="18" customHeight="1">
      <c r="A57" s="411"/>
      <c r="B57" s="41"/>
      <c r="C57" s="413"/>
      <c r="D57" s="400"/>
      <c r="E57" s="400"/>
      <c r="F57" s="400"/>
      <c r="G57" s="400"/>
      <c r="H57" s="400"/>
      <c r="I57" s="400"/>
      <c r="J57" s="400"/>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3"/>
      <c r="AH57" s="211">
        <v>4</v>
      </c>
      <c r="AI57" s="20"/>
      <c r="AJ57" s="20"/>
      <c r="AK57" s="20"/>
      <c r="AL57" s="20"/>
      <c r="AM57" s="20"/>
      <c r="AN57" s="20"/>
      <c r="AO57" s="20"/>
      <c r="AP57" s="20"/>
      <c r="AQ57" s="20"/>
      <c r="AR57" s="20"/>
      <c r="AS57" s="20"/>
      <c r="AT57" s="20"/>
      <c r="AU57" s="20"/>
      <c r="AV57" s="20"/>
    </row>
    <row r="58" spans="1:48" ht="18" customHeight="1">
      <c r="A58" s="411"/>
      <c r="B58" s="41" t="s">
        <v>59</v>
      </c>
      <c r="C58" s="413"/>
      <c r="D58" s="400"/>
      <c r="E58" s="400"/>
      <c r="F58" s="400"/>
      <c r="G58" s="400"/>
      <c r="H58" s="400"/>
      <c r="I58" s="400"/>
      <c r="J58" s="40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3"/>
      <c r="AH58" s="211">
        <v>5</v>
      </c>
      <c r="AI58" s="20"/>
      <c r="AJ58" s="20"/>
      <c r="AK58" s="20"/>
      <c r="AL58" s="20"/>
      <c r="AM58" s="20"/>
      <c r="AN58" s="20"/>
      <c r="AO58" s="20"/>
      <c r="AP58" s="20"/>
      <c r="AQ58" s="20"/>
      <c r="AR58" s="20"/>
      <c r="AS58" s="20"/>
      <c r="AT58" s="20"/>
      <c r="AU58" s="20"/>
      <c r="AV58" s="20"/>
    </row>
    <row r="59" spans="1:48" ht="18" customHeight="1">
      <c r="A59" s="411"/>
      <c r="B59" s="41"/>
      <c r="C59" s="413"/>
      <c r="D59" s="400"/>
      <c r="E59" s="400"/>
      <c r="F59" s="400"/>
      <c r="G59" s="400"/>
      <c r="H59" s="400"/>
      <c r="I59" s="400"/>
      <c r="J59" s="400"/>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3"/>
      <c r="AH59" s="212">
        <v>6</v>
      </c>
      <c r="AI59" s="20"/>
      <c r="AJ59" s="20"/>
      <c r="AK59" s="20"/>
      <c r="AL59" s="20"/>
      <c r="AM59" s="20"/>
      <c r="AN59" s="20"/>
      <c r="AO59" s="20"/>
      <c r="AP59" s="20"/>
      <c r="AQ59" s="20"/>
      <c r="AR59" s="20"/>
      <c r="AS59" s="20"/>
      <c r="AT59" s="20"/>
      <c r="AU59" s="20"/>
      <c r="AV59" s="20"/>
    </row>
    <row r="60" spans="1:48" ht="18" hidden="1" customHeight="1">
      <c r="A60" s="411"/>
      <c r="B60" s="41"/>
      <c r="C60" s="413"/>
      <c r="D60" s="400"/>
      <c r="E60" s="400"/>
      <c r="F60" s="400"/>
      <c r="G60" s="400"/>
      <c r="H60" s="400"/>
      <c r="I60" s="400"/>
      <c r="J60" s="40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3"/>
      <c r="AH60" s="213">
        <v>7</v>
      </c>
      <c r="AI60" s="20"/>
      <c r="AJ60" s="20"/>
      <c r="AK60" s="20"/>
      <c r="AL60" s="20"/>
      <c r="AM60" s="20"/>
      <c r="AN60" s="20"/>
      <c r="AO60" s="20"/>
      <c r="AP60" s="20"/>
      <c r="AQ60" s="20"/>
      <c r="AR60" s="20"/>
      <c r="AS60" s="20"/>
      <c r="AT60" s="20"/>
      <c r="AU60" s="20"/>
      <c r="AV60" s="20"/>
    </row>
    <row r="61" spans="1:48" ht="18" customHeight="1">
      <c r="A61" s="411"/>
      <c r="B61" s="41" t="s">
        <v>60</v>
      </c>
      <c r="C61" s="413"/>
      <c r="D61" s="400"/>
      <c r="E61" s="400"/>
      <c r="F61" s="400"/>
      <c r="G61" s="400"/>
      <c r="H61" s="400"/>
      <c r="I61" s="400"/>
      <c r="J61" s="400"/>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3"/>
      <c r="AH61" s="212">
        <v>8</v>
      </c>
      <c r="AI61" s="20"/>
      <c r="AJ61" s="20"/>
      <c r="AK61" s="20"/>
      <c r="AL61" s="20"/>
      <c r="AM61" s="20"/>
      <c r="AN61" s="20"/>
      <c r="AO61" s="20"/>
      <c r="AP61" s="20"/>
      <c r="AQ61" s="20"/>
      <c r="AR61" s="20"/>
      <c r="AS61" s="20"/>
      <c r="AT61" s="20"/>
      <c r="AU61" s="20"/>
      <c r="AV61" s="20"/>
    </row>
    <row r="62" spans="1:48" ht="18" customHeight="1">
      <c r="A62" s="411"/>
      <c r="B62" s="41"/>
      <c r="C62" s="413"/>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3"/>
      <c r="AH62" s="211">
        <v>9</v>
      </c>
      <c r="AI62" s="20"/>
      <c r="AJ62" s="20"/>
      <c r="AK62" s="20"/>
      <c r="AL62" s="20"/>
      <c r="AM62" s="20"/>
      <c r="AN62" s="20"/>
      <c r="AO62" s="20"/>
      <c r="AP62" s="20"/>
      <c r="AQ62" s="20"/>
      <c r="AR62" s="20"/>
      <c r="AS62" s="20"/>
      <c r="AT62" s="20"/>
      <c r="AU62" s="20"/>
      <c r="AV62" s="20"/>
    </row>
    <row r="63" spans="1:48" ht="18" customHeight="1">
      <c r="A63" s="411"/>
      <c r="B63" s="41" t="s">
        <v>61</v>
      </c>
      <c r="C63" s="413"/>
      <c r="D63" s="400"/>
      <c r="E63" s="400"/>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3"/>
      <c r="AH63" s="211">
        <v>10</v>
      </c>
      <c r="AI63" s="20"/>
      <c r="AJ63" s="20"/>
      <c r="AK63" s="20"/>
      <c r="AL63" s="20"/>
      <c r="AM63" s="20"/>
      <c r="AN63" s="20"/>
      <c r="AO63" s="20"/>
      <c r="AP63" s="20"/>
      <c r="AQ63" s="20"/>
      <c r="AR63" s="20"/>
      <c r="AS63" s="20"/>
      <c r="AT63" s="20"/>
      <c r="AU63" s="20"/>
      <c r="AV63" s="20"/>
    </row>
    <row r="64" spans="1:48" ht="18" customHeight="1">
      <c r="A64" s="411"/>
      <c r="B64" s="41"/>
      <c r="C64" s="413"/>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3"/>
      <c r="AH64" s="211">
        <v>11</v>
      </c>
      <c r="AI64" s="20"/>
      <c r="AJ64" s="20"/>
      <c r="AK64" s="20"/>
      <c r="AL64" s="20"/>
      <c r="AM64" s="20"/>
      <c r="AN64" s="20"/>
      <c r="AO64" s="20"/>
      <c r="AP64" s="20"/>
      <c r="AQ64" s="20"/>
      <c r="AR64" s="20"/>
      <c r="AS64" s="20"/>
      <c r="AT64" s="20"/>
      <c r="AU64" s="20"/>
      <c r="AV64" s="20"/>
    </row>
    <row r="65" spans="1:48" ht="18" customHeight="1">
      <c r="A65" s="411"/>
      <c r="B65" s="41"/>
      <c r="C65" s="414"/>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4"/>
      <c r="AH65" s="211">
        <v>12</v>
      </c>
      <c r="AI65" s="20"/>
      <c r="AJ65" s="20"/>
      <c r="AK65" s="20"/>
      <c r="AL65" s="20"/>
      <c r="AM65" s="20"/>
      <c r="AN65" s="20"/>
      <c r="AO65" s="20"/>
      <c r="AP65" s="20"/>
      <c r="AQ65" s="20"/>
      <c r="AR65" s="20"/>
      <c r="AS65" s="20"/>
      <c r="AT65" s="20"/>
      <c r="AU65" s="20"/>
      <c r="AV65" s="20"/>
    </row>
    <row r="66" spans="1:48" ht="20.100000000000001" hidden="1" customHeight="1">
      <c r="A66" s="35"/>
      <c r="B66" s="42" t="s">
        <v>62</v>
      </c>
      <c r="C66" s="43"/>
      <c r="D66" s="44"/>
      <c r="E66" s="44"/>
      <c r="F66" s="44"/>
      <c r="G66" s="44"/>
      <c r="H66" s="44"/>
      <c r="I66" s="44"/>
      <c r="J66" s="44"/>
      <c r="K66" s="44"/>
      <c r="L66" s="44"/>
      <c r="M66" s="44"/>
      <c r="N66" s="44"/>
      <c r="O66" s="45"/>
      <c r="P66" s="45"/>
      <c r="Q66" s="45"/>
      <c r="R66" s="45"/>
      <c r="S66" s="45"/>
      <c r="T66" s="45"/>
      <c r="U66" s="45"/>
      <c r="V66" s="45"/>
      <c r="W66" s="45"/>
      <c r="X66" s="45"/>
      <c r="Y66" s="45"/>
      <c r="Z66" s="45"/>
      <c r="AA66" s="45"/>
      <c r="AB66" s="45"/>
      <c r="AC66" s="45"/>
      <c r="AD66" s="45"/>
      <c r="AE66" s="45"/>
      <c r="AF66" s="45"/>
      <c r="AG66" s="46"/>
      <c r="AH66" s="47"/>
      <c r="AI66" s="130">
        <f>COUNTIF(C66:AG66,"○")</f>
        <v>0</v>
      </c>
      <c r="AJ66" s="131" t="s">
        <v>62</v>
      </c>
      <c r="AK66" s="20"/>
      <c r="AL66" s="20"/>
      <c r="AM66" s="20"/>
      <c r="AN66" s="20"/>
      <c r="AO66" s="20"/>
      <c r="AP66" s="20"/>
      <c r="AQ66" s="20"/>
      <c r="AR66" s="20"/>
      <c r="AS66" s="20"/>
      <c r="AT66" s="20"/>
      <c r="AU66" s="20"/>
      <c r="AV66" s="20"/>
    </row>
    <row r="67" spans="1:48" ht="18" customHeight="1">
      <c r="A67" s="35"/>
      <c r="B67" s="48" t="s">
        <v>63</v>
      </c>
      <c r="C67" s="43"/>
      <c r="D67" s="44"/>
      <c r="E67" s="44"/>
      <c r="F67" s="44"/>
      <c r="G67" s="44"/>
      <c r="H67" s="49"/>
      <c r="I67" s="49"/>
      <c r="J67" s="44"/>
      <c r="K67" s="44"/>
      <c r="L67" s="44"/>
      <c r="M67" s="44"/>
      <c r="N67" s="44"/>
      <c r="O67" s="49"/>
      <c r="P67" s="49" t="s">
        <v>64</v>
      </c>
      <c r="Q67" s="44"/>
      <c r="R67" s="44"/>
      <c r="S67" s="44"/>
      <c r="T67" s="49"/>
      <c r="U67" s="49"/>
      <c r="V67" s="49"/>
      <c r="W67" s="49"/>
      <c r="X67" s="44"/>
      <c r="Y67" s="44"/>
      <c r="Z67" s="44"/>
      <c r="AA67" s="44"/>
      <c r="AB67" s="49"/>
      <c r="AC67" s="49"/>
      <c r="AD67" s="44"/>
      <c r="AE67" s="44"/>
      <c r="AF67" s="44"/>
      <c r="AG67" s="50"/>
      <c r="AH67" s="132" t="str">
        <f>IF(AI67="","","←")</f>
        <v/>
      </c>
      <c r="AI67" s="415" t="str">
        <f>IF(C53="","",IF(COUNTA(C67:AG67)&gt;=1,"","成績考査もれ"))</f>
        <v/>
      </c>
      <c r="AJ67" s="415"/>
      <c r="AK67" s="20"/>
      <c r="AL67" s="26"/>
      <c r="AM67" s="20"/>
      <c r="AN67" s="20"/>
      <c r="AO67" s="20"/>
      <c r="AP67" s="20"/>
      <c r="AQ67" s="20"/>
      <c r="AR67" s="20"/>
      <c r="AS67" s="20"/>
      <c r="AT67" s="20"/>
      <c r="AU67" s="20"/>
      <c r="AV67" s="20"/>
    </row>
    <row r="68" spans="1:48" ht="18" customHeight="1">
      <c r="A68" s="35"/>
      <c r="B68" s="51" t="s">
        <v>65</v>
      </c>
      <c r="C68" s="52"/>
      <c r="D68" s="53"/>
      <c r="E68" s="53"/>
      <c r="F68" s="53"/>
      <c r="G68" s="53"/>
      <c r="H68" s="54"/>
      <c r="I68" s="54"/>
      <c r="J68" s="53"/>
      <c r="K68" s="53"/>
      <c r="L68" s="53"/>
      <c r="M68" s="53"/>
      <c r="N68" s="53"/>
      <c r="O68" s="54"/>
      <c r="P68" s="54"/>
      <c r="Q68" s="53"/>
      <c r="R68" s="53"/>
      <c r="S68" s="53"/>
      <c r="T68" s="54"/>
      <c r="U68" s="54"/>
      <c r="V68" s="54"/>
      <c r="W68" s="54"/>
      <c r="X68" s="53"/>
      <c r="Y68" s="53"/>
      <c r="Z68" s="53"/>
      <c r="AA68" s="53"/>
      <c r="AB68" s="54"/>
      <c r="AC68" s="54"/>
      <c r="AD68" s="53"/>
      <c r="AE68" s="53"/>
      <c r="AF68" s="53"/>
      <c r="AG68" s="71"/>
      <c r="AH68" s="132" t="str">
        <f>IF(AI68="","","←")</f>
        <v/>
      </c>
      <c r="AI68" s="416" t="str">
        <f>[9]機構処理!BI81</f>
        <v/>
      </c>
      <c r="AJ68" s="416"/>
      <c r="AK68" s="72"/>
      <c r="AL68" s="70"/>
      <c r="AM68" s="72"/>
      <c r="AN68" s="72"/>
      <c r="AO68" s="72"/>
      <c r="AP68" s="20"/>
      <c r="AQ68" s="20"/>
      <c r="AR68" s="20"/>
      <c r="AS68" s="20"/>
      <c r="AT68" s="20"/>
      <c r="AU68" s="20"/>
      <c r="AV68" s="20"/>
    </row>
    <row r="69" spans="1:48" ht="18" customHeight="1">
      <c r="A69" s="35"/>
      <c r="B69" s="407" t="s">
        <v>66</v>
      </c>
      <c r="C69" s="56"/>
      <c r="D69" s="57">
        <v>6</v>
      </c>
      <c r="E69" s="57">
        <v>6</v>
      </c>
      <c r="F69" s="57">
        <v>6</v>
      </c>
      <c r="G69" s="57"/>
      <c r="H69" s="57"/>
      <c r="I69" s="57">
        <v>6</v>
      </c>
      <c r="J69" s="57"/>
      <c r="K69" s="57">
        <v>6</v>
      </c>
      <c r="L69" s="57"/>
      <c r="M69" s="57">
        <v>6</v>
      </c>
      <c r="N69" s="57"/>
      <c r="O69" s="57"/>
      <c r="P69" s="57">
        <v>6</v>
      </c>
      <c r="Q69" s="57"/>
      <c r="R69" s="57">
        <v>6</v>
      </c>
      <c r="S69" s="57">
        <v>6</v>
      </c>
      <c r="T69" s="57">
        <v>6</v>
      </c>
      <c r="U69" s="57">
        <v>0</v>
      </c>
      <c r="V69" s="57"/>
      <c r="W69" s="57">
        <v>6</v>
      </c>
      <c r="X69" s="57"/>
      <c r="Y69" s="57">
        <v>6</v>
      </c>
      <c r="Z69" s="57">
        <v>6</v>
      </c>
      <c r="AA69" s="57">
        <v>6</v>
      </c>
      <c r="AB69" s="57">
        <v>0</v>
      </c>
      <c r="AC69" s="57"/>
      <c r="AD69" s="57">
        <v>6</v>
      </c>
      <c r="AE69" s="57"/>
      <c r="AF69" s="57">
        <v>6</v>
      </c>
      <c r="AG69" s="73">
        <v>6</v>
      </c>
      <c r="AH69" s="212">
        <v>1</v>
      </c>
      <c r="AI69" s="26"/>
      <c r="AJ69" s="26"/>
      <c r="AK69" s="26"/>
      <c r="AL69" s="26"/>
      <c r="AM69" s="20"/>
      <c r="AN69" s="20"/>
      <c r="AO69" s="20"/>
      <c r="AP69" s="20"/>
      <c r="AQ69" s="20"/>
      <c r="AR69" s="20"/>
      <c r="AS69" s="20"/>
      <c r="AT69" s="20"/>
      <c r="AU69" s="20"/>
      <c r="AV69" s="20"/>
    </row>
    <row r="70" spans="1:48" ht="18" hidden="1" customHeight="1">
      <c r="A70" s="35"/>
      <c r="B70" s="408"/>
      <c r="C70" s="60"/>
      <c r="D70" s="61"/>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1"/>
      <c r="AF70" s="61"/>
      <c r="AG70" s="74"/>
      <c r="AH70" s="213">
        <v>2</v>
      </c>
      <c r="AI70" s="26"/>
      <c r="AJ70" s="26"/>
      <c r="AK70" s="26"/>
      <c r="AL70" s="26"/>
      <c r="AM70" s="20"/>
      <c r="AN70" s="20"/>
      <c r="AO70" s="20"/>
      <c r="AP70" s="20"/>
      <c r="AQ70" s="20"/>
      <c r="AR70" s="20"/>
      <c r="AS70" s="20"/>
      <c r="AT70" s="20"/>
      <c r="AU70" s="20"/>
      <c r="AV70" s="20"/>
    </row>
    <row r="71" spans="1:48" ht="18" customHeight="1">
      <c r="A71" s="63"/>
      <c r="B71" s="409"/>
      <c r="C71" s="253"/>
      <c r="D71" s="254"/>
      <c r="E71" s="254"/>
      <c r="F71" s="254"/>
      <c r="G71" s="254"/>
      <c r="H71" s="254"/>
      <c r="I71" s="254"/>
      <c r="J71" s="254"/>
      <c r="K71" s="254"/>
      <c r="L71" s="254"/>
      <c r="M71" s="254"/>
      <c r="N71" s="254"/>
      <c r="O71" s="254"/>
      <c r="P71" s="254"/>
      <c r="Q71" s="254"/>
      <c r="R71" s="254"/>
      <c r="S71" s="254"/>
      <c r="T71" s="254"/>
      <c r="U71" s="254"/>
      <c r="V71" s="254"/>
      <c r="W71" s="254"/>
      <c r="X71" s="254"/>
      <c r="Y71" s="254"/>
      <c r="Z71" s="254"/>
      <c r="AA71" s="254"/>
      <c r="AB71" s="254"/>
      <c r="AC71" s="254"/>
      <c r="AD71" s="254"/>
      <c r="AE71" s="254"/>
      <c r="AF71" s="254"/>
      <c r="AG71" s="256"/>
      <c r="AH71" s="212">
        <v>3</v>
      </c>
      <c r="AI71" s="410" t="str">
        <f>IF(C51="","","土日祝の訓練日数⇒")</f>
        <v>土日祝の訓練日数⇒</v>
      </c>
      <c r="AJ71" s="410"/>
      <c r="AK71" s="69">
        <f>IF(C51="","",[9]機構処理!BF41)</f>
        <v>2</v>
      </c>
      <c r="AL71" s="69" t="str">
        <f>IF(C51="","","日")</f>
        <v>日</v>
      </c>
      <c r="AM71" s="64"/>
      <c r="AN71" s="20"/>
      <c r="AO71" s="20"/>
      <c r="AP71" s="20"/>
      <c r="AQ71" s="20"/>
      <c r="AR71" s="20"/>
      <c r="AS71" s="20"/>
      <c r="AT71" s="20"/>
      <c r="AU71" s="20"/>
      <c r="AV71" s="20"/>
    </row>
    <row r="72" spans="1:48" ht="14.4">
      <c r="A72" s="15"/>
      <c r="B72" s="15"/>
      <c r="C72" s="28" t="str">
        <f t="shared" ref="C72:AG72" si="14">IF(C75="","",IF(C75=訓練終了日,"修了日",""))</f>
        <v/>
      </c>
      <c r="D72" s="28" t="str">
        <f t="shared" si="14"/>
        <v/>
      </c>
      <c r="E72" s="28" t="str">
        <f t="shared" si="14"/>
        <v/>
      </c>
      <c r="F72" s="28" t="str">
        <f t="shared" si="14"/>
        <v/>
      </c>
      <c r="G72" s="28" t="str">
        <f t="shared" si="14"/>
        <v/>
      </c>
      <c r="H72" s="28" t="str">
        <f t="shared" si="14"/>
        <v/>
      </c>
      <c r="I72" s="28" t="str">
        <f t="shared" si="14"/>
        <v/>
      </c>
      <c r="J72" s="28" t="str">
        <f t="shared" si="14"/>
        <v/>
      </c>
      <c r="K72" s="28" t="str">
        <f t="shared" si="14"/>
        <v/>
      </c>
      <c r="L72" s="28" t="str">
        <f t="shared" si="14"/>
        <v/>
      </c>
      <c r="M72" s="28" t="str">
        <f t="shared" si="14"/>
        <v/>
      </c>
      <c r="N72" s="28" t="str">
        <f t="shared" si="14"/>
        <v/>
      </c>
      <c r="O72" s="28" t="str">
        <f t="shared" si="14"/>
        <v/>
      </c>
      <c r="P72" s="28" t="str">
        <f t="shared" si="14"/>
        <v/>
      </c>
      <c r="Q72" s="28" t="str">
        <f t="shared" si="14"/>
        <v/>
      </c>
      <c r="R72" s="28" t="str">
        <f t="shared" si="14"/>
        <v/>
      </c>
      <c r="S72" s="28" t="str">
        <f t="shared" si="14"/>
        <v/>
      </c>
      <c r="T72" s="28" t="str">
        <f t="shared" si="14"/>
        <v/>
      </c>
      <c r="U72" s="28" t="str">
        <f t="shared" si="14"/>
        <v/>
      </c>
      <c r="V72" s="28" t="str">
        <f t="shared" si="14"/>
        <v/>
      </c>
      <c r="W72" s="28" t="str">
        <f t="shared" si="14"/>
        <v/>
      </c>
      <c r="X72" s="28" t="str">
        <f t="shared" si="14"/>
        <v/>
      </c>
      <c r="Y72" s="28" t="str">
        <f t="shared" si="14"/>
        <v/>
      </c>
      <c r="Z72" s="28" t="str">
        <f t="shared" si="14"/>
        <v/>
      </c>
      <c r="AA72" s="28" t="str">
        <f t="shared" si="14"/>
        <v/>
      </c>
      <c r="AB72" s="28" t="str">
        <f t="shared" si="14"/>
        <v/>
      </c>
      <c r="AC72" s="28" t="str">
        <f t="shared" si="14"/>
        <v/>
      </c>
      <c r="AD72" s="28" t="str">
        <f t="shared" si="14"/>
        <v/>
      </c>
      <c r="AE72" s="28" t="str">
        <f t="shared" si="14"/>
        <v/>
      </c>
      <c r="AF72" s="28" t="str">
        <f t="shared" si="14"/>
        <v/>
      </c>
      <c r="AG72" s="28" t="str">
        <f t="shared" si="14"/>
        <v/>
      </c>
      <c r="AH72" s="19"/>
      <c r="AI72" s="20"/>
      <c r="AJ72" s="20"/>
      <c r="AK72" s="20"/>
      <c r="AL72" s="20"/>
      <c r="AM72" s="20"/>
      <c r="AN72" s="20"/>
      <c r="AO72" s="20"/>
      <c r="AP72" s="20"/>
      <c r="AQ72" s="20"/>
      <c r="AR72" s="20"/>
      <c r="AS72" s="20"/>
      <c r="AT72" s="20"/>
      <c r="AU72" s="20"/>
      <c r="AV72" s="20"/>
    </row>
    <row r="73" spans="1:48" ht="18.75" customHeight="1">
      <c r="A73" s="30"/>
      <c r="B73" s="31" t="s">
        <v>51</v>
      </c>
      <c r="C73" s="32">
        <f>IF(OR(C51="",COUNTIF(C50:AG50,"修了日")=1),"",EDATE(C51,1))</f>
        <v>46192</v>
      </c>
      <c r="D73" s="33">
        <f t="shared" ref="D73:AD73" si="15">IF(OR(C73="",C72="修了日"),"",C73+1)</f>
        <v>46193</v>
      </c>
      <c r="E73" s="33">
        <f t="shared" si="15"/>
        <v>46194</v>
      </c>
      <c r="F73" s="33">
        <f t="shared" si="15"/>
        <v>46195</v>
      </c>
      <c r="G73" s="33">
        <f t="shared" si="15"/>
        <v>46196</v>
      </c>
      <c r="H73" s="33">
        <f t="shared" si="15"/>
        <v>46197</v>
      </c>
      <c r="I73" s="33">
        <f t="shared" si="15"/>
        <v>46198</v>
      </c>
      <c r="J73" s="33">
        <f t="shared" si="15"/>
        <v>46199</v>
      </c>
      <c r="K73" s="33">
        <f t="shared" si="15"/>
        <v>46200</v>
      </c>
      <c r="L73" s="33">
        <f t="shared" si="15"/>
        <v>46201</v>
      </c>
      <c r="M73" s="33">
        <f t="shared" si="15"/>
        <v>46202</v>
      </c>
      <c r="N73" s="33">
        <f t="shared" si="15"/>
        <v>46203</v>
      </c>
      <c r="O73" s="33">
        <f t="shared" si="15"/>
        <v>46204</v>
      </c>
      <c r="P73" s="33">
        <f t="shared" si="15"/>
        <v>46205</v>
      </c>
      <c r="Q73" s="33">
        <f t="shared" si="15"/>
        <v>46206</v>
      </c>
      <c r="R73" s="33">
        <f t="shared" si="15"/>
        <v>46207</v>
      </c>
      <c r="S73" s="33">
        <f t="shared" si="15"/>
        <v>46208</v>
      </c>
      <c r="T73" s="33">
        <f t="shared" si="15"/>
        <v>46209</v>
      </c>
      <c r="U73" s="33">
        <f t="shared" si="15"/>
        <v>46210</v>
      </c>
      <c r="V73" s="33">
        <f t="shared" si="15"/>
        <v>46211</v>
      </c>
      <c r="W73" s="33">
        <f t="shared" si="15"/>
        <v>46212</v>
      </c>
      <c r="X73" s="33">
        <f t="shared" si="15"/>
        <v>46213</v>
      </c>
      <c r="Y73" s="33">
        <f t="shared" si="15"/>
        <v>46214</v>
      </c>
      <c r="Z73" s="33">
        <f t="shared" si="15"/>
        <v>46215</v>
      </c>
      <c r="AA73" s="33">
        <f t="shared" si="15"/>
        <v>46216</v>
      </c>
      <c r="AB73" s="33">
        <f t="shared" si="15"/>
        <v>46217</v>
      </c>
      <c r="AC73" s="33">
        <f t="shared" si="15"/>
        <v>46218</v>
      </c>
      <c r="AD73" s="33">
        <f t="shared" si="15"/>
        <v>46219</v>
      </c>
      <c r="AE73" s="33">
        <f>IF(OR(AD73="",AD72="修了日"),"",IF(AND(DAY(DATE(YEAR(C73),2,29))=29,MONTH(C73)=2),AD73+1,IF(MONTH(C73)=2,"",AD73+1)))</f>
        <v>46220</v>
      </c>
      <c r="AF73" s="33">
        <f>IF(OR(AE73="",AE72="修了日"),"",IF(MONTH(C73)=2,"",AE73+1))</f>
        <v>46221</v>
      </c>
      <c r="AG73" s="65" t="str">
        <f>IF(OR(AF73="",AF72="修了日"),"",IF(OR(MONTH(C73)=2,MONTH(C73)=4,MONTH(C73)=6,MONTH(C73)=9,MONTH(C73)=11),"",AF73+1))</f>
        <v/>
      </c>
      <c r="AH73" s="19"/>
      <c r="AI73" s="20"/>
      <c r="AJ73" s="20"/>
      <c r="AK73" s="20"/>
      <c r="AL73" s="20"/>
      <c r="AM73" s="20"/>
      <c r="AN73" s="20"/>
      <c r="AO73" s="20"/>
      <c r="AP73" s="20"/>
      <c r="AQ73" s="20"/>
      <c r="AR73" s="20"/>
      <c r="AS73" s="20"/>
      <c r="AT73" s="20"/>
      <c r="AU73" s="20"/>
      <c r="AV73" s="20"/>
    </row>
    <row r="74" spans="1:48" ht="18.75" customHeight="1">
      <c r="A74" s="35"/>
      <c r="B74" s="31" t="s">
        <v>52</v>
      </c>
      <c r="C74" s="67">
        <f>+C73</f>
        <v>46192</v>
      </c>
      <c r="D74" s="67">
        <f t="shared" ref="D74:AG75" si="16">IF(D73="","",+D73)</f>
        <v>46193</v>
      </c>
      <c r="E74" s="67">
        <f t="shared" si="16"/>
        <v>46194</v>
      </c>
      <c r="F74" s="67">
        <f t="shared" si="16"/>
        <v>46195</v>
      </c>
      <c r="G74" s="67">
        <f t="shared" si="16"/>
        <v>46196</v>
      </c>
      <c r="H74" s="67">
        <f t="shared" si="16"/>
        <v>46197</v>
      </c>
      <c r="I74" s="67">
        <f t="shared" si="16"/>
        <v>46198</v>
      </c>
      <c r="J74" s="67">
        <f t="shared" si="16"/>
        <v>46199</v>
      </c>
      <c r="K74" s="67">
        <f t="shared" si="16"/>
        <v>46200</v>
      </c>
      <c r="L74" s="67">
        <f t="shared" si="16"/>
        <v>46201</v>
      </c>
      <c r="M74" s="67">
        <f t="shared" si="16"/>
        <v>46202</v>
      </c>
      <c r="N74" s="67">
        <f t="shared" si="16"/>
        <v>46203</v>
      </c>
      <c r="O74" s="67">
        <f t="shared" si="16"/>
        <v>46204</v>
      </c>
      <c r="P74" s="67">
        <f t="shared" si="16"/>
        <v>46205</v>
      </c>
      <c r="Q74" s="67">
        <f t="shared" si="16"/>
        <v>46206</v>
      </c>
      <c r="R74" s="67">
        <f t="shared" si="16"/>
        <v>46207</v>
      </c>
      <c r="S74" s="67">
        <f t="shared" si="16"/>
        <v>46208</v>
      </c>
      <c r="T74" s="67">
        <f t="shared" si="16"/>
        <v>46209</v>
      </c>
      <c r="U74" s="67">
        <f t="shared" si="16"/>
        <v>46210</v>
      </c>
      <c r="V74" s="67">
        <f t="shared" si="16"/>
        <v>46211</v>
      </c>
      <c r="W74" s="67">
        <f t="shared" si="16"/>
        <v>46212</v>
      </c>
      <c r="X74" s="67">
        <f t="shared" si="16"/>
        <v>46213</v>
      </c>
      <c r="Y74" s="67">
        <f t="shared" si="16"/>
        <v>46214</v>
      </c>
      <c r="Z74" s="67">
        <f t="shared" si="16"/>
        <v>46215</v>
      </c>
      <c r="AA74" s="67">
        <f t="shared" si="16"/>
        <v>46216</v>
      </c>
      <c r="AB74" s="67">
        <f t="shared" si="16"/>
        <v>46217</v>
      </c>
      <c r="AC74" s="67">
        <f t="shared" si="16"/>
        <v>46218</v>
      </c>
      <c r="AD74" s="67">
        <f t="shared" si="16"/>
        <v>46219</v>
      </c>
      <c r="AE74" s="67">
        <f t="shared" si="16"/>
        <v>46220</v>
      </c>
      <c r="AF74" s="67">
        <f t="shared" si="16"/>
        <v>46221</v>
      </c>
      <c r="AG74" s="38" t="str">
        <f t="shared" si="16"/>
        <v/>
      </c>
      <c r="AH74" s="19"/>
      <c r="AI74" s="20"/>
      <c r="AJ74" s="20"/>
      <c r="AK74" s="20"/>
      <c r="AL74" s="20"/>
      <c r="AM74" s="20"/>
      <c r="AN74" s="20"/>
      <c r="AO74" s="20"/>
      <c r="AP74" s="20"/>
      <c r="AQ74" s="20"/>
      <c r="AR74" s="20"/>
      <c r="AS74" s="20"/>
      <c r="AT74" s="20"/>
      <c r="AU74" s="20"/>
      <c r="AV74" s="20"/>
    </row>
    <row r="75" spans="1:48" ht="18.75" customHeight="1">
      <c r="A75" s="35"/>
      <c r="B75" s="31" t="s">
        <v>53</v>
      </c>
      <c r="C75" s="39">
        <f>+C74</f>
        <v>46192</v>
      </c>
      <c r="D75" s="39">
        <f t="shared" si="16"/>
        <v>46193</v>
      </c>
      <c r="E75" s="39">
        <f t="shared" si="16"/>
        <v>46194</v>
      </c>
      <c r="F75" s="39">
        <f t="shared" si="16"/>
        <v>46195</v>
      </c>
      <c r="G75" s="39">
        <f t="shared" si="16"/>
        <v>46196</v>
      </c>
      <c r="H75" s="39">
        <f t="shared" si="16"/>
        <v>46197</v>
      </c>
      <c r="I75" s="39">
        <f t="shared" si="16"/>
        <v>46198</v>
      </c>
      <c r="J75" s="39">
        <f t="shared" si="16"/>
        <v>46199</v>
      </c>
      <c r="K75" s="39">
        <f t="shared" si="16"/>
        <v>46200</v>
      </c>
      <c r="L75" s="39">
        <f t="shared" si="16"/>
        <v>46201</v>
      </c>
      <c r="M75" s="39">
        <f t="shared" si="16"/>
        <v>46202</v>
      </c>
      <c r="N75" s="39">
        <f t="shared" si="16"/>
        <v>46203</v>
      </c>
      <c r="O75" s="39">
        <f t="shared" si="16"/>
        <v>46204</v>
      </c>
      <c r="P75" s="39">
        <f t="shared" si="16"/>
        <v>46205</v>
      </c>
      <c r="Q75" s="39">
        <f t="shared" si="16"/>
        <v>46206</v>
      </c>
      <c r="R75" s="39">
        <f t="shared" si="16"/>
        <v>46207</v>
      </c>
      <c r="S75" s="39">
        <f t="shared" si="16"/>
        <v>46208</v>
      </c>
      <c r="T75" s="39">
        <f t="shared" si="16"/>
        <v>46209</v>
      </c>
      <c r="U75" s="39">
        <f t="shared" si="16"/>
        <v>46210</v>
      </c>
      <c r="V75" s="39">
        <f t="shared" si="16"/>
        <v>46211</v>
      </c>
      <c r="W75" s="39">
        <f t="shared" si="16"/>
        <v>46212</v>
      </c>
      <c r="X75" s="39">
        <f t="shared" si="16"/>
        <v>46213</v>
      </c>
      <c r="Y75" s="39">
        <f t="shared" si="16"/>
        <v>46214</v>
      </c>
      <c r="Z75" s="39">
        <f t="shared" si="16"/>
        <v>46215</v>
      </c>
      <c r="AA75" s="39">
        <f t="shared" si="16"/>
        <v>46216</v>
      </c>
      <c r="AB75" s="39">
        <f t="shared" si="16"/>
        <v>46217</v>
      </c>
      <c r="AC75" s="39">
        <f t="shared" si="16"/>
        <v>46218</v>
      </c>
      <c r="AD75" s="39">
        <f t="shared" si="16"/>
        <v>46219</v>
      </c>
      <c r="AE75" s="39">
        <f t="shared" si="16"/>
        <v>46220</v>
      </c>
      <c r="AF75" s="39">
        <f t="shared" si="16"/>
        <v>46221</v>
      </c>
      <c r="AG75" s="40" t="str">
        <f t="shared" si="16"/>
        <v/>
      </c>
      <c r="AH75" s="19"/>
      <c r="AI75" s="20"/>
      <c r="AJ75" s="20"/>
      <c r="AK75" s="20"/>
      <c r="AL75" s="20"/>
      <c r="AM75" s="20"/>
      <c r="AN75" s="20"/>
      <c r="AO75" s="20"/>
      <c r="AP75" s="20"/>
      <c r="AQ75" s="20"/>
      <c r="AR75" s="20"/>
      <c r="AS75" s="20"/>
      <c r="AT75" s="20"/>
      <c r="AU75" s="20"/>
      <c r="AV75" s="20"/>
    </row>
    <row r="76" spans="1:48" ht="18" customHeight="1">
      <c r="A76" s="411" t="str">
        <f>IF(C73="","","４か月目")</f>
        <v>４か月目</v>
      </c>
      <c r="B76" s="41"/>
      <c r="C76" s="423" t="s">
        <v>402</v>
      </c>
      <c r="D76" s="399" t="str">
        <f t="shared" ref="D76:AG76" si="17">IF(D$75="","",IF(D$75=$K$152,"ハローワーク来所日③",""))</f>
        <v/>
      </c>
      <c r="E76" s="399" t="str">
        <f t="shared" si="17"/>
        <v/>
      </c>
      <c r="F76" s="399" t="s">
        <v>402</v>
      </c>
      <c r="G76" s="399"/>
      <c r="H76" s="399" t="s">
        <v>402</v>
      </c>
      <c r="I76" s="399" t="s">
        <v>402</v>
      </c>
      <c r="J76" s="399" t="str">
        <f t="shared" si="17"/>
        <v>ハローワーク来所日③</v>
      </c>
      <c r="K76" s="399" t="str">
        <f t="shared" si="17"/>
        <v/>
      </c>
      <c r="L76" s="399" t="str">
        <f t="shared" si="17"/>
        <v/>
      </c>
      <c r="M76" s="399" t="s">
        <v>402</v>
      </c>
      <c r="N76" s="399" t="str">
        <f t="shared" si="17"/>
        <v/>
      </c>
      <c r="O76" s="399" t="s">
        <v>402</v>
      </c>
      <c r="P76" s="399" t="s">
        <v>402</v>
      </c>
      <c r="Q76" s="399" t="s">
        <v>402</v>
      </c>
      <c r="R76" s="399" t="str">
        <f t="shared" si="17"/>
        <v/>
      </c>
      <c r="S76" s="399" t="str">
        <f t="shared" si="17"/>
        <v/>
      </c>
      <c r="T76" s="399" t="s">
        <v>403</v>
      </c>
      <c r="U76" s="399" t="s">
        <v>404</v>
      </c>
      <c r="V76" s="399" t="s">
        <v>404</v>
      </c>
      <c r="W76" s="399" t="s">
        <v>404</v>
      </c>
      <c r="X76" s="399" t="s">
        <v>404</v>
      </c>
      <c r="Y76" s="399" t="str">
        <f t="shared" si="17"/>
        <v/>
      </c>
      <c r="Z76" s="399" t="str">
        <f t="shared" si="17"/>
        <v/>
      </c>
      <c r="AA76" s="399" t="s">
        <v>224</v>
      </c>
      <c r="AB76" s="399" t="str">
        <f t="shared" si="17"/>
        <v/>
      </c>
      <c r="AC76" s="399" t="s">
        <v>404</v>
      </c>
      <c r="AD76" s="399" t="s">
        <v>404</v>
      </c>
      <c r="AE76" s="399" t="s">
        <v>404</v>
      </c>
      <c r="AF76" s="399" t="str">
        <f t="shared" si="17"/>
        <v/>
      </c>
      <c r="AG76" s="402" t="str">
        <f t="shared" si="17"/>
        <v/>
      </c>
      <c r="AH76" s="211">
        <v>1</v>
      </c>
      <c r="AI76" s="20"/>
      <c r="AJ76" s="20"/>
      <c r="AK76" s="20"/>
      <c r="AL76" s="20"/>
      <c r="AM76" s="20"/>
      <c r="AN76" s="20"/>
      <c r="AO76" s="20"/>
      <c r="AP76" s="20"/>
      <c r="AQ76" s="20"/>
      <c r="AR76" s="20"/>
      <c r="AS76" s="20"/>
      <c r="AT76" s="20"/>
      <c r="AU76" s="20"/>
      <c r="AV76" s="20"/>
    </row>
    <row r="77" spans="1:48" ht="18" customHeight="1">
      <c r="A77" s="411"/>
      <c r="B77" s="41"/>
      <c r="C77" s="424"/>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3"/>
      <c r="AH77" s="211">
        <v>2</v>
      </c>
      <c r="AI77" s="20"/>
      <c r="AJ77" s="20"/>
      <c r="AK77" s="20"/>
      <c r="AL77" s="20"/>
      <c r="AM77" s="20"/>
      <c r="AN77" s="20"/>
      <c r="AO77" s="20"/>
      <c r="AP77" s="20"/>
      <c r="AQ77" s="20"/>
      <c r="AR77" s="20"/>
      <c r="AS77" s="20"/>
      <c r="AT77" s="20"/>
      <c r="AU77" s="20"/>
      <c r="AV77" s="20"/>
    </row>
    <row r="78" spans="1:48" ht="18" customHeight="1">
      <c r="A78" s="411"/>
      <c r="B78" s="41" t="s">
        <v>58</v>
      </c>
      <c r="C78" s="424"/>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3"/>
      <c r="AH78" s="211">
        <v>3</v>
      </c>
      <c r="AI78" s="20"/>
      <c r="AJ78" s="20"/>
      <c r="AK78" s="20"/>
      <c r="AL78" s="20"/>
      <c r="AM78" s="20"/>
      <c r="AN78" s="20"/>
      <c r="AO78" s="20"/>
      <c r="AP78" s="20"/>
      <c r="AQ78" s="20"/>
      <c r="AR78" s="20"/>
      <c r="AS78" s="20"/>
      <c r="AT78" s="20"/>
      <c r="AU78" s="20"/>
      <c r="AV78" s="20"/>
    </row>
    <row r="79" spans="1:48" ht="18" customHeight="1">
      <c r="A79" s="411"/>
      <c r="B79" s="41"/>
      <c r="C79" s="424"/>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3"/>
      <c r="AH79" s="211">
        <v>4</v>
      </c>
      <c r="AI79" s="20"/>
      <c r="AJ79" s="20"/>
      <c r="AK79" s="20"/>
      <c r="AL79" s="20"/>
      <c r="AM79" s="20"/>
      <c r="AN79" s="20"/>
      <c r="AO79" s="20"/>
      <c r="AP79" s="20"/>
      <c r="AQ79" s="20"/>
      <c r="AR79" s="20"/>
      <c r="AS79" s="20"/>
      <c r="AT79" s="20"/>
      <c r="AU79" s="20"/>
      <c r="AV79" s="20"/>
    </row>
    <row r="80" spans="1:48" ht="18" customHeight="1">
      <c r="A80" s="411"/>
      <c r="B80" s="41" t="s">
        <v>59</v>
      </c>
      <c r="C80" s="424"/>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3"/>
      <c r="AH80" s="211">
        <v>5</v>
      </c>
      <c r="AI80" s="20"/>
      <c r="AJ80" s="20"/>
      <c r="AK80" s="20"/>
      <c r="AL80" s="20"/>
      <c r="AM80" s="20"/>
      <c r="AN80" s="20"/>
      <c r="AO80" s="20"/>
      <c r="AP80" s="20"/>
      <c r="AQ80" s="20"/>
      <c r="AR80" s="20"/>
      <c r="AS80" s="20"/>
      <c r="AT80" s="20"/>
      <c r="AU80" s="20"/>
      <c r="AV80" s="20"/>
    </row>
    <row r="81" spans="1:48" ht="18" customHeight="1">
      <c r="A81" s="411"/>
      <c r="B81" s="41"/>
      <c r="C81" s="424"/>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3"/>
      <c r="AH81" s="212">
        <v>6</v>
      </c>
      <c r="AI81" s="20"/>
      <c r="AJ81" s="20"/>
      <c r="AK81" s="20"/>
      <c r="AL81" s="20"/>
      <c r="AM81" s="20"/>
      <c r="AN81" s="20"/>
      <c r="AO81" s="20"/>
      <c r="AP81" s="20"/>
      <c r="AQ81" s="20"/>
      <c r="AR81" s="20"/>
      <c r="AS81" s="20"/>
      <c r="AT81" s="20"/>
      <c r="AU81" s="20"/>
      <c r="AV81" s="20"/>
    </row>
    <row r="82" spans="1:48" ht="18" hidden="1" customHeight="1">
      <c r="A82" s="411"/>
      <c r="B82" s="41"/>
      <c r="C82" s="424"/>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3"/>
      <c r="AH82" s="213">
        <v>7</v>
      </c>
      <c r="AI82" s="20"/>
      <c r="AJ82" s="20"/>
      <c r="AK82" s="20"/>
      <c r="AL82" s="20"/>
      <c r="AM82" s="20"/>
      <c r="AN82" s="20"/>
      <c r="AO82" s="20"/>
      <c r="AP82" s="20"/>
      <c r="AQ82" s="20"/>
      <c r="AR82" s="20"/>
      <c r="AS82" s="20"/>
      <c r="AT82" s="20"/>
      <c r="AU82" s="20"/>
      <c r="AV82" s="20"/>
    </row>
    <row r="83" spans="1:48" ht="18" customHeight="1">
      <c r="A83" s="411"/>
      <c r="B83" s="41" t="s">
        <v>60</v>
      </c>
      <c r="C83" s="424"/>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3"/>
      <c r="AH83" s="212">
        <v>8</v>
      </c>
      <c r="AI83" s="20"/>
      <c r="AJ83" s="20"/>
      <c r="AK83" s="20"/>
      <c r="AL83" s="20"/>
      <c r="AM83" s="20"/>
      <c r="AN83" s="20"/>
      <c r="AO83" s="20"/>
      <c r="AP83" s="20"/>
      <c r="AQ83" s="20"/>
      <c r="AR83" s="20"/>
      <c r="AS83" s="20"/>
      <c r="AT83" s="20"/>
      <c r="AU83" s="20"/>
      <c r="AV83" s="20"/>
    </row>
    <row r="84" spans="1:48" ht="18" customHeight="1">
      <c r="A84" s="411"/>
      <c r="B84" s="41"/>
      <c r="C84" s="424"/>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3"/>
      <c r="AH84" s="211">
        <v>9</v>
      </c>
      <c r="AI84" s="20"/>
      <c r="AJ84" s="20"/>
      <c r="AK84" s="20"/>
      <c r="AL84" s="20"/>
      <c r="AM84" s="20"/>
      <c r="AN84" s="20"/>
      <c r="AO84" s="20"/>
      <c r="AP84" s="20"/>
      <c r="AQ84" s="20"/>
      <c r="AR84" s="20"/>
      <c r="AS84" s="20"/>
      <c r="AT84" s="20"/>
      <c r="AU84" s="20"/>
      <c r="AV84" s="20"/>
    </row>
    <row r="85" spans="1:48" ht="18" customHeight="1">
      <c r="A85" s="411"/>
      <c r="B85" s="41" t="s">
        <v>61</v>
      </c>
      <c r="C85" s="424"/>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3"/>
      <c r="AH85" s="211">
        <v>10</v>
      </c>
      <c r="AI85" s="20"/>
      <c r="AJ85" s="20"/>
      <c r="AK85" s="20"/>
      <c r="AL85" s="20"/>
      <c r="AM85" s="20"/>
      <c r="AN85" s="20"/>
      <c r="AO85" s="20"/>
      <c r="AP85" s="20"/>
      <c r="AQ85" s="20"/>
      <c r="AR85" s="20"/>
      <c r="AS85" s="20"/>
      <c r="AT85" s="20"/>
      <c r="AU85" s="20"/>
      <c r="AV85" s="20"/>
    </row>
    <row r="86" spans="1:48" ht="18" customHeight="1">
      <c r="A86" s="411"/>
      <c r="B86" s="41"/>
      <c r="C86" s="424"/>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3"/>
      <c r="AH86" s="211">
        <v>11</v>
      </c>
      <c r="AI86" s="20"/>
      <c r="AJ86" s="20"/>
      <c r="AK86" s="20"/>
      <c r="AL86" s="20"/>
      <c r="AM86" s="20"/>
      <c r="AN86" s="20"/>
      <c r="AO86" s="20"/>
      <c r="AP86" s="20"/>
      <c r="AQ86" s="20"/>
      <c r="AR86" s="20"/>
      <c r="AS86" s="20"/>
      <c r="AT86" s="20"/>
      <c r="AU86" s="20"/>
      <c r="AV86" s="20"/>
    </row>
    <row r="87" spans="1:48" ht="18" customHeight="1">
      <c r="A87" s="411"/>
      <c r="B87" s="41"/>
      <c r="C87" s="429"/>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4"/>
      <c r="AH87" s="211">
        <v>12</v>
      </c>
      <c r="AI87" s="20"/>
      <c r="AJ87" s="20"/>
      <c r="AK87" s="20"/>
      <c r="AL87" s="20"/>
      <c r="AM87" s="20"/>
      <c r="AN87" s="20"/>
      <c r="AO87" s="20"/>
      <c r="AP87" s="20"/>
      <c r="AQ87" s="20"/>
      <c r="AR87" s="20"/>
      <c r="AS87" s="20"/>
      <c r="AT87" s="20"/>
      <c r="AU87" s="20"/>
      <c r="AV87" s="20"/>
    </row>
    <row r="88" spans="1:48" ht="20.100000000000001" hidden="1" customHeight="1">
      <c r="A88" s="35"/>
      <c r="B88" s="42" t="s">
        <v>62</v>
      </c>
      <c r="C88" s="43"/>
      <c r="D88" s="44"/>
      <c r="E88" s="44"/>
      <c r="F88" s="44"/>
      <c r="G88" s="44"/>
      <c r="H88" s="44"/>
      <c r="I88" s="44"/>
      <c r="J88" s="44"/>
      <c r="K88" s="44"/>
      <c r="L88" s="44"/>
      <c r="M88" s="44"/>
      <c r="N88" s="44"/>
      <c r="O88" s="45"/>
      <c r="P88" s="45"/>
      <c r="Q88" s="45"/>
      <c r="R88" s="45"/>
      <c r="S88" s="45"/>
      <c r="T88" s="45"/>
      <c r="U88" s="45"/>
      <c r="V88" s="45"/>
      <c r="W88" s="45"/>
      <c r="X88" s="45"/>
      <c r="Y88" s="45"/>
      <c r="Z88" s="45"/>
      <c r="AA88" s="45"/>
      <c r="AB88" s="45"/>
      <c r="AC88" s="45"/>
      <c r="AD88" s="45"/>
      <c r="AE88" s="45"/>
      <c r="AF88" s="45"/>
      <c r="AG88" s="46"/>
      <c r="AH88" s="47"/>
      <c r="AI88" s="130">
        <f>COUNTIF(C88:AG88,"○")</f>
        <v>0</v>
      </c>
      <c r="AJ88" s="131" t="s">
        <v>62</v>
      </c>
      <c r="AK88" s="20"/>
      <c r="AL88" s="20"/>
      <c r="AM88" s="20"/>
      <c r="AN88" s="20"/>
      <c r="AO88" s="20"/>
      <c r="AP88" s="20"/>
      <c r="AQ88" s="20"/>
      <c r="AR88" s="20"/>
      <c r="AS88" s="20"/>
      <c r="AT88" s="20"/>
      <c r="AU88" s="20"/>
      <c r="AV88" s="20"/>
    </row>
    <row r="89" spans="1:48" ht="18" customHeight="1">
      <c r="A89" s="35"/>
      <c r="B89" s="48" t="s">
        <v>63</v>
      </c>
      <c r="C89" s="43"/>
      <c r="D89" s="44"/>
      <c r="E89" s="44"/>
      <c r="F89" s="44"/>
      <c r="G89" s="44"/>
      <c r="H89" s="49"/>
      <c r="I89" s="49"/>
      <c r="J89" s="44"/>
      <c r="K89" s="44"/>
      <c r="L89" s="44"/>
      <c r="M89" s="44"/>
      <c r="N89" s="44"/>
      <c r="O89" s="49"/>
      <c r="P89" s="49"/>
      <c r="Q89" s="44"/>
      <c r="R89" s="44"/>
      <c r="S89" s="44"/>
      <c r="T89" s="49" t="s">
        <v>64</v>
      </c>
      <c r="U89" s="49"/>
      <c r="V89" s="49"/>
      <c r="W89" s="49"/>
      <c r="X89" s="44"/>
      <c r="Y89" s="44"/>
      <c r="Z89" s="44"/>
      <c r="AA89" s="44"/>
      <c r="AB89" s="49"/>
      <c r="AC89" s="49"/>
      <c r="AD89" s="44"/>
      <c r="AE89" s="44"/>
      <c r="AF89" s="44"/>
      <c r="AG89" s="50"/>
      <c r="AH89" s="132" t="str">
        <f>IF(AI89="","","←")</f>
        <v/>
      </c>
      <c r="AI89" s="415" t="str">
        <f>IF(C75="","",IF(COUNTA(C89:AG89)&gt;=1,"","成績考査もれ"))</f>
        <v/>
      </c>
      <c r="AJ89" s="415"/>
      <c r="AK89" s="20"/>
      <c r="AL89" s="26"/>
      <c r="AM89" s="20"/>
      <c r="AN89" s="20"/>
      <c r="AO89" s="20"/>
      <c r="AP89" s="20"/>
      <c r="AQ89" s="20"/>
      <c r="AR89" s="20"/>
      <c r="AS89" s="20"/>
      <c r="AT89" s="20"/>
      <c r="AU89" s="20"/>
      <c r="AV89" s="20"/>
    </row>
    <row r="90" spans="1:48" ht="18" customHeight="1">
      <c r="A90" s="35"/>
      <c r="B90" s="51" t="s">
        <v>65</v>
      </c>
      <c r="C90" s="52"/>
      <c r="D90" s="53"/>
      <c r="E90" s="53"/>
      <c r="F90" s="53"/>
      <c r="G90" s="53"/>
      <c r="H90" s="54"/>
      <c r="I90" s="54"/>
      <c r="J90" s="53"/>
      <c r="K90" s="53"/>
      <c r="L90" s="53"/>
      <c r="M90" s="53"/>
      <c r="N90" s="53"/>
      <c r="O90" s="54"/>
      <c r="P90" s="54"/>
      <c r="Q90" s="53"/>
      <c r="R90" s="53"/>
      <c r="S90" s="53"/>
      <c r="T90" s="54"/>
      <c r="U90" s="54"/>
      <c r="V90" s="54"/>
      <c r="W90" s="54"/>
      <c r="X90" s="53"/>
      <c r="Y90" s="53"/>
      <c r="Z90" s="53"/>
      <c r="AA90" s="53"/>
      <c r="AB90" s="54"/>
      <c r="AC90" s="54"/>
      <c r="AD90" s="53"/>
      <c r="AE90" s="53"/>
      <c r="AF90" s="53"/>
      <c r="AG90" s="71"/>
      <c r="AH90" s="132" t="str">
        <f>IF(AI90="","","←")</f>
        <v/>
      </c>
      <c r="AI90" s="417" t="str">
        <f>[9]機構処理!BI85</f>
        <v/>
      </c>
      <c r="AJ90" s="417"/>
      <c r="AK90" s="72"/>
      <c r="AL90" s="70"/>
      <c r="AM90" s="72"/>
      <c r="AN90" s="72"/>
      <c r="AO90" s="72"/>
      <c r="AP90" s="20"/>
      <c r="AQ90" s="20"/>
      <c r="AR90" s="20"/>
      <c r="AS90" s="20"/>
      <c r="AT90" s="20"/>
      <c r="AU90" s="20"/>
      <c r="AV90" s="20"/>
    </row>
    <row r="91" spans="1:48" ht="18" customHeight="1">
      <c r="A91" s="35"/>
      <c r="B91" s="407" t="s">
        <v>66</v>
      </c>
      <c r="C91" s="56">
        <v>6</v>
      </c>
      <c r="D91" s="57"/>
      <c r="E91" s="57"/>
      <c r="F91" s="57">
        <v>6</v>
      </c>
      <c r="G91" s="57"/>
      <c r="H91" s="57">
        <v>6</v>
      </c>
      <c r="I91" s="57">
        <v>6</v>
      </c>
      <c r="J91" s="57"/>
      <c r="K91" s="57"/>
      <c r="L91" s="57"/>
      <c r="M91" s="57">
        <v>6</v>
      </c>
      <c r="N91" s="57"/>
      <c r="O91" s="57">
        <v>6</v>
      </c>
      <c r="P91" s="57">
        <v>6</v>
      </c>
      <c r="Q91" s="57">
        <v>6</v>
      </c>
      <c r="R91" s="57"/>
      <c r="S91" s="57"/>
      <c r="T91" s="57">
        <v>6</v>
      </c>
      <c r="U91" s="57">
        <v>6</v>
      </c>
      <c r="V91" s="57">
        <v>6</v>
      </c>
      <c r="W91" s="57">
        <v>6</v>
      </c>
      <c r="X91" s="57">
        <v>6</v>
      </c>
      <c r="Y91" s="57"/>
      <c r="Z91" s="57"/>
      <c r="AA91" s="57">
        <v>6</v>
      </c>
      <c r="AB91" s="57"/>
      <c r="AC91" s="57">
        <v>6</v>
      </c>
      <c r="AD91" s="57">
        <v>6</v>
      </c>
      <c r="AE91" s="57">
        <v>6</v>
      </c>
      <c r="AF91" s="57"/>
      <c r="AG91" s="73"/>
      <c r="AH91" s="212">
        <v>1</v>
      </c>
      <c r="AI91" s="26"/>
      <c r="AJ91" s="26"/>
      <c r="AK91" s="26"/>
      <c r="AL91" s="26"/>
      <c r="AM91" s="20"/>
      <c r="AN91" s="20"/>
      <c r="AO91" s="20"/>
      <c r="AP91" s="20"/>
      <c r="AQ91" s="20"/>
      <c r="AR91" s="20"/>
      <c r="AS91" s="20"/>
      <c r="AT91" s="20"/>
      <c r="AU91" s="20"/>
      <c r="AV91" s="20"/>
    </row>
    <row r="92" spans="1:48" ht="18" hidden="1" customHeight="1">
      <c r="A92" s="35"/>
      <c r="B92" s="408"/>
      <c r="C92" s="60"/>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74"/>
      <c r="AH92" s="213">
        <v>2</v>
      </c>
      <c r="AI92" s="26"/>
      <c r="AJ92" s="26"/>
      <c r="AK92" s="26"/>
      <c r="AL92" s="26"/>
      <c r="AM92" s="20"/>
      <c r="AN92" s="20"/>
      <c r="AO92" s="20"/>
      <c r="AP92" s="20"/>
      <c r="AQ92" s="20"/>
      <c r="AR92" s="20"/>
      <c r="AS92" s="20"/>
      <c r="AT92" s="20"/>
      <c r="AU92" s="20"/>
      <c r="AV92" s="20"/>
    </row>
    <row r="93" spans="1:48" ht="18" customHeight="1">
      <c r="A93" s="63"/>
      <c r="B93" s="409"/>
      <c r="C93" s="253"/>
      <c r="D93" s="254"/>
      <c r="E93" s="254"/>
      <c r="F93" s="254"/>
      <c r="G93" s="254"/>
      <c r="H93" s="254"/>
      <c r="I93" s="254"/>
      <c r="J93" s="254"/>
      <c r="K93" s="254"/>
      <c r="L93" s="254"/>
      <c r="M93" s="254"/>
      <c r="N93" s="254"/>
      <c r="O93" s="254"/>
      <c r="P93" s="254"/>
      <c r="Q93" s="254"/>
      <c r="R93" s="254"/>
      <c r="S93" s="254"/>
      <c r="T93" s="254"/>
      <c r="U93" s="254"/>
      <c r="V93" s="254"/>
      <c r="W93" s="254"/>
      <c r="X93" s="254"/>
      <c r="Y93" s="254"/>
      <c r="Z93" s="254"/>
      <c r="AA93" s="254"/>
      <c r="AB93" s="254"/>
      <c r="AC93" s="254"/>
      <c r="AD93" s="254"/>
      <c r="AE93" s="254"/>
      <c r="AF93" s="254"/>
      <c r="AG93" s="256"/>
      <c r="AH93" s="212">
        <v>3</v>
      </c>
      <c r="AI93" s="410" t="str">
        <f>IF(C73="","","土日祝の訓練日数⇒")</f>
        <v>土日祝の訓練日数⇒</v>
      </c>
      <c r="AJ93" s="410"/>
      <c r="AK93" s="69">
        <f>IF(C73="","",[9]機構処理!BF47)</f>
        <v>0</v>
      </c>
      <c r="AL93" s="69" t="str">
        <f>IF(C73="","","日")</f>
        <v>日</v>
      </c>
      <c r="AM93" s="64"/>
      <c r="AN93" s="20"/>
      <c r="AO93" s="20"/>
      <c r="AP93" s="20"/>
      <c r="AQ93" s="20"/>
      <c r="AR93" s="20"/>
      <c r="AS93" s="20"/>
      <c r="AT93" s="20"/>
      <c r="AU93" s="20"/>
      <c r="AV93" s="20"/>
    </row>
    <row r="94" spans="1:48" ht="14.4">
      <c r="A94" s="76"/>
      <c r="B94" s="15"/>
      <c r="C94" s="28" t="str">
        <f t="shared" ref="C94:AG94" si="18">IF(C97="","",IF(C97=訓練終了日,"修了日",""))</f>
        <v/>
      </c>
      <c r="D94" s="28" t="str">
        <f t="shared" si="18"/>
        <v/>
      </c>
      <c r="E94" s="28" t="str">
        <f t="shared" si="18"/>
        <v/>
      </c>
      <c r="F94" s="28" t="str">
        <f t="shared" si="18"/>
        <v/>
      </c>
      <c r="G94" s="28" t="str">
        <f t="shared" si="18"/>
        <v/>
      </c>
      <c r="H94" s="28" t="str">
        <f t="shared" si="18"/>
        <v/>
      </c>
      <c r="I94" s="28" t="str">
        <f t="shared" si="18"/>
        <v/>
      </c>
      <c r="J94" s="28" t="str">
        <f t="shared" si="18"/>
        <v/>
      </c>
      <c r="K94" s="28" t="str">
        <f t="shared" si="18"/>
        <v/>
      </c>
      <c r="L94" s="28" t="str">
        <f t="shared" si="18"/>
        <v/>
      </c>
      <c r="M94" s="28" t="str">
        <f t="shared" si="18"/>
        <v/>
      </c>
      <c r="N94" s="28" t="str">
        <f t="shared" si="18"/>
        <v/>
      </c>
      <c r="O94" s="28" t="str">
        <f t="shared" si="18"/>
        <v/>
      </c>
      <c r="P94" s="28" t="str">
        <f t="shared" si="18"/>
        <v/>
      </c>
      <c r="Q94" s="28" t="str">
        <f t="shared" si="18"/>
        <v/>
      </c>
      <c r="R94" s="28" t="str">
        <f t="shared" si="18"/>
        <v/>
      </c>
      <c r="S94" s="28" t="str">
        <f t="shared" si="18"/>
        <v/>
      </c>
      <c r="T94" s="28" t="str">
        <f t="shared" si="18"/>
        <v/>
      </c>
      <c r="U94" s="28" t="str">
        <f t="shared" si="18"/>
        <v/>
      </c>
      <c r="V94" s="28" t="str">
        <f t="shared" si="18"/>
        <v/>
      </c>
      <c r="W94" s="28" t="str">
        <f t="shared" si="18"/>
        <v/>
      </c>
      <c r="X94" s="28" t="str">
        <f t="shared" si="18"/>
        <v/>
      </c>
      <c r="Y94" s="28" t="str">
        <f t="shared" si="18"/>
        <v/>
      </c>
      <c r="Z94" s="28" t="str">
        <f t="shared" si="18"/>
        <v/>
      </c>
      <c r="AA94" s="28" t="str">
        <f t="shared" si="18"/>
        <v/>
      </c>
      <c r="AB94" s="28" t="str">
        <f t="shared" si="18"/>
        <v/>
      </c>
      <c r="AC94" s="28" t="str">
        <f t="shared" si="18"/>
        <v/>
      </c>
      <c r="AD94" s="28" t="str">
        <f t="shared" si="18"/>
        <v/>
      </c>
      <c r="AE94" s="28" t="str">
        <f t="shared" si="18"/>
        <v/>
      </c>
      <c r="AF94" s="28" t="str">
        <f t="shared" si="18"/>
        <v/>
      </c>
      <c r="AG94" s="28" t="str">
        <f t="shared" si="18"/>
        <v/>
      </c>
      <c r="AH94" s="19"/>
      <c r="AI94" s="20"/>
      <c r="AJ94" s="20"/>
      <c r="AK94" s="20"/>
      <c r="AL94" s="20"/>
      <c r="AM94" s="20"/>
      <c r="AN94" s="20"/>
      <c r="AO94" s="20"/>
      <c r="AP94" s="20"/>
      <c r="AQ94" s="20"/>
      <c r="AR94" s="20"/>
      <c r="AS94" s="20"/>
      <c r="AT94" s="20"/>
      <c r="AU94" s="20"/>
      <c r="AV94" s="20"/>
    </row>
    <row r="95" spans="1:48" ht="18" customHeight="1">
      <c r="A95" s="77"/>
      <c r="B95" s="78" t="s">
        <v>51</v>
      </c>
      <c r="C95" s="32">
        <f>IF(C73="","",IF(COUNTIF(C72:AG72,"修了日")=1,"",EDATE(C73,1)))</f>
        <v>46222</v>
      </c>
      <c r="D95" s="33">
        <f t="shared" ref="D95:AD95" si="19">IF(OR(C95="",C94="修了日"),"",C95+1)</f>
        <v>46223</v>
      </c>
      <c r="E95" s="33">
        <f t="shared" si="19"/>
        <v>46224</v>
      </c>
      <c r="F95" s="33">
        <f t="shared" si="19"/>
        <v>46225</v>
      </c>
      <c r="G95" s="33">
        <f t="shared" si="19"/>
        <v>46226</v>
      </c>
      <c r="H95" s="33">
        <f t="shared" si="19"/>
        <v>46227</v>
      </c>
      <c r="I95" s="33">
        <f t="shared" si="19"/>
        <v>46228</v>
      </c>
      <c r="J95" s="33">
        <f t="shared" si="19"/>
        <v>46229</v>
      </c>
      <c r="K95" s="33">
        <f t="shared" si="19"/>
        <v>46230</v>
      </c>
      <c r="L95" s="33">
        <f t="shared" si="19"/>
        <v>46231</v>
      </c>
      <c r="M95" s="33">
        <f t="shared" si="19"/>
        <v>46232</v>
      </c>
      <c r="N95" s="33">
        <f t="shared" si="19"/>
        <v>46233</v>
      </c>
      <c r="O95" s="33">
        <f t="shared" si="19"/>
        <v>46234</v>
      </c>
      <c r="P95" s="33">
        <f t="shared" si="19"/>
        <v>46235</v>
      </c>
      <c r="Q95" s="33">
        <f t="shared" si="19"/>
        <v>46236</v>
      </c>
      <c r="R95" s="33">
        <f t="shared" si="19"/>
        <v>46237</v>
      </c>
      <c r="S95" s="33">
        <f t="shared" si="19"/>
        <v>46238</v>
      </c>
      <c r="T95" s="33">
        <f t="shared" si="19"/>
        <v>46239</v>
      </c>
      <c r="U95" s="33">
        <f t="shared" si="19"/>
        <v>46240</v>
      </c>
      <c r="V95" s="33">
        <f t="shared" si="19"/>
        <v>46241</v>
      </c>
      <c r="W95" s="33">
        <f t="shared" si="19"/>
        <v>46242</v>
      </c>
      <c r="X95" s="33">
        <f t="shared" si="19"/>
        <v>46243</v>
      </c>
      <c r="Y95" s="33">
        <f t="shared" si="19"/>
        <v>46244</v>
      </c>
      <c r="Z95" s="33">
        <f t="shared" si="19"/>
        <v>46245</v>
      </c>
      <c r="AA95" s="33">
        <f t="shared" si="19"/>
        <v>46246</v>
      </c>
      <c r="AB95" s="33">
        <f t="shared" si="19"/>
        <v>46247</v>
      </c>
      <c r="AC95" s="33">
        <f t="shared" si="19"/>
        <v>46248</v>
      </c>
      <c r="AD95" s="33">
        <f t="shared" si="19"/>
        <v>46249</v>
      </c>
      <c r="AE95" s="33">
        <f>IF(OR(AD95="",AD94="修了日"),"",IF(AND(DAY(DATE(YEAR(C95),2,29))=29,MONTH(C95)=2),AD95+1,IF(MONTH(C95)=2,"",AD95+1)))</f>
        <v>46250</v>
      </c>
      <c r="AF95" s="33">
        <f>IF(OR(AE95="",AE94="修了日"),"",IF(MONTH(C95)=2,"",AE95+1))</f>
        <v>46251</v>
      </c>
      <c r="AG95" s="65">
        <f>IF(OR(AF95="",AF94="修了日"),"",IF(OR(MONTH(C95)=2,MONTH(C95)=4,MONTH(C95)=6,MONTH(C95)=9,MONTH(C95)=11),"",AF95+1))</f>
        <v>46252</v>
      </c>
      <c r="AH95" s="19"/>
      <c r="AI95" s="20"/>
      <c r="AJ95" s="20"/>
      <c r="AK95" s="20"/>
      <c r="AL95" s="20"/>
      <c r="AM95" s="20"/>
      <c r="AN95" s="20"/>
      <c r="AO95" s="20"/>
      <c r="AP95" s="20"/>
      <c r="AQ95" s="20"/>
      <c r="AR95" s="20"/>
      <c r="AS95" s="20"/>
      <c r="AT95" s="20"/>
      <c r="AU95" s="20"/>
      <c r="AV95" s="20"/>
    </row>
    <row r="96" spans="1:48" ht="18" customHeight="1">
      <c r="A96" s="35"/>
      <c r="B96" s="79" t="s">
        <v>52</v>
      </c>
      <c r="C96" s="36">
        <f>+C95</f>
        <v>46222</v>
      </c>
      <c r="D96" s="67">
        <f t="shared" ref="D96:AG97" si="20">IF(D95="","",+D95)</f>
        <v>46223</v>
      </c>
      <c r="E96" s="67">
        <f t="shared" si="20"/>
        <v>46224</v>
      </c>
      <c r="F96" s="67">
        <f t="shared" si="20"/>
        <v>46225</v>
      </c>
      <c r="G96" s="67">
        <f t="shared" si="20"/>
        <v>46226</v>
      </c>
      <c r="H96" s="67">
        <f t="shared" si="20"/>
        <v>46227</v>
      </c>
      <c r="I96" s="67">
        <f t="shared" si="20"/>
        <v>46228</v>
      </c>
      <c r="J96" s="67">
        <f t="shared" si="20"/>
        <v>46229</v>
      </c>
      <c r="K96" s="67">
        <f t="shared" si="20"/>
        <v>46230</v>
      </c>
      <c r="L96" s="67">
        <f t="shared" si="20"/>
        <v>46231</v>
      </c>
      <c r="M96" s="67">
        <f t="shared" si="20"/>
        <v>46232</v>
      </c>
      <c r="N96" s="67">
        <f t="shared" si="20"/>
        <v>46233</v>
      </c>
      <c r="O96" s="67">
        <f t="shared" si="20"/>
        <v>46234</v>
      </c>
      <c r="P96" s="67">
        <f t="shared" si="20"/>
        <v>46235</v>
      </c>
      <c r="Q96" s="67">
        <f t="shared" si="20"/>
        <v>46236</v>
      </c>
      <c r="R96" s="67">
        <f t="shared" si="20"/>
        <v>46237</v>
      </c>
      <c r="S96" s="67">
        <f t="shared" si="20"/>
        <v>46238</v>
      </c>
      <c r="T96" s="67">
        <f t="shared" si="20"/>
        <v>46239</v>
      </c>
      <c r="U96" s="67">
        <f t="shared" si="20"/>
        <v>46240</v>
      </c>
      <c r="V96" s="67">
        <f t="shared" si="20"/>
        <v>46241</v>
      </c>
      <c r="W96" s="67">
        <f t="shared" si="20"/>
        <v>46242</v>
      </c>
      <c r="X96" s="67">
        <f t="shared" si="20"/>
        <v>46243</v>
      </c>
      <c r="Y96" s="67">
        <f t="shared" si="20"/>
        <v>46244</v>
      </c>
      <c r="Z96" s="67">
        <f t="shared" si="20"/>
        <v>46245</v>
      </c>
      <c r="AA96" s="67">
        <f t="shared" si="20"/>
        <v>46246</v>
      </c>
      <c r="AB96" s="67">
        <f t="shared" si="20"/>
        <v>46247</v>
      </c>
      <c r="AC96" s="67">
        <f t="shared" si="20"/>
        <v>46248</v>
      </c>
      <c r="AD96" s="67">
        <f t="shared" si="20"/>
        <v>46249</v>
      </c>
      <c r="AE96" s="67">
        <f t="shared" si="20"/>
        <v>46250</v>
      </c>
      <c r="AF96" s="67">
        <f t="shared" si="20"/>
        <v>46251</v>
      </c>
      <c r="AG96" s="38">
        <f t="shared" si="20"/>
        <v>46252</v>
      </c>
      <c r="AH96" s="19"/>
      <c r="AI96" s="20"/>
      <c r="AJ96" s="20"/>
      <c r="AK96" s="20"/>
      <c r="AL96" s="20"/>
      <c r="AM96" s="20"/>
      <c r="AN96" s="20"/>
      <c r="AO96" s="20"/>
      <c r="AP96" s="20"/>
      <c r="AQ96" s="20"/>
      <c r="AR96" s="20"/>
      <c r="AS96" s="20"/>
      <c r="AT96" s="20"/>
      <c r="AU96" s="20"/>
      <c r="AV96" s="20"/>
    </row>
    <row r="97" spans="1:48" ht="18" customHeight="1">
      <c r="A97" s="35"/>
      <c r="B97" s="80" t="s">
        <v>53</v>
      </c>
      <c r="C97" s="81">
        <f>+C96</f>
        <v>46222</v>
      </c>
      <c r="D97" s="39">
        <f t="shared" si="20"/>
        <v>46223</v>
      </c>
      <c r="E97" s="39">
        <f t="shared" si="20"/>
        <v>46224</v>
      </c>
      <c r="F97" s="39">
        <f t="shared" si="20"/>
        <v>46225</v>
      </c>
      <c r="G97" s="39">
        <f t="shared" si="20"/>
        <v>46226</v>
      </c>
      <c r="H97" s="39">
        <f t="shared" si="20"/>
        <v>46227</v>
      </c>
      <c r="I97" s="39">
        <f t="shared" si="20"/>
        <v>46228</v>
      </c>
      <c r="J97" s="39">
        <f t="shared" si="20"/>
        <v>46229</v>
      </c>
      <c r="K97" s="39">
        <f t="shared" si="20"/>
        <v>46230</v>
      </c>
      <c r="L97" s="39">
        <f t="shared" si="20"/>
        <v>46231</v>
      </c>
      <c r="M97" s="39">
        <f t="shared" si="20"/>
        <v>46232</v>
      </c>
      <c r="N97" s="39">
        <f t="shared" si="20"/>
        <v>46233</v>
      </c>
      <c r="O97" s="39">
        <f t="shared" si="20"/>
        <v>46234</v>
      </c>
      <c r="P97" s="39">
        <f t="shared" si="20"/>
        <v>46235</v>
      </c>
      <c r="Q97" s="39">
        <f t="shared" si="20"/>
        <v>46236</v>
      </c>
      <c r="R97" s="39">
        <f t="shared" si="20"/>
        <v>46237</v>
      </c>
      <c r="S97" s="39">
        <f t="shared" si="20"/>
        <v>46238</v>
      </c>
      <c r="T97" s="39">
        <f t="shared" si="20"/>
        <v>46239</v>
      </c>
      <c r="U97" s="39">
        <f t="shared" si="20"/>
        <v>46240</v>
      </c>
      <c r="V97" s="39">
        <f t="shared" si="20"/>
        <v>46241</v>
      </c>
      <c r="W97" s="39">
        <f t="shared" si="20"/>
        <v>46242</v>
      </c>
      <c r="X97" s="39">
        <f t="shared" si="20"/>
        <v>46243</v>
      </c>
      <c r="Y97" s="39">
        <f t="shared" si="20"/>
        <v>46244</v>
      </c>
      <c r="Z97" s="39">
        <f t="shared" si="20"/>
        <v>46245</v>
      </c>
      <c r="AA97" s="39">
        <f t="shared" si="20"/>
        <v>46246</v>
      </c>
      <c r="AB97" s="39">
        <f t="shared" si="20"/>
        <v>46247</v>
      </c>
      <c r="AC97" s="39">
        <f t="shared" si="20"/>
        <v>46248</v>
      </c>
      <c r="AD97" s="39">
        <f t="shared" si="20"/>
        <v>46249</v>
      </c>
      <c r="AE97" s="39">
        <f t="shared" si="20"/>
        <v>46250</v>
      </c>
      <c r="AF97" s="39">
        <f t="shared" si="20"/>
        <v>46251</v>
      </c>
      <c r="AG97" s="40">
        <f t="shared" si="20"/>
        <v>46252</v>
      </c>
      <c r="AH97" s="19"/>
      <c r="AI97" s="20"/>
      <c r="AJ97" s="20"/>
      <c r="AK97" s="20"/>
      <c r="AL97" s="20"/>
      <c r="AM97" s="20"/>
      <c r="AN97" s="20"/>
      <c r="AO97" s="20"/>
      <c r="AP97" s="20"/>
      <c r="AQ97" s="20"/>
      <c r="AR97" s="20"/>
      <c r="AS97" s="20"/>
      <c r="AT97" s="20"/>
      <c r="AU97" s="20"/>
      <c r="AV97" s="20"/>
    </row>
    <row r="98" spans="1:48" ht="18" customHeight="1">
      <c r="A98" s="411" t="str">
        <f>IF(C95="","","５か月目")</f>
        <v>５か月目</v>
      </c>
      <c r="B98" s="41"/>
      <c r="C98" s="412" t="str">
        <f t="shared" ref="C98:AE98" si="21">IF(C$97="","",IF(C$97=$K$153,"ハローワーク来所日④",""))</f>
        <v/>
      </c>
      <c r="D98" s="399" t="str">
        <f t="shared" si="21"/>
        <v/>
      </c>
      <c r="E98" s="399"/>
      <c r="F98" s="399" t="s">
        <v>405</v>
      </c>
      <c r="G98" s="399" t="s">
        <v>405</v>
      </c>
      <c r="H98" s="399" t="s">
        <v>398</v>
      </c>
      <c r="I98" s="399" t="str">
        <f t="shared" si="21"/>
        <v/>
      </c>
      <c r="J98" s="399" t="str">
        <f t="shared" si="21"/>
        <v/>
      </c>
      <c r="K98" s="399" t="s">
        <v>406</v>
      </c>
      <c r="L98" s="399" t="str">
        <f t="shared" si="21"/>
        <v>ハローワーク来所日④</v>
      </c>
      <c r="M98" s="399" t="str">
        <f t="shared" si="21"/>
        <v/>
      </c>
      <c r="N98" s="399" t="s">
        <v>307</v>
      </c>
      <c r="O98" s="399" t="s">
        <v>407</v>
      </c>
      <c r="P98" s="399" t="str">
        <f t="shared" si="21"/>
        <v/>
      </c>
      <c r="Q98" s="399" t="str">
        <f t="shared" si="21"/>
        <v/>
      </c>
      <c r="R98" s="399" t="s">
        <v>407</v>
      </c>
      <c r="S98" s="399" t="s">
        <v>407</v>
      </c>
      <c r="T98" s="399" t="s">
        <v>408</v>
      </c>
      <c r="U98" s="399" t="s">
        <v>407</v>
      </c>
      <c r="V98" s="399" t="s">
        <v>409</v>
      </c>
      <c r="W98" s="399" t="str">
        <f t="shared" si="21"/>
        <v/>
      </c>
      <c r="X98" s="399" t="str">
        <f t="shared" si="21"/>
        <v/>
      </c>
      <c r="Y98" s="399" t="s">
        <v>409</v>
      </c>
      <c r="Z98" s="399" t="str">
        <f t="shared" si="21"/>
        <v/>
      </c>
      <c r="AA98" s="399"/>
      <c r="AB98" s="399"/>
      <c r="AC98" s="399"/>
      <c r="AD98" s="399" t="str">
        <f t="shared" si="21"/>
        <v/>
      </c>
      <c r="AE98" s="399" t="str">
        <f t="shared" si="21"/>
        <v/>
      </c>
      <c r="AF98" s="399" t="s">
        <v>409</v>
      </c>
      <c r="AG98" s="402" t="s">
        <v>410</v>
      </c>
      <c r="AH98" s="211">
        <v>1</v>
      </c>
      <c r="AI98" s="20"/>
      <c r="AJ98" s="20"/>
      <c r="AK98" s="20"/>
      <c r="AL98" s="20"/>
      <c r="AM98" s="20"/>
      <c r="AN98" s="20"/>
      <c r="AO98" s="20"/>
      <c r="AP98" s="20"/>
      <c r="AQ98" s="20"/>
      <c r="AR98" s="20"/>
      <c r="AS98" s="20"/>
      <c r="AT98" s="20"/>
      <c r="AU98" s="20"/>
      <c r="AV98" s="20"/>
    </row>
    <row r="99" spans="1:48" ht="18" customHeight="1">
      <c r="A99" s="411"/>
      <c r="B99" s="41"/>
      <c r="C99" s="413"/>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3"/>
      <c r="AH99" s="211">
        <v>2</v>
      </c>
      <c r="AI99" s="20"/>
      <c r="AJ99" s="20"/>
      <c r="AK99" s="20"/>
      <c r="AL99" s="20"/>
      <c r="AM99" s="20"/>
      <c r="AN99" s="20"/>
      <c r="AO99" s="20"/>
      <c r="AP99" s="20"/>
      <c r="AQ99" s="20"/>
      <c r="AR99" s="20"/>
      <c r="AS99" s="20"/>
      <c r="AT99" s="20"/>
      <c r="AU99" s="20"/>
      <c r="AV99" s="20"/>
    </row>
    <row r="100" spans="1:48" ht="18" customHeight="1">
      <c r="A100" s="411"/>
      <c r="B100" s="41" t="s">
        <v>58</v>
      </c>
      <c r="C100" s="413"/>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3"/>
      <c r="AH100" s="211">
        <v>3</v>
      </c>
      <c r="AI100" s="20"/>
      <c r="AJ100" s="20"/>
      <c r="AK100" s="20"/>
      <c r="AL100" s="20"/>
      <c r="AM100" s="20"/>
      <c r="AN100" s="20"/>
      <c r="AO100" s="20"/>
      <c r="AP100" s="20"/>
      <c r="AQ100" s="20"/>
      <c r="AR100" s="20"/>
      <c r="AS100" s="20"/>
      <c r="AT100" s="20"/>
      <c r="AU100" s="20"/>
      <c r="AV100" s="20"/>
    </row>
    <row r="101" spans="1:48" ht="18" customHeight="1">
      <c r="A101" s="411"/>
      <c r="B101" s="41"/>
      <c r="C101" s="413"/>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3"/>
      <c r="AH101" s="211">
        <v>4</v>
      </c>
      <c r="AI101" s="20"/>
      <c r="AJ101" s="20"/>
      <c r="AK101" s="20"/>
      <c r="AL101" s="20"/>
      <c r="AM101" s="20"/>
      <c r="AN101" s="20"/>
      <c r="AO101" s="20"/>
      <c r="AP101" s="20"/>
      <c r="AQ101" s="20"/>
      <c r="AR101" s="20"/>
      <c r="AS101" s="20"/>
      <c r="AT101" s="20"/>
      <c r="AU101" s="20"/>
      <c r="AV101" s="20"/>
    </row>
    <row r="102" spans="1:48" ht="18" customHeight="1">
      <c r="A102" s="411"/>
      <c r="B102" s="41" t="s">
        <v>59</v>
      </c>
      <c r="C102" s="413"/>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3"/>
      <c r="AH102" s="211">
        <v>5</v>
      </c>
      <c r="AI102" s="20"/>
      <c r="AJ102" s="20"/>
      <c r="AK102" s="20"/>
      <c r="AL102" s="20"/>
      <c r="AM102" s="20"/>
      <c r="AN102" s="20"/>
      <c r="AO102" s="20"/>
      <c r="AP102" s="20"/>
      <c r="AQ102" s="20"/>
      <c r="AR102" s="20"/>
      <c r="AS102" s="20"/>
      <c r="AT102" s="20"/>
      <c r="AU102" s="20"/>
      <c r="AV102" s="20"/>
    </row>
    <row r="103" spans="1:48" ht="18" customHeight="1">
      <c r="A103" s="411"/>
      <c r="B103" s="41"/>
      <c r="C103" s="413"/>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3"/>
      <c r="AH103" s="212">
        <v>6</v>
      </c>
      <c r="AI103" s="20"/>
      <c r="AJ103" s="20"/>
      <c r="AK103" s="20"/>
      <c r="AL103" s="20"/>
      <c r="AM103" s="20"/>
      <c r="AN103" s="20"/>
      <c r="AO103" s="20"/>
      <c r="AP103" s="20"/>
      <c r="AQ103" s="20"/>
      <c r="AR103" s="20"/>
      <c r="AS103" s="20"/>
      <c r="AT103" s="20"/>
      <c r="AU103" s="20"/>
      <c r="AV103" s="20"/>
    </row>
    <row r="104" spans="1:48" ht="18" hidden="1" customHeight="1">
      <c r="A104" s="411"/>
      <c r="B104" s="41"/>
      <c r="C104" s="413"/>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3"/>
      <c r="AH104" s="213">
        <v>7</v>
      </c>
      <c r="AI104" s="20"/>
      <c r="AJ104" s="20"/>
      <c r="AK104" s="20"/>
      <c r="AL104" s="20"/>
      <c r="AM104" s="20"/>
      <c r="AN104" s="20"/>
      <c r="AO104" s="20"/>
      <c r="AP104" s="20"/>
      <c r="AQ104" s="20"/>
      <c r="AR104" s="20"/>
      <c r="AS104" s="20"/>
      <c r="AT104" s="20"/>
      <c r="AU104" s="20"/>
      <c r="AV104" s="20"/>
    </row>
    <row r="105" spans="1:48" ht="18" customHeight="1">
      <c r="A105" s="411"/>
      <c r="B105" s="41" t="s">
        <v>60</v>
      </c>
      <c r="C105" s="413"/>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3"/>
      <c r="AH105" s="212">
        <v>8</v>
      </c>
      <c r="AI105" s="20"/>
      <c r="AJ105" s="20"/>
      <c r="AK105" s="20"/>
      <c r="AL105" s="20"/>
      <c r="AM105" s="20"/>
      <c r="AN105" s="20"/>
      <c r="AO105" s="20"/>
      <c r="AP105" s="20"/>
      <c r="AQ105" s="20"/>
      <c r="AR105" s="20"/>
      <c r="AS105" s="20"/>
      <c r="AT105" s="20"/>
      <c r="AU105" s="20"/>
      <c r="AV105" s="20"/>
    </row>
    <row r="106" spans="1:48" ht="18" customHeight="1">
      <c r="A106" s="411"/>
      <c r="B106" s="41"/>
      <c r="C106" s="413"/>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3"/>
      <c r="AH106" s="211">
        <v>9</v>
      </c>
      <c r="AI106" s="20"/>
      <c r="AJ106" s="20"/>
      <c r="AK106" s="20"/>
      <c r="AL106" s="20"/>
      <c r="AM106" s="20"/>
      <c r="AN106" s="20"/>
      <c r="AO106" s="20"/>
      <c r="AP106" s="20"/>
      <c r="AQ106" s="20"/>
      <c r="AR106" s="20"/>
      <c r="AS106" s="20"/>
      <c r="AT106" s="20"/>
      <c r="AU106" s="20"/>
      <c r="AV106" s="20"/>
    </row>
    <row r="107" spans="1:48" ht="18" customHeight="1">
      <c r="A107" s="411"/>
      <c r="B107" s="41" t="s">
        <v>61</v>
      </c>
      <c r="C107" s="413"/>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3"/>
      <c r="AH107" s="211">
        <v>10</v>
      </c>
      <c r="AI107" s="20"/>
      <c r="AJ107" s="20"/>
      <c r="AK107" s="20"/>
      <c r="AL107" s="20"/>
      <c r="AM107" s="20"/>
      <c r="AN107" s="20"/>
      <c r="AO107" s="20"/>
      <c r="AP107" s="20"/>
      <c r="AQ107" s="20"/>
      <c r="AR107" s="20"/>
      <c r="AS107" s="20"/>
      <c r="AT107" s="20"/>
      <c r="AU107" s="20"/>
      <c r="AV107" s="20"/>
    </row>
    <row r="108" spans="1:48" ht="18" customHeight="1">
      <c r="A108" s="411"/>
      <c r="B108" s="41"/>
      <c r="C108" s="413"/>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3"/>
      <c r="AH108" s="211">
        <v>11</v>
      </c>
      <c r="AI108" s="20"/>
      <c r="AJ108" s="20"/>
      <c r="AK108" s="20"/>
      <c r="AL108" s="20"/>
      <c r="AM108" s="20"/>
      <c r="AN108" s="20"/>
      <c r="AO108" s="20"/>
      <c r="AP108" s="20"/>
      <c r="AQ108" s="20"/>
      <c r="AR108" s="20"/>
      <c r="AS108" s="20"/>
      <c r="AT108" s="20"/>
      <c r="AU108" s="20"/>
      <c r="AV108" s="20"/>
    </row>
    <row r="109" spans="1:48" ht="18" customHeight="1">
      <c r="A109" s="411"/>
      <c r="B109" s="41"/>
      <c r="C109" s="414"/>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4"/>
      <c r="AH109" s="211">
        <v>12</v>
      </c>
      <c r="AI109" s="20"/>
      <c r="AJ109" s="20"/>
      <c r="AK109" s="20"/>
      <c r="AL109" s="20"/>
      <c r="AM109" s="20"/>
      <c r="AN109" s="20"/>
      <c r="AO109" s="20"/>
      <c r="AP109" s="20"/>
      <c r="AQ109" s="20"/>
      <c r="AR109" s="20"/>
      <c r="AS109" s="20"/>
      <c r="AT109" s="20"/>
      <c r="AU109" s="20"/>
      <c r="AV109" s="20"/>
    </row>
    <row r="110" spans="1:48" ht="18" customHeight="1">
      <c r="A110" s="35"/>
      <c r="B110" s="48" t="s">
        <v>63</v>
      </c>
      <c r="C110" s="43"/>
      <c r="D110" s="44"/>
      <c r="E110" s="44"/>
      <c r="F110" s="44"/>
      <c r="G110" s="44"/>
      <c r="H110" s="49"/>
      <c r="I110" s="49"/>
      <c r="J110" s="44"/>
      <c r="K110" s="44" t="s">
        <v>64</v>
      </c>
      <c r="L110" s="44"/>
      <c r="M110" s="44"/>
      <c r="N110" s="44"/>
      <c r="O110" s="49"/>
      <c r="P110" s="49"/>
      <c r="Q110" s="44"/>
      <c r="R110" s="44"/>
      <c r="S110" s="44"/>
      <c r="T110" s="49"/>
      <c r="U110" s="49"/>
      <c r="V110" s="49"/>
      <c r="W110" s="49"/>
      <c r="X110" s="44"/>
      <c r="Y110" s="44"/>
      <c r="Z110" s="44"/>
      <c r="AA110" s="44"/>
      <c r="AB110" s="49"/>
      <c r="AC110" s="49"/>
      <c r="AD110" s="44"/>
      <c r="AE110" s="44"/>
      <c r="AF110" s="44"/>
      <c r="AG110" s="50"/>
      <c r="AH110" s="132" t="str">
        <f>IF(AI110="","","←")</f>
        <v/>
      </c>
      <c r="AI110" s="415" t="str">
        <f>IF(C97="","",IF(COUNTA(C110:AG110)&gt;=1,"","成績考査もれ"))</f>
        <v/>
      </c>
      <c r="AJ110" s="415"/>
      <c r="AK110" s="20"/>
      <c r="AL110" s="20"/>
      <c r="AM110" s="20"/>
      <c r="AN110" s="20"/>
      <c r="AO110" s="20"/>
      <c r="AP110" s="20"/>
      <c r="AQ110" s="20"/>
      <c r="AR110" s="20"/>
      <c r="AS110" s="20"/>
      <c r="AT110" s="20"/>
      <c r="AU110" s="20"/>
      <c r="AV110" s="20"/>
    </row>
    <row r="111" spans="1:48" ht="18" customHeight="1">
      <c r="A111" s="35"/>
      <c r="B111" s="51" t="s">
        <v>65</v>
      </c>
      <c r="C111" s="52"/>
      <c r="D111" s="53"/>
      <c r="E111" s="53"/>
      <c r="F111" s="53"/>
      <c r="G111" s="53"/>
      <c r="H111" s="54"/>
      <c r="I111" s="54"/>
      <c r="J111" s="53"/>
      <c r="K111" s="53"/>
      <c r="L111" s="53"/>
      <c r="M111" s="53"/>
      <c r="N111" s="53"/>
      <c r="O111" s="54"/>
      <c r="P111" s="54"/>
      <c r="Q111" s="53"/>
      <c r="R111" s="53"/>
      <c r="S111" s="53"/>
      <c r="T111" s="54"/>
      <c r="U111" s="54"/>
      <c r="V111" s="54"/>
      <c r="W111" s="54"/>
      <c r="X111" s="53"/>
      <c r="Y111" s="53"/>
      <c r="Z111" s="53"/>
      <c r="AA111" s="53"/>
      <c r="AB111" s="54"/>
      <c r="AC111" s="54"/>
      <c r="AD111" s="53"/>
      <c r="AE111" s="53"/>
      <c r="AF111" s="53"/>
      <c r="AG111" s="71"/>
      <c r="AH111" s="132" t="str">
        <f>IF(AI111="","","←")</f>
        <v/>
      </c>
      <c r="AI111" s="416" t="str">
        <f>[9]機構処理!BI89</f>
        <v/>
      </c>
      <c r="AJ111" s="416"/>
      <c r="AK111" s="82"/>
      <c r="AL111" s="82"/>
      <c r="AM111" s="82"/>
      <c r="AN111" s="82"/>
      <c r="AO111" s="82"/>
      <c r="AP111" s="20"/>
      <c r="AQ111" s="20"/>
      <c r="AR111" s="20"/>
      <c r="AS111" s="20"/>
      <c r="AT111" s="20"/>
      <c r="AU111" s="20"/>
      <c r="AV111" s="20"/>
    </row>
    <row r="112" spans="1:48" ht="18" customHeight="1">
      <c r="A112" s="35"/>
      <c r="B112" s="407" t="s">
        <v>66</v>
      </c>
      <c r="C112" s="56"/>
      <c r="D112" s="57"/>
      <c r="E112" s="57"/>
      <c r="F112" s="57">
        <v>6</v>
      </c>
      <c r="G112" s="57">
        <v>6</v>
      </c>
      <c r="H112" s="57">
        <v>6</v>
      </c>
      <c r="I112" s="57"/>
      <c r="J112" s="57"/>
      <c r="K112" s="57">
        <v>6</v>
      </c>
      <c r="L112" s="57"/>
      <c r="M112" s="57"/>
      <c r="N112" s="57">
        <v>6</v>
      </c>
      <c r="O112" s="57">
        <v>6</v>
      </c>
      <c r="P112" s="57"/>
      <c r="Q112" s="57"/>
      <c r="R112" s="57">
        <v>6</v>
      </c>
      <c r="S112" s="57">
        <v>6</v>
      </c>
      <c r="T112" s="57">
        <v>6</v>
      </c>
      <c r="U112" s="57">
        <v>6</v>
      </c>
      <c r="V112" s="57">
        <v>6</v>
      </c>
      <c r="W112" s="57"/>
      <c r="X112" s="57"/>
      <c r="Y112" s="57">
        <v>6</v>
      </c>
      <c r="Z112" s="57"/>
      <c r="AA112" s="57"/>
      <c r="AB112" s="57"/>
      <c r="AC112" s="57"/>
      <c r="AD112" s="57"/>
      <c r="AE112" s="57"/>
      <c r="AF112" s="57">
        <v>6</v>
      </c>
      <c r="AG112" s="73">
        <v>6</v>
      </c>
      <c r="AH112" s="212">
        <v>1</v>
      </c>
      <c r="AI112" s="83"/>
      <c r="AJ112" s="83"/>
      <c r="AK112" s="83"/>
      <c r="AL112" s="83"/>
      <c r="AM112" s="83"/>
      <c r="AN112" s="20"/>
      <c r="AO112" s="20"/>
      <c r="AP112" s="20"/>
      <c r="AQ112" s="20"/>
      <c r="AR112" s="20"/>
      <c r="AS112" s="20"/>
      <c r="AT112" s="20"/>
      <c r="AU112" s="20"/>
      <c r="AV112" s="20"/>
    </row>
    <row r="113" spans="1:48" ht="18" hidden="1" customHeight="1">
      <c r="A113" s="35"/>
      <c r="B113" s="408"/>
      <c r="C113" s="60"/>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74"/>
      <c r="AH113" s="213">
        <v>2</v>
      </c>
      <c r="AI113" s="84"/>
      <c r="AJ113" s="84"/>
      <c r="AK113" s="84"/>
      <c r="AL113" s="84"/>
      <c r="AM113" s="84"/>
      <c r="AN113" s="20"/>
      <c r="AO113" s="20"/>
      <c r="AP113" s="20"/>
      <c r="AQ113" s="20"/>
      <c r="AR113" s="20"/>
      <c r="AS113" s="20"/>
      <c r="AT113" s="20"/>
      <c r="AU113" s="20"/>
      <c r="AV113" s="20"/>
    </row>
    <row r="114" spans="1:48" ht="18" customHeight="1">
      <c r="A114" s="63"/>
      <c r="B114" s="409"/>
      <c r="C114" s="253"/>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c r="AA114" s="254"/>
      <c r="AB114" s="254"/>
      <c r="AC114" s="254"/>
      <c r="AD114" s="254"/>
      <c r="AE114" s="254"/>
      <c r="AF114" s="254"/>
      <c r="AG114" s="256"/>
      <c r="AH114" s="212">
        <v>3</v>
      </c>
      <c r="AI114" s="410" t="str">
        <f>IF(C95="","","土日祝の訓練日数⇒")</f>
        <v>土日祝の訓練日数⇒</v>
      </c>
      <c r="AJ114" s="410"/>
      <c r="AK114" s="69">
        <f>IF(C95="","",[9]機構処理!BF53)</f>
        <v>0</v>
      </c>
      <c r="AL114" s="69" t="str">
        <f>IF(C95="","","日")</f>
        <v>日</v>
      </c>
      <c r="AM114" s="64"/>
      <c r="AN114" s="20"/>
      <c r="AO114" s="20"/>
      <c r="AP114" s="20"/>
      <c r="AQ114" s="20"/>
      <c r="AR114" s="20"/>
      <c r="AS114" s="20"/>
      <c r="AT114" s="20"/>
      <c r="AU114" s="20"/>
      <c r="AV114" s="20"/>
    </row>
    <row r="115" spans="1:48" ht="14.4">
      <c r="A115" s="85"/>
      <c r="B115" s="15"/>
      <c r="C115" s="28" t="str">
        <f t="shared" ref="C115:AG115" si="22">IF(C118="","",IF(C118=訓練終了日,"修了日",""))</f>
        <v/>
      </c>
      <c r="D115" s="28" t="str">
        <f t="shared" si="22"/>
        <v/>
      </c>
      <c r="E115" s="28" t="str">
        <f t="shared" si="22"/>
        <v/>
      </c>
      <c r="F115" s="28" t="str">
        <f t="shared" si="22"/>
        <v/>
      </c>
      <c r="G115" s="28" t="str">
        <f t="shared" si="22"/>
        <v/>
      </c>
      <c r="H115" s="28" t="str">
        <f t="shared" si="22"/>
        <v/>
      </c>
      <c r="I115" s="28" t="str">
        <f t="shared" si="22"/>
        <v/>
      </c>
      <c r="J115" s="28" t="str">
        <f t="shared" si="22"/>
        <v/>
      </c>
      <c r="K115" s="28" t="str">
        <f t="shared" si="22"/>
        <v/>
      </c>
      <c r="L115" s="28" t="str">
        <f t="shared" si="22"/>
        <v/>
      </c>
      <c r="M115" s="28" t="str">
        <f t="shared" si="22"/>
        <v/>
      </c>
      <c r="N115" s="28" t="str">
        <f t="shared" si="22"/>
        <v/>
      </c>
      <c r="O115" s="28" t="str">
        <f t="shared" si="22"/>
        <v/>
      </c>
      <c r="P115" s="28" t="str">
        <f t="shared" si="22"/>
        <v/>
      </c>
      <c r="Q115" s="28" t="str">
        <f t="shared" si="22"/>
        <v/>
      </c>
      <c r="R115" s="28" t="str">
        <f t="shared" si="22"/>
        <v/>
      </c>
      <c r="S115" s="28" t="str">
        <f t="shared" si="22"/>
        <v/>
      </c>
      <c r="T115" s="28" t="str">
        <f t="shared" si="22"/>
        <v/>
      </c>
      <c r="U115" s="28" t="str">
        <f t="shared" si="22"/>
        <v/>
      </c>
      <c r="V115" s="28" t="str">
        <f t="shared" si="22"/>
        <v/>
      </c>
      <c r="W115" s="28" t="str">
        <f t="shared" si="22"/>
        <v/>
      </c>
      <c r="X115" s="28" t="str">
        <f t="shared" si="22"/>
        <v/>
      </c>
      <c r="Y115" s="28" t="str">
        <f t="shared" si="22"/>
        <v/>
      </c>
      <c r="Z115" s="28" t="str">
        <f t="shared" si="22"/>
        <v/>
      </c>
      <c r="AA115" s="28" t="str">
        <f t="shared" si="22"/>
        <v/>
      </c>
      <c r="AB115" s="28" t="str">
        <f t="shared" si="22"/>
        <v/>
      </c>
      <c r="AC115" s="28" t="str">
        <f t="shared" si="22"/>
        <v/>
      </c>
      <c r="AD115" s="28" t="str">
        <f t="shared" si="22"/>
        <v/>
      </c>
      <c r="AE115" s="28" t="str">
        <f t="shared" si="22"/>
        <v/>
      </c>
      <c r="AF115" s="28" t="str">
        <f t="shared" si="22"/>
        <v/>
      </c>
      <c r="AG115" s="28" t="str">
        <f t="shared" si="22"/>
        <v>修了日</v>
      </c>
      <c r="AH115" s="19"/>
      <c r="AI115" s="86"/>
      <c r="AJ115" s="86"/>
      <c r="AK115" s="86"/>
      <c r="AL115" s="86"/>
      <c r="AM115" s="86"/>
      <c r="AN115" s="20"/>
      <c r="AO115" s="20"/>
      <c r="AP115" s="20"/>
      <c r="AQ115" s="20"/>
      <c r="AR115" s="20"/>
      <c r="AS115" s="20"/>
      <c r="AT115" s="20"/>
      <c r="AU115" s="20"/>
      <c r="AV115" s="20"/>
    </row>
    <row r="116" spans="1:48" ht="18" customHeight="1">
      <c r="A116" s="77"/>
      <c r="B116" s="31" t="s">
        <v>51</v>
      </c>
      <c r="C116" s="32">
        <f>IF(C95="","",IF(COUNTIF(C94:AG94,"修了日")=1,"",EDATE(C95,1)))</f>
        <v>46253</v>
      </c>
      <c r="D116" s="33">
        <f t="shared" ref="D116:AD116" si="23">IF(OR(C116="",C115="修了日"),"",C116+1)</f>
        <v>46254</v>
      </c>
      <c r="E116" s="33">
        <f t="shared" si="23"/>
        <v>46255</v>
      </c>
      <c r="F116" s="33">
        <f t="shared" si="23"/>
        <v>46256</v>
      </c>
      <c r="G116" s="33">
        <f t="shared" si="23"/>
        <v>46257</v>
      </c>
      <c r="H116" s="33">
        <f t="shared" si="23"/>
        <v>46258</v>
      </c>
      <c r="I116" s="33">
        <f t="shared" si="23"/>
        <v>46259</v>
      </c>
      <c r="J116" s="33">
        <f t="shared" si="23"/>
        <v>46260</v>
      </c>
      <c r="K116" s="33">
        <f t="shared" si="23"/>
        <v>46261</v>
      </c>
      <c r="L116" s="33">
        <f t="shared" si="23"/>
        <v>46262</v>
      </c>
      <c r="M116" s="33">
        <f t="shared" si="23"/>
        <v>46263</v>
      </c>
      <c r="N116" s="33">
        <f t="shared" si="23"/>
        <v>46264</v>
      </c>
      <c r="O116" s="33">
        <f t="shared" si="23"/>
        <v>46265</v>
      </c>
      <c r="P116" s="33">
        <f t="shared" si="23"/>
        <v>46266</v>
      </c>
      <c r="Q116" s="33">
        <f t="shared" si="23"/>
        <v>46267</v>
      </c>
      <c r="R116" s="33">
        <f t="shared" si="23"/>
        <v>46268</v>
      </c>
      <c r="S116" s="33">
        <f t="shared" si="23"/>
        <v>46269</v>
      </c>
      <c r="T116" s="33">
        <f t="shared" si="23"/>
        <v>46270</v>
      </c>
      <c r="U116" s="33">
        <f t="shared" si="23"/>
        <v>46271</v>
      </c>
      <c r="V116" s="33">
        <f t="shared" si="23"/>
        <v>46272</v>
      </c>
      <c r="W116" s="33">
        <f t="shared" si="23"/>
        <v>46273</v>
      </c>
      <c r="X116" s="33">
        <f t="shared" si="23"/>
        <v>46274</v>
      </c>
      <c r="Y116" s="33">
        <f t="shared" si="23"/>
        <v>46275</v>
      </c>
      <c r="Z116" s="33">
        <f t="shared" si="23"/>
        <v>46276</v>
      </c>
      <c r="AA116" s="33">
        <f t="shared" si="23"/>
        <v>46277</v>
      </c>
      <c r="AB116" s="33">
        <f t="shared" si="23"/>
        <v>46278</v>
      </c>
      <c r="AC116" s="33">
        <f t="shared" si="23"/>
        <v>46279</v>
      </c>
      <c r="AD116" s="33">
        <f t="shared" si="23"/>
        <v>46280</v>
      </c>
      <c r="AE116" s="33">
        <f>IF(OR(AD116="",AD115="修了日"),"",IF(AND(DAY(DATE(YEAR(C116),2,29))=29,MONTH(C116)=2),AD116+1,IF(MONTH(C116)=2,"",AD116+1)))</f>
        <v>46281</v>
      </c>
      <c r="AF116" s="33">
        <f>IF(OR(AE116="",AE115="修了日"),"",IF(MONTH(C116)=2,"",AE116+1))</f>
        <v>46282</v>
      </c>
      <c r="AG116" s="65">
        <f>IF(OR(AF116="",AF115="修了日"),"",IF(OR(MONTH(C116)=2,MONTH(C116)=4,MONTH(C116)=6,MONTH(C116)=9,MONTH(C116)=11),"",AF116+1))</f>
        <v>46283</v>
      </c>
      <c r="AH116" s="19"/>
      <c r="AI116" s="86"/>
      <c r="AJ116" s="86"/>
      <c r="AK116" s="86"/>
      <c r="AL116" s="86"/>
      <c r="AM116" s="86"/>
      <c r="AN116" s="20"/>
      <c r="AO116" s="20"/>
      <c r="AP116" s="20"/>
      <c r="AQ116" s="20"/>
      <c r="AR116" s="20"/>
      <c r="AS116" s="20"/>
      <c r="AT116" s="20"/>
      <c r="AU116" s="20"/>
      <c r="AV116" s="20"/>
    </row>
    <row r="117" spans="1:48" ht="18" customHeight="1">
      <c r="A117" s="35"/>
      <c r="B117" s="31" t="s">
        <v>52</v>
      </c>
      <c r="C117" s="67">
        <f>+C116</f>
        <v>46253</v>
      </c>
      <c r="D117" s="67">
        <f t="shared" ref="D117:AG118" si="24">IF(D116="","",+D116)</f>
        <v>46254</v>
      </c>
      <c r="E117" s="67">
        <f t="shared" si="24"/>
        <v>46255</v>
      </c>
      <c r="F117" s="67">
        <f t="shared" si="24"/>
        <v>46256</v>
      </c>
      <c r="G117" s="67">
        <f t="shared" si="24"/>
        <v>46257</v>
      </c>
      <c r="H117" s="67">
        <f t="shared" si="24"/>
        <v>46258</v>
      </c>
      <c r="I117" s="67">
        <f t="shared" si="24"/>
        <v>46259</v>
      </c>
      <c r="J117" s="67">
        <f t="shared" si="24"/>
        <v>46260</v>
      </c>
      <c r="K117" s="67">
        <f t="shared" si="24"/>
        <v>46261</v>
      </c>
      <c r="L117" s="67">
        <f t="shared" si="24"/>
        <v>46262</v>
      </c>
      <c r="M117" s="67">
        <f t="shared" si="24"/>
        <v>46263</v>
      </c>
      <c r="N117" s="67">
        <f t="shared" si="24"/>
        <v>46264</v>
      </c>
      <c r="O117" s="67">
        <f t="shared" si="24"/>
        <v>46265</v>
      </c>
      <c r="P117" s="67">
        <f t="shared" si="24"/>
        <v>46266</v>
      </c>
      <c r="Q117" s="67">
        <f t="shared" si="24"/>
        <v>46267</v>
      </c>
      <c r="R117" s="67">
        <f t="shared" si="24"/>
        <v>46268</v>
      </c>
      <c r="S117" s="67">
        <f t="shared" si="24"/>
        <v>46269</v>
      </c>
      <c r="T117" s="67">
        <f t="shared" si="24"/>
        <v>46270</v>
      </c>
      <c r="U117" s="67">
        <f t="shared" si="24"/>
        <v>46271</v>
      </c>
      <c r="V117" s="67">
        <f t="shared" si="24"/>
        <v>46272</v>
      </c>
      <c r="W117" s="67">
        <f t="shared" si="24"/>
        <v>46273</v>
      </c>
      <c r="X117" s="67">
        <f t="shared" si="24"/>
        <v>46274</v>
      </c>
      <c r="Y117" s="67">
        <f t="shared" si="24"/>
        <v>46275</v>
      </c>
      <c r="Z117" s="67">
        <f t="shared" si="24"/>
        <v>46276</v>
      </c>
      <c r="AA117" s="67">
        <f t="shared" si="24"/>
        <v>46277</v>
      </c>
      <c r="AB117" s="67">
        <f t="shared" si="24"/>
        <v>46278</v>
      </c>
      <c r="AC117" s="67">
        <f t="shared" si="24"/>
        <v>46279</v>
      </c>
      <c r="AD117" s="67">
        <f t="shared" si="24"/>
        <v>46280</v>
      </c>
      <c r="AE117" s="67">
        <f t="shared" si="24"/>
        <v>46281</v>
      </c>
      <c r="AF117" s="67">
        <f t="shared" si="24"/>
        <v>46282</v>
      </c>
      <c r="AG117" s="38">
        <f t="shared" si="24"/>
        <v>46283</v>
      </c>
      <c r="AH117" s="19"/>
      <c r="AI117" s="86"/>
      <c r="AJ117" s="86"/>
      <c r="AK117" s="86"/>
      <c r="AL117" s="86"/>
      <c r="AM117" s="86"/>
      <c r="AN117" s="20"/>
      <c r="AO117" s="20"/>
      <c r="AP117" s="20"/>
      <c r="AQ117" s="20"/>
      <c r="AR117" s="20"/>
      <c r="AS117" s="20"/>
      <c r="AT117" s="20"/>
      <c r="AU117" s="20"/>
      <c r="AV117" s="20"/>
    </row>
    <row r="118" spans="1:48" ht="18" customHeight="1">
      <c r="A118" s="35"/>
      <c r="B118" s="31" t="s">
        <v>53</v>
      </c>
      <c r="C118" s="39">
        <f>+C117</f>
        <v>46253</v>
      </c>
      <c r="D118" s="39">
        <f t="shared" si="24"/>
        <v>46254</v>
      </c>
      <c r="E118" s="39">
        <f t="shared" si="24"/>
        <v>46255</v>
      </c>
      <c r="F118" s="39">
        <f t="shared" si="24"/>
        <v>46256</v>
      </c>
      <c r="G118" s="39">
        <f t="shared" si="24"/>
        <v>46257</v>
      </c>
      <c r="H118" s="39">
        <f t="shared" si="24"/>
        <v>46258</v>
      </c>
      <c r="I118" s="39">
        <f t="shared" si="24"/>
        <v>46259</v>
      </c>
      <c r="J118" s="39">
        <f t="shared" si="24"/>
        <v>46260</v>
      </c>
      <c r="K118" s="39">
        <f t="shared" si="24"/>
        <v>46261</v>
      </c>
      <c r="L118" s="39">
        <f t="shared" si="24"/>
        <v>46262</v>
      </c>
      <c r="M118" s="39">
        <f t="shared" si="24"/>
        <v>46263</v>
      </c>
      <c r="N118" s="39">
        <f t="shared" si="24"/>
        <v>46264</v>
      </c>
      <c r="O118" s="39">
        <f t="shared" si="24"/>
        <v>46265</v>
      </c>
      <c r="P118" s="39">
        <f t="shared" si="24"/>
        <v>46266</v>
      </c>
      <c r="Q118" s="39">
        <f t="shared" si="24"/>
        <v>46267</v>
      </c>
      <c r="R118" s="39">
        <f t="shared" si="24"/>
        <v>46268</v>
      </c>
      <c r="S118" s="39">
        <f t="shared" si="24"/>
        <v>46269</v>
      </c>
      <c r="T118" s="39">
        <f t="shared" si="24"/>
        <v>46270</v>
      </c>
      <c r="U118" s="39">
        <f t="shared" si="24"/>
        <v>46271</v>
      </c>
      <c r="V118" s="39">
        <f t="shared" si="24"/>
        <v>46272</v>
      </c>
      <c r="W118" s="39">
        <f t="shared" si="24"/>
        <v>46273</v>
      </c>
      <c r="X118" s="39">
        <f t="shared" si="24"/>
        <v>46274</v>
      </c>
      <c r="Y118" s="39">
        <f t="shared" si="24"/>
        <v>46275</v>
      </c>
      <c r="Z118" s="39">
        <f t="shared" si="24"/>
        <v>46276</v>
      </c>
      <c r="AA118" s="39">
        <f t="shared" si="24"/>
        <v>46277</v>
      </c>
      <c r="AB118" s="39">
        <f t="shared" si="24"/>
        <v>46278</v>
      </c>
      <c r="AC118" s="39">
        <f t="shared" si="24"/>
        <v>46279</v>
      </c>
      <c r="AD118" s="39">
        <f t="shared" si="24"/>
        <v>46280</v>
      </c>
      <c r="AE118" s="39">
        <f t="shared" si="24"/>
        <v>46281</v>
      </c>
      <c r="AF118" s="39">
        <f t="shared" si="24"/>
        <v>46282</v>
      </c>
      <c r="AG118" s="40">
        <f t="shared" si="24"/>
        <v>46283</v>
      </c>
      <c r="AH118" s="19"/>
      <c r="AI118" s="86"/>
      <c r="AJ118" s="86"/>
      <c r="AK118" s="86"/>
      <c r="AL118" s="86"/>
      <c r="AM118" s="86"/>
      <c r="AN118" s="20"/>
      <c r="AO118" s="20"/>
      <c r="AP118" s="20"/>
      <c r="AQ118" s="20"/>
      <c r="AR118" s="20"/>
      <c r="AS118" s="20"/>
      <c r="AT118" s="20"/>
      <c r="AU118" s="20"/>
      <c r="AV118" s="20"/>
    </row>
    <row r="119" spans="1:48" ht="18" customHeight="1">
      <c r="A119" s="411" t="str">
        <f>IF(C116="","","６か月目")</f>
        <v>６か月目</v>
      </c>
      <c r="B119" s="41"/>
      <c r="C119" s="412" t="s">
        <v>409</v>
      </c>
      <c r="D119" s="399" t="s">
        <v>409</v>
      </c>
      <c r="E119" s="399" t="s">
        <v>409</v>
      </c>
      <c r="F119" s="399" t="str">
        <f t="shared" ref="F119:AE119" si="25">IF(F$118="","",IF(F$118=$K$154,"ハローワーク来所日⑤",""))</f>
        <v/>
      </c>
      <c r="G119" s="399" t="str">
        <f t="shared" si="25"/>
        <v/>
      </c>
      <c r="H119" s="399" t="s">
        <v>409</v>
      </c>
      <c r="I119" s="399" t="str">
        <f t="shared" si="25"/>
        <v>ハローワーク来所日⑤</v>
      </c>
      <c r="J119" s="399" t="str">
        <f t="shared" si="25"/>
        <v/>
      </c>
      <c r="K119" s="399" t="s">
        <v>409</v>
      </c>
      <c r="L119" s="399" t="s">
        <v>409</v>
      </c>
      <c r="M119" s="399" t="s">
        <v>108</v>
      </c>
      <c r="N119" s="399" t="str">
        <f t="shared" si="25"/>
        <v/>
      </c>
      <c r="O119" s="399" t="s">
        <v>409</v>
      </c>
      <c r="P119" s="399" t="str">
        <f t="shared" si="25"/>
        <v/>
      </c>
      <c r="Q119" s="399" t="str">
        <f t="shared" si="25"/>
        <v/>
      </c>
      <c r="R119" s="399" t="s">
        <v>409</v>
      </c>
      <c r="S119" s="399" t="s">
        <v>409</v>
      </c>
      <c r="T119" s="399" t="s">
        <v>108</v>
      </c>
      <c r="U119" s="399" t="str">
        <f t="shared" si="25"/>
        <v/>
      </c>
      <c r="V119" s="399" t="s">
        <v>409</v>
      </c>
      <c r="W119" s="399" t="str">
        <f t="shared" si="25"/>
        <v/>
      </c>
      <c r="X119" s="399" t="str">
        <f t="shared" si="25"/>
        <v/>
      </c>
      <c r="Y119" s="399" t="s">
        <v>409</v>
      </c>
      <c r="Z119" s="399" t="s">
        <v>395</v>
      </c>
      <c r="AA119" s="399" t="str">
        <f t="shared" si="25"/>
        <v/>
      </c>
      <c r="AB119" s="399" t="str">
        <f t="shared" si="25"/>
        <v/>
      </c>
      <c r="AC119" s="399" t="s">
        <v>395</v>
      </c>
      <c r="AD119" s="399" t="str">
        <f t="shared" si="25"/>
        <v/>
      </c>
      <c r="AE119" s="399" t="str">
        <f t="shared" si="25"/>
        <v/>
      </c>
      <c r="AF119" s="399" t="s">
        <v>395</v>
      </c>
      <c r="AG119" s="402" t="s">
        <v>411</v>
      </c>
      <c r="AH119" s="211">
        <v>1</v>
      </c>
      <c r="AI119" s="86"/>
      <c r="AJ119" s="86"/>
      <c r="AK119" s="86"/>
      <c r="AL119" s="86"/>
      <c r="AM119" s="86"/>
      <c r="AN119" s="20"/>
      <c r="AO119" s="20"/>
      <c r="AP119" s="20"/>
      <c r="AQ119" s="20"/>
      <c r="AR119" s="20"/>
      <c r="AS119" s="20"/>
      <c r="AT119" s="20"/>
      <c r="AU119" s="20"/>
      <c r="AV119" s="20"/>
    </row>
    <row r="120" spans="1:48" ht="18" customHeight="1">
      <c r="A120" s="411"/>
      <c r="B120" s="41"/>
      <c r="C120" s="413"/>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3"/>
      <c r="AH120" s="211">
        <v>2</v>
      </c>
      <c r="AI120" s="86"/>
      <c r="AJ120" s="86"/>
      <c r="AK120" s="86"/>
      <c r="AL120" s="86"/>
      <c r="AM120" s="86"/>
      <c r="AN120" s="20"/>
      <c r="AO120" s="20"/>
      <c r="AP120" s="20"/>
      <c r="AQ120" s="20"/>
      <c r="AR120" s="20"/>
      <c r="AS120" s="20"/>
      <c r="AT120" s="20"/>
      <c r="AU120" s="20"/>
      <c r="AV120" s="20"/>
    </row>
    <row r="121" spans="1:48" ht="18" customHeight="1">
      <c r="A121" s="411"/>
      <c r="B121" s="41" t="s">
        <v>58</v>
      </c>
      <c r="C121" s="413"/>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3"/>
      <c r="AH121" s="211">
        <v>3</v>
      </c>
      <c r="AI121" s="86"/>
      <c r="AJ121" s="86"/>
      <c r="AK121" s="86"/>
      <c r="AL121" s="86"/>
      <c r="AM121" s="86"/>
      <c r="AN121" s="20"/>
      <c r="AO121" s="20"/>
      <c r="AP121" s="20"/>
      <c r="AQ121" s="20"/>
      <c r="AR121" s="20"/>
      <c r="AS121" s="20"/>
      <c r="AT121" s="20"/>
      <c r="AU121" s="20"/>
      <c r="AV121" s="20"/>
    </row>
    <row r="122" spans="1:48" ht="18" customHeight="1">
      <c r="A122" s="411"/>
      <c r="B122" s="41"/>
      <c r="C122" s="413"/>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3"/>
      <c r="AH122" s="211">
        <v>4</v>
      </c>
      <c r="AI122" s="86"/>
      <c r="AJ122" s="86"/>
      <c r="AK122" s="86"/>
      <c r="AL122" s="86"/>
      <c r="AM122" s="86"/>
      <c r="AN122" s="20"/>
      <c r="AO122" s="20"/>
      <c r="AP122" s="20"/>
      <c r="AQ122" s="20"/>
      <c r="AR122" s="20"/>
      <c r="AS122" s="20"/>
      <c r="AT122" s="20"/>
      <c r="AU122" s="20"/>
      <c r="AV122" s="20"/>
    </row>
    <row r="123" spans="1:48" ht="18" customHeight="1">
      <c r="A123" s="411"/>
      <c r="B123" s="41" t="s">
        <v>59</v>
      </c>
      <c r="C123" s="413"/>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3"/>
      <c r="AH123" s="211">
        <v>5</v>
      </c>
      <c r="AI123" s="86"/>
      <c r="AJ123" s="86"/>
      <c r="AK123" s="86"/>
      <c r="AL123" s="86"/>
      <c r="AM123" s="86"/>
      <c r="AN123" s="20"/>
      <c r="AO123" s="20"/>
      <c r="AP123" s="20"/>
      <c r="AQ123" s="20"/>
      <c r="AR123" s="20"/>
      <c r="AS123" s="20"/>
      <c r="AT123" s="20"/>
      <c r="AU123" s="20"/>
      <c r="AV123" s="20"/>
    </row>
    <row r="124" spans="1:48" ht="18" customHeight="1">
      <c r="A124" s="411"/>
      <c r="B124" s="41"/>
      <c r="C124" s="413"/>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3"/>
      <c r="AH124" s="212">
        <v>6</v>
      </c>
      <c r="AI124" s="86"/>
      <c r="AJ124" s="86"/>
      <c r="AK124" s="86"/>
      <c r="AL124" s="86"/>
      <c r="AM124" s="86"/>
      <c r="AN124" s="20"/>
      <c r="AO124" s="20"/>
      <c r="AP124" s="20"/>
      <c r="AQ124" s="20"/>
      <c r="AR124" s="20"/>
      <c r="AS124" s="20"/>
      <c r="AT124" s="20"/>
      <c r="AU124" s="20"/>
      <c r="AV124" s="20"/>
    </row>
    <row r="125" spans="1:48" ht="18" hidden="1" customHeight="1">
      <c r="A125" s="411"/>
      <c r="B125" s="41"/>
      <c r="C125" s="413"/>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3"/>
      <c r="AH125" s="213">
        <v>7</v>
      </c>
      <c r="AI125" s="86"/>
      <c r="AJ125" s="86"/>
      <c r="AK125" s="86"/>
      <c r="AL125" s="86"/>
      <c r="AM125" s="86"/>
      <c r="AN125" s="20"/>
      <c r="AO125" s="20"/>
      <c r="AP125" s="20"/>
      <c r="AQ125" s="20"/>
      <c r="AR125" s="20"/>
      <c r="AS125" s="20"/>
      <c r="AT125" s="20"/>
      <c r="AU125" s="20"/>
      <c r="AV125" s="20"/>
    </row>
    <row r="126" spans="1:48" ht="18" customHeight="1">
      <c r="A126" s="411"/>
      <c r="B126" s="41" t="s">
        <v>60</v>
      </c>
      <c r="C126" s="413"/>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3"/>
      <c r="AH126" s="212">
        <v>8</v>
      </c>
      <c r="AI126" s="86"/>
      <c r="AJ126" s="86"/>
      <c r="AK126" s="86"/>
      <c r="AL126" s="86"/>
      <c r="AM126" s="86"/>
      <c r="AN126" s="20"/>
      <c r="AO126" s="20"/>
      <c r="AP126" s="20"/>
      <c r="AQ126" s="20"/>
      <c r="AR126" s="20"/>
      <c r="AS126" s="20"/>
      <c r="AT126" s="20"/>
      <c r="AU126" s="20"/>
      <c r="AV126" s="20"/>
    </row>
    <row r="127" spans="1:48" ht="18" customHeight="1">
      <c r="A127" s="411"/>
      <c r="B127" s="41"/>
      <c r="C127" s="413"/>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3"/>
      <c r="AH127" s="211">
        <v>9</v>
      </c>
      <c r="AI127" s="87"/>
      <c r="AJ127" s="87"/>
      <c r="AK127" s="87"/>
      <c r="AL127" s="87"/>
      <c r="AM127" s="87"/>
      <c r="AN127" s="20"/>
      <c r="AO127" s="20"/>
      <c r="AP127" s="20"/>
      <c r="AQ127" s="20"/>
      <c r="AR127" s="20"/>
      <c r="AS127" s="20"/>
      <c r="AT127" s="20"/>
      <c r="AU127" s="20"/>
      <c r="AV127" s="20"/>
    </row>
    <row r="128" spans="1:48" ht="18" customHeight="1">
      <c r="A128" s="411"/>
      <c r="B128" s="41" t="s">
        <v>61</v>
      </c>
      <c r="C128" s="413"/>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3"/>
      <c r="AH128" s="211">
        <v>10</v>
      </c>
      <c r="AI128" s="87"/>
      <c r="AJ128" s="87"/>
      <c r="AK128" s="87"/>
      <c r="AL128" s="87"/>
      <c r="AM128" s="87"/>
      <c r="AN128" s="20"/>
      <c r="AO128" s="20"/>
      <c r="AP128" s="20"/>
      <c r="AQ128" s="20"/>
      <c r="AR128" s="20"/>
      <c r="AS128" s="20"/>
      <c r="AT128" s="20"/>
      <c r="AU128" s="20"/>
      <c r="AV128" s="20"/>
    </row>
    <row r="129" spans="1:48" ht="18" customHeight="1">
      <c r="A129" s="411"/>
      <c r="B129" s="41"/>
      <c r="C129" s="413"/>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3"/>
      <c r="AH129" s="211">
        <v>11</v>
      </c>
      <c r="AI129" s="88"/>
      <c r="AJ129" s="88"/>
      <c r="AK129" s="88"/>
      <c r="AL129" s="88"/>
      <c r="AM129" s="88"/>
      <c r="AN129" s="20"/>
      <c r="AO129" s="20"/>
      <c r="AP129" s="20"/>
      <c r="AQ129" s="20"/>
      <c r="AR129" s="20"/>
      <c r="AS129" s="20"/>
      <c r="AT129" s="20"/>
      <c r="AU129" s="20"/>
      <c r="AV129" s="20"/>
    </row>
    <row r="130" spans="1:48" ht="18" customHeight="1">
      <c r="A130" s="411"/>
      <c r="B130" s="41"/>
      <c r="C130" s="414"/>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4"/>
      <c r="AH130" s="211">
        <v>12</v>
      </c>
      <c r="AI130" s="64"/>
      <c r="AJ130" s="64"/>
      <c r="AK130" s="64"/>
      <c r="AL130" s="64"/>
      <c r="AM130" s="64"/>
      <c r="AN130" s="20"/>
      <c r="AO130" s="20"/>
      <c r="AP130" s="20"/>
      <c r="AQ130" s="20"/>
      <c r="AR130" s="20"/>
      <c r="AS130" s="20"/>
      <c r="AT130" s="20"/>
      <c r="AU130" s="20"/>
      <c r="AV130" s="20"/>
    </row>
    <row r="131" spans="1:48" ht="19.5" customHeight="1">
      <c r="A131" s="35"/>
      <c r="B131" s="48" t="s">
        <v>63</v>
      </c>
      <c r="C131" s="43"/>
      <c r="D131" s="44"/>
      <c r="E131" s="44"/>
      <c r="F131" s="44"/>
      <c r="G131" s="44"/>
      <c r="H131" s="49"/>
      <c r="I131" s="49"/>
      <c r="J131" s="44"/>
      <c r="K131" s="44"/>
      <c r="L131" s="44"/>
      <c r="M131" s="44"/>
      <c r="N131" s="44"/>
      <c r="O131" s="49"/>
      <c r="P131" s="49"/>
      <c r="Q131" s="44"/>
      <c r="R131" s="44"/>
      <c r="S131" s="44"/>
      <c r="T131" s="49"/>
      <c r="U131" s="49"/>
      <c r="V131" s="44"/>
      <c r="W131" s="44"/>
      <c r="X131" s="44"/>
      <c r="Y131" s="44" t="s">
        <v>69</v>
      </c>
      <c r="Z131" s="44"/>
      <c r="AA131" s="44"/>
      <c r="AB131" s="49"/>
      <c r="AC131" s="49"/>
      <c r="AD131" s="49"/>
      <c r="AE131" s="44"/>
      <c r="AF131" s="44"/>
      <c r="AG131" s="50"/>
      <c r="AH131" s="132" t="str">
        <f>IF(AI131="","","←")</f>
        <v/>
      </c>
      <c r="AI131" s="405" t="str">
        <f>IF(C118="","",IF(COUNTA(C131:AG131)&gt;=1,"","成績考査もれ"))</f>
        <v/>
      </c>
      <c r="AJ131" s="405"/>
      <c r="AK131" s="64"/>
      <c r="AL131" s="64"/>
      <c r="AM131" s="64"/>
      <c r="AN131" s="20"/>
      <c r="AO131" s="20"/>
      <c r="AP131" s="20"/>
      <c r="AQ131" s="20"/>
      <c r="AR131" s="20"/>
      <c r="AS131" s="20"/>
      <c r="AT131" s="20"/>
      <c r="AU131" s="20"/>
      <c r="AV131" s="20"/>
    </row>
    <row r="132" spans="1:48" ht="19.5" customHeight="1">
      <c r="A132" s="35"/>
      <c r="B132" s="51" t="s">
        <v>65</v>
      </c>
      <c r="C132" s="52"/>
      <c r="D132" s="53"/>
      <c r="E132" s="53"/>
      <c r="F132" s="53"/>
      <c r="G132" s="53"/>
      <c r="H132" s="54"/>
      <c r="I132" s="54"/>
      <c r="J132" s="53"/>
      <c r="K132" s="53"/>
      <c r="L132" s="53"/>
      <c r="M132" s="53"/>
      <c r="N132" s="53"/>
      <c r="O132" s="54"/>
      <c r="P132" s="54"/>
      <c r="Q132" s="53"/>
      <c r="R132" s="53"/>
      <c r="S132" s="53"/>
      <c r="T132" s="54"/>
      <c r="U132" s="54"/>
      <c r="V132" s="53"/>
      <c r="W132" s="53"/>
      <c r="X132" s="53"/>
      <c r="Y132" s="53"/>
      <c r="Z132" s="53"/>
      <c r="AA132" s="53"/>
      <c r="AB132" s="54"/>
      <c r="AC132" s="54"/>
      <c r="AD132" s="54"/>
      <c r="AE132" s="53"/>
      <c r="AF132" s="53"/>
      <c r="AG132" s="71"/>
      <c r="AH132" s="132" t="str">
        <f>IF(AI132="","","←")</f>
        <v/>
      </c>
      <c r="AI132" s="406" t="str">
        <f>[9]機構処理!BI93</f>
        <v/>
      </c>
      <c r="AJ132" s="406"/>
      <c r="AK132" s="82"/>
      <c r="AL132" s="82"/>
      <c r="AM132" s="82"/>
      <c r="AN132" s="82"/>
      <c r="AO132" s="82"/>
      <c r="AP132" s="20"/>
      <c r="AQ132" s="20"/>
      <c r="AR132" s="20"/>
      <c r="AS132" s="20"/>
      <c r="AT132" s="20"/>
      <c r="AU132" s="20"/>
      <c r="AV132" s="20"/>
    </row>
    <row r="133" spans="1:48" ht="18" customHeight="1">
      <c r="A133" s="35"/>
      <c r="B133" s="407" t="s">
        <v>66</v>
      </c>
      <c r="C133" s="56">
        <v>6</v>
      </c>
      <c r="D133" s="57">
        <v>6</v>
      </c>
      <c r="E133" s="57">
        <v>6</v>
      </c>
      <c r="F133" s="57"/>
      <c r="G133" s="57"/>
      <c r="H133" s="57">
        <v>6</v>
      </c>
      <c r="I133" s="57"/>
      <c r="J133" s="57"/>
      <c r="K133" s="57">
        <v>6</v>
      </c>
      <c r="L133" s="57">
        <v>6</v>
      </c>
      <c r="M133" s="57">
        <v>0</v>
      </c>
      <c r="N133" s="57"/>
      <c r="O133" s="57">
        <v>6</v>
      </c>
      <c r="P133" s="57"/>
      <c r="Q133" s="57"/>
      <c r="R133" s="57">
        <v>6</v>
      </c>
      <c r="S133" s="57">
        <v>6</v>
      </c>
      <c r="T133" s="57">
        <v>0</v>
      </c>
      <c r="U133" s="57"/>
      <c r="V133" s="57">
        <v>6</v>
      </c>
      <c r="W133" s="57"/>
      <c r="X133" s="57"/>
      <c r="Y133" s="57">
        <v>6</v>
      </c>
      <c r="Z133" s="57">
        <v>6</v>
      </c>
      <c r="AA133" s="57"/>
      <c r="AB133" s="57"/>
      <c r="AC133" s="57">
        <v>6</v>
      </c>
      <c r="AD133" s="57"/>
      <c r="AE133" s="57"/>
      <c r="AF133" s="57">
        <v>6</v>
      </c>
      <c r="AG133" s="73">
        <v>0</v>
      </c>
      <c r="AH133" s="212">
        <v>1</v>
      </c>
      <c r="AI133" s="88"/>
      <c r="AJ133" s="88"/>
      <c r="AK133" s="88"/>
      <c r="AL133" s="64"/>
      <c r="AM133" s="64"/>
      <c r="AN133" s="20"/>
      <c r="AO133" s="20"/>
      <c r="AP133" s="20"/>
      <c r="AQ133" s="20"/>
      <c r="AR133" s="20"/>
      <c r="AS133" s="20"/>
      <c r="AT133" s="20"/>
      <c r="AU133" s="20"/>
      <c r="AV133" s="20"/>
    </row>
    <row r="134" spans="1:48" ht="18" hidden="1" customHeight="1">
      <c r="A134" s="35"/>
      <c r="B134" s="408"/>
      <c r="C134" s="60"/>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74"/>
      <c r="AH134" s="213">
        <v>2</v>
      </c>
      <c r="AI134" s="88"/>
      <c r="AJ134" s="88"/>
      <c r="AK134" s="88"/>
      <c r="AL134" s="64"/>
      <c r="AM134" s="64"/>
      <c r="AN134" s="20"/>
      <c r="AO134" s="20"/>
      <c r="AP134" s="20"/>
      <c r="AQ134" s="20"/>
      <c r="AR134" s="20"/>
      <c r="AS134" s="20"/>
      <c r="AT134" s="20"/>
      <c r="AU134" s="20"/>
      <c r="AV134" s="20"/>
    </row>
    <row r="135" spans="1:48" ht="18" customHeight="1">
      <c r="A135" s="63"/>
      <c r="B135" s="409"/>
      <c r="C135" s="253"/>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c r="AA135" s="254"/>
      <c r="AB135" s="254"/>
      <c r="AC135" s="254"/>
      <c r="AD135" s="254"/>
      <c r="AE135" s="254"/>
      <c r="AF135" s="254"/>
      <c r="AG135" s="256"/>
      <c r="AH135" s="212">
        <v>3</v>
      </c>
      <c r="AI135" s="410" t="str">
        <f>IF(C116="","","土日祝の訓練日数⇒")</f>
        <v>土日祝の訓練日数⇒</v>
      </c>
      <c r="AJ135" s="410"/>
      <c r="AK135" s="69">
        <f>IF(C116="","",[9]機構処理!BF59)</f>
        <v>2</v>
      </c>
      <c r="AL135" s="69" t="str">
        <f>IF(C116="","","日")</f>
        <v>日</v>
      </c>
      <c r="AM135" s="64"/>
      <c r="AN135" s="20"/>
      <c r="AO135" s="20"/>
      <c r="AP135" s="20"/>
      <c r="AQ135" s="20"/>
      <c r="AR135" s="20"/>
      <c r="AS135" s="20"/>
      <c r="AT135" s="20"/>
      <c r="AU135" s="20"/>
      <c r="AV135" s="20"/>
    </row>
    <row r="136" spans="1:48" ht="14.4">
      <c r="A136" s="15"/>
      <c r="B136" s="15"/>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47"/>
      <c r="AI136" s="90"/>
      <c r="AJ136" s="90"/>
      <c r="AK136" s="90"/>
      <c r="AL136" s="64"/>
      <c r="AM136" s="64"/>
      <c r="AN136" s="20"/>
      <c r="AO136" s="20"/>
      <c r="AP136" s="20"/>
      <c r="AQ136" s="20"/>
      <c r="AR136" s="20"/>
      <c r="AS136" s="20"/>
      <c r="AT136" s="20"/>
      <c r="AU136" s="20"/>
      <c r="AV136" s="20"/>
    </row>
    <row r="137" spans="1:48" ht="18" customHeight="1">
      <c r="A137" s="396" t="s">
        <v>386</v>
      </c>
      <c r="B137" s="328"/>
      <c r="C137" s="328"/>
      <c r="D137" s="328"/>
      <c r="E137" s="328"/>
      <c r="F137" s="328"/>
      <c r="G137" s="328"/>
      <c r="H137" s="328"/>
      <c r="I137" s="328"/>
      <c r="J137" s="328"/>
      <c r="K137" s="328"/>
      <c r="L137" s="328"/>
      <c r="M137" s="328"/>
      <c r="N137" s="328"/>
      <c r="O137" s="328"/>
      <c r="P137" s="328"/>
      <c r="Q137" s="328"/>
      <c r="R137" s="328"/>
      <c r="S137" s="328"/>
      <c r="T137" s="328"/>
      <c r="U137" s="328"/>
      <c r="V137" s="328"/>
      <c r="W137" s="328"/>
      <c r="X137" s="328"/>
      <c r="Y137" s="328"/>
      <c r="Z137" s="328"/>
      <c r="AA137" s="328"/>
      <c r="AB137" s="328"/>
      <c r="AC137" s="328"/>
      <c r="AD137" s="328"/>
      <c r="AE137" s="328"/>
      <c r="AF137" s="328"/>
      <c r="AG137" s="328"/>
      <c r="AH137" s="47"/>
      <c r="AI137" s="91"/>
      <c r="AJ137" s="91"/>
      <c r="AK137" s="91"/>
      <c r="AL137" s="91"/>
      <c r="AM137" s="91"/>
      <c r="AN137" s="20"/>
      <c r="AO137" s="20"/>
      <c r="AP137" s="20"/>
      <c r="AQ137" s="20"/>
      <c r="AR137" s="20"/>
      <c r="AS137" s="20"/>
      <c r="AT137" s="20"/>
      <c r="AU137" s="20"/>
      <c r="AV137" s="20"/>
    </row>
    <row r="138" spans="1:48" ht="18" customHeight="1">
      <c r="H138" s="15"/>
      <c r="I138" s="92" t="s">
        <v>70</v>
      </c>
      <c r="J138" s="92"/>
      <c r="K138" s="92"/>
      <c r="L138" s="92"/>
      <c r="M138" s="92"/>
      <c r="N138" s="92"/>
      <c r="O138" s="92"/>
      <c r="P138" s="92"/>
      <c r="Q138" s="92" t="s">
        <v>387</v>
      </c>
      <c r="R138" s="92"/>
      <c r="T138" s="92"/>
      <c r="U138" s="92"/>
      <c r="V138" s="92"/>
      <c r="W138" s="92"/>
      <c r="X138" s="92"/>
      <c r="Y138" s="92"/>
      <c r="Z138" s="15"/>
      <c r="AA138" s="15"/>
      <c r="AB138" s="15"/>
      <c r="AC138" s="15"/>
      <c r="AD138" s="15"/>
      <c r="AE138" s="15"/>
      <c r="AF138" s="15"/>
      <c r="AG138" s="15"/>
      <c r="AH138" s="47"/>
      <c r="AI138" s="88"/>
      <c r="AJ138" s="88"/>
      <c r="AK138" s="88"/>
      <c r="AL138" s="88"/>
      <c r="AM138" s="88"/>
      <c r="AN138" s="20"/>
      <c r="AO138" s="20"/>
      <c r="AP138" s="20"/>
      <c r="AQ138" s="20"/>
      <c r="AR138" s="20"/>
      <c r="AS138" s="20"/>
      <c r="AT138" s="20"/>
      <c r="AU138" s="20"/>
      <c r="AV138" s="20"/>
    </row>
    <row r="139" spans="1:48" ht="18" customHeight="1">
      <c r="A139" s="392" t="s">
        <v>71</v>
      </c>
      <c r="B139" s="392"/>
      <c r="C139" s="392"/>
      <c r="D139" s="393">
        <v>0.41666666666666669</v>
      </c>
      <c r="E139" s="394"/>
      <c r="F139" s="395"/>
      <c r="G139" s="95" t="s">
        <v>72</v>
      </c>
      <c r="H139" s="15"/>
      <c r="I139" s="397"/>
      <c r="J139" s="397"/>
      <c r="K139" s="329" t="s">
        <v>73</v>
      </c>
      <c r="L139" s="329"/>
      <c r="M139" s="329"/>
      <c r="N139" s="329"/>
      <c r="O139" s="329"/>
      <c r="P139" s="329"/>
      <c r="Q139" s="329"/>
      <c r="R139" s="329"/>
      <c r="S139" s="329"/>
      <c r="T139" s="329"/>
      <c r="U139" s="329"/>
      <c r="V139" s="398" t="s">
        <v>74</v>
      </c>
      <c r="W139" s="398"/>
      <c r="X139" s="398"/>
      <c r="Y139" s="398"/>
      <c r="Z139" s="398"/>
      <c r="AA139" s="398"/>
      <c r="AB139" s="398"/>
      <c r="AC139" s="398"/>
      <c r="AD139" s="398"/>
      <c r="AE139" s="398"/>
      <c r="AF139" s="398"/>
      <c r="AG139" s="398"/>
      <c r="AH139" s="47"/>
      <c r="AI139" s="130" t="str">
        <f>IF([9]様式1!$E$20="","",AI21+AI44+AI66+AI88)</f>
        <v/>
      </c>
      <c r="AJ139" s="391" t="str">
        <f>IF(AI139="","","能開講習設定日数")</f>
        <v/>
      </c>
      <c r="AK139" s="391"/>
      <c r="AL139" s="391"/>
      <c r="AM139" s="88"/>
      <c r="AN139" s="20"/>
      <c r="AO139" s="20"/>
      <c r="AP139" s="20"/>
      <c r="AQ139" s="20"/>
      <c r="AR139" s="20"/>
      <c r="AS139" s="20"/>
      <c r="AT139" s="20"/>
      <c r="AU139" s="20"/>
      <c r="AV139" s="20"/>
    </row>
    <row r="140" spans="1:48" ht="18" customHeight="1">
      <c r="A140" s="392" t="s">
        <v>75</v>
      </c>
      <c r="B140" s="392"/>
      <c r="C140" s="392"/>
      <c r="D140" s="393">
        <v>0.41666666666666669</v>
      </c>
      <c r="E140" s="394"/>
      <c r="F140" s="395"/>
      <c r="G140" s="95" t="s">
        <v>72</v>
      </c>
      <c r="H140" s="15"/>
      <c r="I140" s="329" t="s">
        <v>76</v>
      </c>
      <c r="J140" s="329"/>
      <c r="K140" s="385">
        <v>46104</v>
      </c>
      <c r="L140" s="385"/>
      <c r="M140" s="385"/>
      <c r="N140" s="385"/>
      <c r="O140" s="386"/>
      <c r="P140" s="96" t="s">
        <v>72</v>
      </c>
      <c r="Q140" s="387">
        <v>46129</v>
      </c>
      <c r="R140" s="385"/>
      <c r="S140" s="385"/>
      <c r="T140" s="385"/>
      <c r="U140" s="385"/>
      <c r="V140" s="390" t="s">
        <v>255</v>
      </c>
      <c r="W140" s="390"/>
      <c r="X140" s="390"/>
      <c r="Y140" s="390"/>
      <c r="Z140" s="390"/>
      <c r="AA140" s="390"/>
      <c r="AB140" s="390"/>
      <c r="AC140" s="390"/>
      <c r="AD140" s="390"/>
      <c r="AE140" s="390"/>
      <c r="AF140" s="390"/>
      <c r="AG140" s="390"/>
      <c r="AH140" s="47"/>
      <c r="AI140" s="88"/>
      <c r="AJ140" s="88"/>
      <c r="AK140" s="88"/>
      <c r="AL140" s="88"/>
      <c r="AM140" s="88"/>
      <c r="AN140" s="20"/>
      <c r="AO140" s="20"/>
      <c r="AP140" s="20"/>
      <c r="AQ140" s="20"/>
      <c r="AR140" s="20"/>
      <c r="AS140" s="20"/>
      <c r="AT140" s="20"/>
      <c r="AU140" s="20"/>
      <c r="AV140" s="20"/>
    </row>
    <row r="141" spans="1:48" ht="18" customHeight="1">
      <c r="A141" s="97"/>
      <c r="B141" s="97"/>
      <c r="C141" s="97"/>
      <c r="D141" s="98"/>
      <c r="E141" s="99"/>
      <c r="F141" s="99"/>
      <c r="G141" s="97"/>
      <c r="H141" s="15"/>
      <c r="I141" s="329" t="s">
        <v>77</v>
      </c>
      <c r="J141" s="329"/>
      <c r="K141" s="385">
        <v>46162</v>
      </c>
      <c r="L141" s="385"/>
      <c r="M141" s="385"/>
      <c r="N141" s="385"/>
      <c r="O141" s="386"/>
      <c r="P141" s="96" t="s">
        <v>72</v>
      </c>
      <c r="Q141" s="387">
        <v>46191</v>
      </c>
      <c r="R141" s="385"/>
      <c r="S141" s="385"/>
      <c r="T141" s="385"/>
      <c r="U141" s="385"/>
      <c r="V141" s="390" t="s">
        <v>255</v>
      </c>
      <c r="W141" s="390"/>
      <c r="X141" s="390"/>
      <c r="Y141" s="390"/>
      <c r="Z141" s="390"/>
      <c r="AA141" s="390"/>
      <c r="AB141" s="390"/>
      <c r="AC141" s="390"/>
      <c r="AD141" s="390"/>
      <c r="AE141" s="390"/>
      <c r="AF141" s="390"/>
      <c r="AG141" s="390"/>
      <c r="AH141" s="47"/>
      <c r="AI141" s="88"/>
      <c r="AJ141" s="88"/>
      <c r="AK141" s="88"/>
      <c r="AL141" s="88"/>
      <c r="AM141" s="88"/>
      <c r="AN141" s="20"/>
      <c r="AO141" s="20"/>
      <c r="AP141" s="20"/>
      <c r="AQ141" s="20"/>
      <c r="AR141" s="20"/>
      <c r="AS141" s="20"/>
      <c r="AT141" s="20"/>
      <c r="AU141" s="20"/>
      <c r="AV141" s="20"/>
    </row>
    <row r="142" spans="1:48" ht="18" customHeight="1">
      <c r="D142" s="15"/>
      <c r="E142" s="15"/>
      <c r="F142" s="15"/>
      <c r="G142" s="15"/>
      <c r="H142" s="15"/>
      <c r="I142" s="329" t="s">
        <v>78</v>
      </c>
      <c r="J142" s="329"/>
      <c r="K142" s="385">
        <v>46253</v>
      </c>
      <c r="L142" s="385"/>
      <c r="M142" s="385"/>
      <c r="N142" s="385"/>
      <c r="O142" s="386"/>
      <c r="P142" s="96" t="s">
        <v>72</v>
      </c>
      <c r="Q142" s="387">
        <v>46282</v>
      </c>
      <c r="R142" s="385"/>
      <c r="S142" s="385"/>
      <c r="T142" s="385"/>
      <c r="U142" s="385"/>
      <c r="V142" s="388" t="s">
        <v>255</v>
      </c>
      <c r="W142" s="388"/>
      <c r="X142" s="388"/>
      <c r="Y142" s="388"/>
      <c r="Z142" s="388"/>
      <c r="AA142" s="388"/>
      <c r="AB142" s="388"/>
      <c r="AC142" s="388"/>
      <c r="AD142" s="388"/>
      <c r="AE142" s="388"/>
      <c r="AF142" s="388"/>
      <c r="AG142" s="388"/>
      <c r="AH142" s="47"/>
      <c r="AI142" s="88"/>
      <c r="AJ142" s="88"/>
      <c r="AK142" s="88"/>
      <c r="AL142" s="88"/>
      <c r="AM142" s="88"/>
      <c r="AN142" s="20"/>
      <c r="AO142" s="20"/>
      <c r="AP142" s="20"/>
      <c r="AQ142" s="34"/>
      <c r="AR142" s="20"/>
      <c r="AS142" s="20"/>
      <c r="AT142" s="20"/>
      <c r="AU142" s="20"/>
      <c r="AV142" s="20"/>
    </row>
    <row r="143" spans="1:48" ht="18" hidden="1" customHeight="1">
      <c r="A143" s="15"/>
      <c r="B143" s="15"/>
      <c r="C143" s="15"/>
      <c r="D143" s="15"/>
      <c r="E143" s="15"/>
      <c r="F143" s="15"/>
      <c r="G143" s="15"/>
      <c r="H143" s="15"/>
      <c r="I143" s="349" t="s">
        <v>79</v>
      </c>
      <c r="J143" s="351"/>
      <c r="K143" s="385"/>
      <c r="L143" s="385"/>
      <c r="M143" s="385"/>
      <c r="N143" s="385"/>
      <c r="O143" s="386"/>
      <c r="P143" s="96" t="s">
        <v>72</v>
      </c>
      <c r="Q143" s="387"/>
      <c r="R143" s="385"/>
      <c r="S143" s="385"/>
      <c r="T143" s="385"/>
      <c r="U143" s="385"/>
      <c r="V143" s="390"/>
      <c r="W143" s="390"/>
      <c r="X143" s="390"/>
      <c r="Y143" s="390"/>
      <c r="Z143" s="390"/>
      <c r="AA143" s="390"/>
      <c r="AB143" s="390"/>
      <c r="AC143" s="390"/>
      <c r="AD143" s="390"/>
      <c r="AE143" s="390"/>
      <c r="AF143" s="390"/>
      <c r="AG143" s="390"/>
      <c r="AH143" s="91"/>
      <c r="AI143" s="88"/>
      <c r="AJ143" s="88"/>
      <c r="AK143" s="88"/>
      <c r="AL143" s="88"/>
      <c r="AM143" s="88"/>
      <c r="AN143" s="20"/>
      <c r="AO143" s="20"/>
      <c r="AP143" s="20"/>
      <c r="AQ143" s="34"/>
      <c r="AR143" s="20"/>
      <c r="AS143" s="20"/>
      <c r="AT143" s="20"/>
      <c r="AU143" s="20"/>
      <c r="AV143" s="20"/>
    </row>
    <row r="144" spans="1:48" ht="18" hidden="1" customHeight="1">
      <c r="A144" s="15"/>
      <c r="B144" s="15"/>
      <c r="C144" s="15"/>
      <c r="D144" s="15"/>
      <c r="E144" s="15"/>
      <c r="F144" s="15"/>
      <c r="G144" s="15"/>
      <c r="H144" s="15"/>
      <c r="I144" s="349" t="s">
        <v>80</v>
      </c>
      <c r="J144" s="351"/>
      <c r="K144" s="385"/>
      <c r="L144" s="385"/>
      <c r="M144" s="385"/>
      <c r="N144" s="385"/>
      <c r="O144" s="386"/>
      <c r="P144" s="96" t="s">
        <v>72</v>
      </c>
      <c r="Q144" s="387"/>
      <c r="R144" s="385"/>
      <c r="S144" s="385"/>
      <c r="T144" s="385"/>
      <c r="U144" s="385"/>
      <c r="V144" s="390"/>
      <c r="W144" s="390"/>
      <c r="X144" s="390"/>
      <c r="Y144" s="390"/>
      <c r="Z144" s="390"/>
      <c r="AA144" s="390"/>
      <c r="AB144" s="390"/>
      <c r="AC144" s="390"/>
      <c r="AD144" s="390"/>
      <c r="AE144" s="390"/>
      <c r="AF144" s="390"/>
      <c r="AG144" s="390"/>
      <c r="AH144" s="91"/>
      <c r="AI144" s="88"/>
      <c r="AJ144" s="88"/>
      <c r="AK144" s="88"/>
      <c r="AL144" s="88"/>
      <c r="AM144" s="88"/>
      <c r="AN144" s="20"/>
      <c r="AO144" s="20"/>
      <c r="AP144" s="20"/>
      <c r="AQ144" s="34"/>
      <c r="AR144" s="20"/>
      <c r="AS144" s="20"/>
      <c r="AT144" s="20"/>
      <c r="AU144" s="20"/>
      <c r="AV144" s="20"/>
    </row>
    <row r="145" spans="1:48" ht="18" hidden="1" customHeight="1">
      <c r="A145" s="15"/>
      <c r="B145" s="15"/>
      <c r="C145" s="15"/>
      <c r="D145" s="15"/>
      <c r="E145" s="15"/>
      <c r="F145" s="15"/>
      <c r="G145" s="15"/>
      <c r="H145" s="15"/>
      <c r="I145" s="349" t="s">
        <v>81</v>
      </c>
      <c r="J145" s="351"/>
      <c r="K145" s="385"/>
      <c r="L145" s="385"/>
      <c r="M145" s="385"/>
      <c r="N145" s="385"/>
      <c r="O145" s="386"/>
      <c r="P145" s="96" t="s">
        <v>72</v>
      </c>
      <c r="Q145" s="387"/>
      <c r="R145" s="385"/>
      <c r="S145" s="385"/>
      <c r="T145" s="385"/>
      <c r="U145" s="385"/>
      <c r="V145" s="388"/>
      <c r="W145" s="388"/>
      <c r="X145" s="388"/>
      <c r="Y145" s="388"/>
      <c r="Z145" s="388"/>
      <c r="AA145" s="388"/>
      <c r="AB145" s="388"/>
      <c r="AC145" s="388"/>
      <c r="AD145" s="388"/>
      <c r="AE145" s="388"/>
      <c r="AF145" s="388"/>
      <c r="AG145" s="388"/>
      <c r="AH145" s="91"/>
      <c r="AI145" s="88"/>
      <c r="AJ145" s="88"/>
      <c r="AK145" s="88"/>
      <c r="AL145" s="88"/>
      <c r="AM145" s="88"/>
      <c r="AN145" s="20"/>
      <c r="AO145" s="20"/>
      <c r="AP145" s="20"/>
      <c r="AQ145" s="34"/>
      <c r="AR145" s="20"/>
      <c r="AS145" s="20"/>
      <c r="AT145" s="20"/>
      <c r="AU145" s="20"/>
      <c r="AV145" s="20"/>
    </row>
    <row r="146" spans="1:48" ht="18" customHeight="1">
      <c r="A146" s="389" t="s">
        <v>82</v>
      </c>
      <c r="B146" s="389"/>
      <c r="C146" s="389"/>
      <c r="D146" s="15"/>
      <c r="E146" s="15"/>
      <c r="F146" s="15"/>
      <c r="G146" s="15"/>
      <c r="H146" s="15"/>
      <c r="N146" s="100"/>
      <c r="Z146" s="15"/>
      <c r="AA146" s="15"/>
      <c r="AB146" s="15"/>
      <c r="AC146" s="15"/>
      <c r="AD146" s="15"/>
      <c r="AE146" s="15"/>
      <c r="AF146" s="15"/>
      <c r="AG146" s="15"/>
      <c r="AH146" s="91"/>
      <c r="AI146" s="88"/>
      <c r="AJ146" s="88"/>
      <c r="AK146" s="88"/>
      <c r="AL146" s="88"/>
      <c r="AM146" s="88"/>
      <c r="AN146" s="20"/>
      <c r="AO146" s="20"/>
      <c r="AP146" s="20"/>
      <c r="AQ146" s="34"/>
      <c r="AR146" s="20"/>
      <c r="AS146" s="20"/>
      <c r="AT146" s="20"/>
      <c r="AU146" s="20"/>
      <c r="AV146" s="20"/>
    </row>
    <row r="147" spans="1:48" ht="18" customHeight="1">
      <c r="A147" s="349" t="s">
        <v>83</v>
      </c>
      <c r="B147" s="351"/>
      <c r="C147" s="349" t="s">
        <v>84</v>
      </c>
      <c r="D147" s="350"/>
      <c r="E147" s="350"/>
      <c r="F147" s="350"/>
      <c r="G147" s="351"/>
      <c r="H147" s="15"/>
      <c r="N147" s="100"/>
      <c r="Z147" s="15"/>
      <c r="AA147" s="15"/>
      <c r="AB147" s="15"/>
      <c r="AC147" s="15"/>
      <c r="AD147" s="15"/>
      <c r="AE147" s="15"/>
      <c r="AF147" s="15"/>
      <c r="AG147" s="15"/>
      <c r="AH147" s="91"/>
      <c r="AI147" s="88"/>
      <c r="AJ147" s="88"/>
      <c r="AK147" s="88"/>
      <c r="AL147" s="88"/>
      <c r="AM147" s="88"/>
      <c r="AN147" s="20"/>
      <c r="AO147" s="20"/>
      <c r="AP147" s="20"/>
      <c r="AQ147" s="20"/>
      <c r="AR147" s="20"/>
      <c r="AS147" s="20"/>
      <c r="AT147" s="20"/>
      <c r="AU147" s="20"/>
      <c r="AV147" s="20"/>
    </row>
    <row r="148" spans="1:48" ht="18" customHeight="1">
      <c r="A148" s="363" t="s">
        <v>85</v>
      </c>
      <c r="B148" s="364"/>
      <c r="C148" s="383">
        <f>訓練開始時刻</f>
        <v>0.43055555555555558</v>
      </c>
      <c r="D148" s="384"/>
      <c r="E148" s="94" t="s">
        <v>72</v>
      </c>
      <c r="F148" s="366">
        <v>0.46527777777777779</v>
      </c>
      <c r="G148" s="367"/>
      <c r="H148" s="15"/>
      <c r="I148" s="100" t="s">
        <v>86</v>
      </c>
      <c r="J148" s="15"/>
      <c r="K148" s="15"/>
      <c r="L148" s="15"/>
      <c r="M148" s="15"/>
      <c r="N148" s="15"/>
      <c r="O148" s="100" t="s">
        <v>388</v>
      </c>
      <c r="P148" s="15"/>
      <c r="Q148" s="15"/>
      <c r="R148" s="15"/>
      <c r="T148" s="15"/>
      <c r="U148" s="15"/>
      <c r="V148" s="15"/>
      <c r="W148" s="15"/>
      <c r="X148" s="15"/>
      <c r="Y148" s="15"/>
      <c r="Z148" s="15"/>
      <c r="AA148" s="15"/>
      <c r="AB148" s="15"/>
      <c r="AC148" s="15"/>
      <c r="AD148" s="15"/>
      <c r="AE148" s="15"/>
      <c r="AF148" s="15"/>
      <c r="AG148" s="15"/>
      <c r="AH148" s="91"/>
      <c r="AI148" s="88"/>
      <c r="AJ148" s="88"/>
      <c r="AK148" s="88"/>
      <c r="AL148" s="88"/>
      <c r="AM148" s="88"/>
      <c r="AN148" s="20"/>
      <c r="AO148" s="20"/>
      <c r="AP148" s="20"/>
      <c r="AQ148" s="34"/>
      <c r="AR148" s="20"/>
      <c r="AS148" s="20"/>
      <c r="AT148" s="20"/>
      <c r="AU148" s="20"/>
      <c r="AV148" s="20"/>
    </row>
    <row r="149" spans="1:48" ht="18" customHeight="1">
      <c r="A149" s="363" t="s">
        <v>87</v>
      </c>
      <c r="B149" s="364"/>
      <c r="C149" s="365">
        <v>0.47222222222222221</v>
      </c>
      <c r="D149" s="366"/>
      <c r="E149" s="94" t="s">
        <v>72</v>
      </c>
      <c r="F149" s="366">
        <v>0.50694444444444442</v>
      </c>
      <c r="G149" s="367"/>
      <c r="H149" s="15"/>
      <c r="I149" s="363"/>
      <c r="J149" s="364"/>
      <c r="K149" s="349" t="s">
        <v>389</v>
      </c>
      <c r="L149" s="350"/>
      <c r="M149" s="350"/>
      <c r="N149" s="350"/>
      <c r="O149" s="350"/>
      <c r="P149" s="350"/>
      <c r="Q149" s="350"/>
      <c r="R149" s="350"/>
      <c r="S149" s="350"/>
      <c r="T149" s="350"/>
      <c r="U149" s="350"/>
      <c r="V149" s="329" t="s">
        <v>254</v>
      </c>
      <c r="W149" s="329"/>
      <c r="X149" s="329"/>
      <c r="Y149" s="329"/>
      <c r="Z149" s="22"/>
      <c r="AA149" s="22"/>
      <c r="AB149" s="22"/>
      <c r="AC149" s="22"/>
      <c r="AD149" s="15"/>
      <c r="AE149" s="15"/>
      <c r="AF149" s="15"/>
      <c r="AG149" s="15"/>
      <c r="AH149" s="91"/>
      <c r="AI149" s="88"/>
      <c r="AJ149" s="88"/>
      <c r="AK149" s="88"/>
      <c r="AL149" s="88"/>
      <c r="AM149" s="88"/>
      <c r="AN149" s="20"/>
      <c r="AO149" s="20"/>
      <c r="AP149" s="20"/>
      <c r="AQ149" s="20"/>
      <c r="AR149" s="20"/>
      <c r="AS149" s="20"/>
      <c r="AT149" s="20"/>
      <c r="AU149" s="20"/>
      <c r="AV149" s="20"/>
    </row>
    <row r="150" spans="1:48" ht="18" customHeight="1" thickBot="1">
      <c r="A150" s="363" t="s">
        <v>88</v>
      </c>
      <c r="B150" s="364"/>
      <c r="C150" s="365">
        <v>0.51388888888888884</v>
      </c>
      <c r="D150" s="366"/>
      <c r="E150" s="94" t="s">
        <v>72</v>
      </c>
      <c r="F150" s="366">
        <v>0.54861111111111116</v>
      </c>
      <c r="G150" s="367"/>
      <c r="H150" s="15"/>
      <c r="I150" s="380" t="str">
        <f>IF(AND(ハローワーク来所日パターン&lt;&gt;"",$C$29&lt;&gt;"",訓練終了日&gt;ハローワーク来所日1),"１回目","")</f>
        <v>１回目</v>
      </c>
      <c r="J150" s="381"/>
      <c r="K150" s="339">
        <f>IF($I150="","",ハローワーク来所日1)</f>
        <v>46140</v>
      </c>
      <c r="L150" s="340"/>
      <c r="M150" s="340"/>
      <c r="N150" s="340"/>
      <c r="O150" s="340"/>
      <c r="P150" s="340"/>
      <c r="Q150" s="340"/>
      <c r="R150" s="340"/>
      <c r="S150" s="340"/>
      <c r="T150" s="340"/>
      <c r="U150" s="340"/>
      <c r="V150" s="382" t="str">
        <f>IF($I150="","",ハローワーク来所日パターン)</f>
        <v>②</v>
      </c>
      <c r="W150" s="382"/>
      <c r="X150" s="382"/>
      <c r="Y150" s="382"/>
      <c r="Z150" s="244"/>
      <c r="AA150" s="244"/>
      <c r="AB150" s="244"/>
      <c r="AC150" s="244"/>
      <c r="AD150" s="15"/>
      <c r="AE150" s="15"/>
      <c r="AF150" s="15"/>
      <c r="AG150" s="15"/>
      <c r="AH150" s="91"/>
      <c r="AI150" s="88"/>
      <c r="AJ150" s="133" t="s">
        <v>89</v>
      </c>
      <c r="AK150" s="134"/>
      <c r="AL150" s="88"/>
      <c r="AM150" s="88"/>
      <c r="AN150" s="20"/>
      <c r="AO150" s="20"/>
      <c r="AP150" s="20"/>
      <c r="AQ150" s="20"/>
      <c r="AR150" s="20"/>
      <c r="AS150" s="20"/>
      <c r="AT150" s="20"/>
      <c r="AU150" s="20"/>
      <c r="AV150" s="20"/>
    </row>
    <row r="151" spans="1:48" ht="18" customHeight="1" thickTop="1">
      <c r="A151" s="363" t="s">
        <v>90</v>
      </c>
      <c r="B151" s="364"/>
      <c r="C151" s="365">
        <v>0.59027777777777779</v>
      </c>
      <c r="D151" s="366"/>
      <c r="E151" s="94" t="s">
        <v>72</v>
      </c>
      <c r="F151" s="366">
        <v>0.625</v>
      </c>
      <c r="G151" s="367"/>
      <c r="H151" s="15"/>
      <c r="I151" s="380" t="str">
        <f>IF(AND(ハローワーク来所日パターン&lt;&gt;"",$C$51&lt;&gt;"",訓練終了日&gt;ハローワーク来所日2),"２回目","")</f>
        <v>２回目</v>
      </c>
      <c r="J151" s="381"/>
      <c r="K151" s="339">
        <f>IF($I151="","",ハローワーク来所日2)</f>
        <v>46170</v>
      </c>
      <c r="L151" s="340"/>
      <c r="M151" s="340"/>
      <c r="N151" s="340"/>
      <c r="O151" s="340"/>
      <c r="P151" s="340"/>
      <c r="Q151" s="340"/>
      <c r="R151" s="340"/>
      <c r="S151" s="340"/>
      <c r="T151" s="340"/>
      <c r="U151" s="340"/>
      <c r="V151" s="382" t="str">
        <f>IF($I151="","",ハローワーク来所日パターン)</f>
        <v>②</v>
      </c>
      <c r="W151" s="382"/>
      <c r="X151" s="382"/>
      <c r="Y151" s="382"/>
      <c r="Z151" s="244"/>
      <c r="AA151" s="244"/>
      <c r="AB151" s="244"/>
      <c r="AC151" s="244"/>
      <c r="AD151" s="15"/>
      <c r="AE151" s="15"/>
      <c r="AF151" s="15"/>
      <c r="AG151" s="15"/>
      <c r="AH151" s="91"/>
      <c r="AI151" s="88"/>
      <c r="AJ151" s="88"/>
      <c r="AK151" s="88"/>
      <c r="AL151" s="88"/>
      <c r="AM151" s="88"/>
      <c r="AN151" s="20"/>
      <c r="AO151" s="20"/>
      <c r="AP151" s="20"/>
      <c r="AQ151" s="20"/>
      <c r="AR151" s="20"/>
      <c r="AS151" s="20"/>
      <c r="AT151" s="20"/>
      <c r="AU151" s="20"/>
      <c r="AV151" s="20"/>
    </row>
    <row r="152" spans="1:48" ht="18" customHeight="1" thickBot="1">
      <c r="A152" s="363" t="s">
        <v>91</v>
      </c>
      <c r="B152" s="364"/>
      <c r="C152" s="365">
        <v>0.63194444444444442</v>
      </c>
      <c r="D152" s="366"/>
      <c r="E152" s="94" t="s">
        <v>72</v>
      </c>
      <c r="F152" s="366">
        <v>0.66666666666666663</v>
      </c>
      <c r="G152" s="367"/>
      <c r="H152" s="15"/>
      <c r="I152" s="380" t="str">
        <f>IF(AND(ハローワーク来所日パターン&lt;&gt;"",$C$73&lt;&gt;"",訓練終了日&gt;ハローワーク来所日3),"３回目","")</f>
        <v>３回目</v>
      </c>
      <c r="J152" s="381"/>
      <c r="K152" s="339">
        <f>IF($I152="","",ハローワーク来所日3)</f>
        <v>46199</v>
      </c>
      <c r="L152" s="340"/>
      <c r="M152" s="340"/>
      <c r="N152" s="340"/>
      <c r="O152" s="340"/>
      <c r="P152" s="340"/>
      <c r="Q152" s="340"/>
      <c r="R152" s="340"/>
      <c r="S152" s="340"/>
      <c r="T152" s="340"/>
      <c r="U152" s="340"/>
      <c r="V152" s="382" t="str">
        <f>IF($I152="","",ハローワーク来所日パターン)</f>
        <v>②</v>
      </c>
      <c r="W152" s="382"/>
      <c r="X152" s="382"/>
      <c r="Y152" s="382"/>
      <c r="Z152" s="244"/>
      <c r="AA152" s="244"/>
      <c r="AB152" s="244"/>
      <c r="AC152" s="244"/>
      <c r="AD152" s="15"/>
      <c r="AE152" s="15"/>
      <c r="AF152" s="15"/>
      <c r="AG152" s="15"/>
      <c r="AH152" s="91"/>
      <c r="AI152" s="88"/>
      <c r="AJ152" s="133" t="s">
        <v>92</v>
      </c>
      <c r="AK152" s="134"/>
      <c r="AL152" s="88"/>
      <c r="AM152" s="88"/>
      <c r="AN152" s="20"/>
      <c r="AO152" s="20"/>
      <c r="AP152" s="20"/>
      <c r="AQ152" s="20"/>
      <c r="AR152" s="20"/>
      <c r="AS152" s="20"/>
      <c r="AT152" s="20"/>
      <c r="AU152" s="20"/>
      <c r="AV152" s="20"/>
    </row>
    <row r="153" spans="1:48" ht="18" customHeight="1" thickTop="1">
      <c r="A153" s="363" t="s">
        <v>93</v>
      </c>
      <c r="B153" s="364"/>
      <c r="C153" s="365">
        <v>0.67361111111111116</v>
      </c>
      <c r="D153" s="366"/>
      <c r="E153" s="94" t="s">
        <v>72</v>
      </c>
      <c r="F153" s="366">
        <v>0.70833333333333337</v>
      </c>
      <c r="G153" s="367"/>
      <c r="H153" s="15"/>
      <c r="I153" s="380" t="str">
        <f>IF(AND(ハローワーク来所日パターン&lt;&gt;"",$C$95&lt;&gt;"",訓練終了日&gt;ハローワーク来所日4),"４回目","")</f>
        <v>４回目</v>
      </c>
      <c r="J153" s="381"/>
      <c r="K153" s="339">
        <f>IF($I153="","",ハローワーク来所日4)</f>
        <v>46231</v>
      </c>
      <c r="L153" s="340"/>
      <c r="M153" s="340"/>
      <c r="N153" s="340"/>
      <c r="O153" s="340"/>
      <c r="P153" s="340"/>
      <c r="Q153" s="340"/>
      <c r="R153" s="340"/>
      <c r="S153" s="340"/>
      <c r="T153" s="340"/>
      <c r="U153" s="340"/>
      <c r="V153" s="382" t="str">
        <f>IF($I153="","",ハローワーク来所日パターン)</f>
        <v>②</v>
      </c>
      <c r="W153" s="382"/>
      <c r="X153" s="382"/>
      <c r="Y153" s="382"/>
      <c r="Z153" s="244"/>
      <c r="AA153" s="244"/>
      <c r="AB153" s="244"/>
      <c r="AC153" s="244"/>
      <c r="AD153" s="15"/>
      <c r="AE153" s="15"/>
      <c r="AF153" s="15"/>
      <c r="AG153" s="15"/>
      <c r="AH153" s="91"/>
      <c r="AI153" s="88"/>
      <c r="AJ153" s="88"/>
      <c r="AK153" s="88"/>
      <c r="AL153" s="88"/>
      <c r="AM153" s="88"/>
      <c r="AN153" s="20"/>
      <c r="AO153" s="20"/>
      <c r="AP153" s="20"/>
      <c r="AQ153" s="20"/>
      <c r="AR153" s="20"/>
      <c r="AS153" s="20"/>
      <c r="AT153" s="20"/>
      <c r="AU153" s="20"/>
      <c r="AV153" s="20"/>
    </row>
    <row r="154" spans="1:48" ht="17.850000000000001" customHeight="1">
      <c r="A154" s="363" t="s">
        <v>94</v>
      </c>
      <c r="B154" s="364"/>
      <c r="C154" s="365">
        <v>0.70833333333333337</v>
      </c>
      <c r="D154" s="366"/>
      <c r="E154" s="94" t="s">
        <v>72</v>
      </c>
      <c r="F154" s="366">
        <v>0.75</v>
      </c>
      <c r="G154" s="367"/>
      <c r="H154" s="15"/>
      <c r="I154" s="380" t="str">
        <f>IF(AND(ハローワーク来所日パターン&lt;&gt;"",$C$116&lt;&gt;"",訓練終了日&gt;ハローワーク来所日5),"５回目","")</f>
        <v>５回目</v>
      </c>
      <c r="J154" s="381"/>
      <c r="K154" s="339">
        <f>IF($I154="","",ハローワーク来所日5)</f>
        <v>46259</v>
      </c>
      <c r="L154" s="340"/>
      <c r="M154" s="340"/>
      <c r="N154" s="340"/>
      <c r="O154" s="340"/>
      <c r="P154" s="340"/>
      <c r="Q154" s="340"/>
      <c r="R154" s="340"/>
      <c r="S154" s="340"/>
      <c r="T154" s="340"/>
      <c r="U154" s="340"/>
      <c r="V154" s="382" t="str">
        <f>IF($I154="","",ハローワーク来所日パターン)</f>
        <v>②</v>
      </c>
      <c r="W154" s="382"/>
      <c r="X154" s="382"/>
      <c r="Y154" s="382"/>
      <c r="Z154" s="244"/>
      <c r="AA154" s="244"/>
      <c r="AB154" s="244"/>
      <c r="AC154" s="244"/>
      <c r="AD154" s="15"/>
      <c r="AE154" s="15"/>
      <c r="AF154" s="15"/>
      <c r="AG154" s="15"/>
      <c r="AH154" s="91"/>
      <c r="AI154" s="88"/>
      <c r="AJ154" s="88"/>
      <c r="AK154" s="88"/>
      <c r="AL154" s="88"/>
      <c r="AM154" s="88"/>
      <c r="AN154" s="20"/>
      <c r="AO154" s="20"/>
      <c r="AP154" s="20"/>
      <c r="AQ154" s="20"/>
      <c r="AR154" s="20"/>
      <c r="AS154" s="20"/>
      <c r="AT154" s="20"/>
      <c r="AU154" s="20"/>
      <c r="AV154" s="20"/>
    </row>
    <row r="155" spans="1:48" ht="18" hidden="1" customHeight="1">
      <c r="A155" s="368" t="s">
        <v>95</v>
      </c>
      <c r="B155" s="369"/>
      <c r="C155" s="370"/>
      <c r="D155" s="371"/>
      <c r="E155" s="102" t="s">
        <v>72</v>
      </c>
      <c r="F155" s="371"/>
      <c r="G155" s="372"/>
      <c r="H155" s="15"/>
      <c r="I155" s="15"/>
      <c r="J155" s="15"/>
      <c r="K155" s="103"/>
      <c r="L155" s="103"/>
      <c r="M155" s="103"/>
      <c r="N155" s="100"/>
      <c r="O155" s="103"/>
      <c r="P155" s="103"/>
      <c r="Q155" s="103"/>
      <c r="R155" s="103"/>
      <c r="S155" s="103"/>
      <c r="T155" s="103"/>
      <c r="U155" s="103"/>
      <c r="V155" s="379"/>
      <c r="W155" s="379"/>
      <c r="X155" s="379"/>
      <c r="Y155" s="379"/>
      <c r="Z155" s="104"/>
      <c r="AA155" s="104"/>
      <c r="AB155" s="104"/>
      <c r="AC155" s="104"/>
      <c r="AD155" s="15"/>
      <c r="AE155" s="15"/>
      <c r="AF155" s="15"/>
      <c r="AG155" s="15"/>
      <c r="AH155" s="91"/>
      <c r="AI155" s="88"/>
      <c r="AJ155" s="88"/>
      <c r="AK155" s="88"/>
      <c r="AL155" s="88"/>
      <c r="AM155" s="88"/>
      <c r="AN155" s="20"/>
      <c r="AO155" s="20"/>
      <c r="AP155" s="20"/>
      <c r="AQ155" s="20"/>
      <c r="AR155" s="20"/>
      <c r="AS155" s="20"/>
      <c r="AT155" s="20"/>
      <c r="AU155" s="20"/>
      <c r="AV155" s="20"/>
    </row>
    <row r="156" spans="1:48" ht="18" hidden="1" customHeight="1">
      <c r="A156" s="363" t="s">
        <v>94</v>
      </c>
      <c r="B156" s="364"/>
      <c r="C156" s="365"/>
      <c r="D156" s="366"/>
      <c r="E156" s="94" t="s">
        <v>72</v>
      </c>
      <c r="F156" s="366"/>
      <c r="G156" s="367"/>
      <c r="H156" s="15"/>
      <c r="I156" s="15"/>
      <c r="J156" s="15"/>
      <c r="K156" s="103"/>
      <c r="L156" s="103"/>
      <c r="M156" s="103"/>
      <c r="N156" s="100"/>
      <c r="O156" s="103"/>
      <c r="P156" s="103"/>
      <c r="Q156" s="103"/>
      <c r="R156" s="103"/>
      <c r="S156" s="103"/>
      <c r="T156" s="103"/>
      <c r="U156" s="103"/>
      <c r="V156" s="355"/>
      <c r="W156" s="355"/>
      <c r="X156" s="355"/>
      <c r="Y156" s="355"/>
      <c r="Z156" s="104"/>
      <c r="AA156" s="104"/>
      <c r="AB156" s="104"/>
      <c r="AC156" s="104"/>
      <c r="AD156" s="15"/>
      <c r="AE156" s="15"/>
      <c r="AF156" s="15"/>
      <c r="AG156" s="15"/>
      <c r="AH156" s="91"/>
      <c r="AI156" s="88"/>
      <c r="AJ156" s="88"/>
      <c r="AK156" s="88"/>
      <c r="AL156" s="88"/>
      <c r="AM156" s="88"/>
      <c r="AN156" s="20"/>
      <c r="AO156" s="20"/>
      <c r="AP156" s="20"/>
      <c r="AQ156" s="20"/>
      <c r="AR156" s="20"/>
      <c r="AS156" s="20"/>
      <c r="AT156" s="20"/>
      <c r="AU156" s="20"/>
      <c r="AV156" s="20"/>
    </row>
    <row r="157" spans="1:48" ht="15" hidden="1" customHeight="1">
      <c r="A157" s="22"/>
      <c r="B157" s="22"/>
      <c r="C157" s="105"/>
      <c r="D157" s="105"/>
      <c r="E157" s="22"/>
      <c r="F157" s="105"/>
      <c r="G157" s="105"/>
      <c r="H157" s="15"/>
      <c r="I157" s="15"/>
      <c r="J157" s="15"/>
      <c r="K157" s="103"/>
      <c r="L157" s="103"/>
      <c r="M157" s="103"/>
      <c r="O157" s="103"/>
      <c r="P157" s="103"/>
      <c r="Q157" s="103"/>
      <c r="R157" s="103"/>
      <c r="S157" s="103"/>
      <c r="T157" s="103"/>
      <c r="U157" s="103"/>
      <c r="V157" s="355"/>
      <c r="W157" s="355"/>
      <c r="X157" s="355"/>
      <c r="Y157" s="355"/>
      <c r="Z157" s="104"/>
      <c r="AA157" s="104"/>
      <c r="AB157" s="104"/>
      <c r="AC157" s="104"/>
      <c r="AD157" s="15"/>
      <c r="AE157" s="15"/>
      <c r="AF157" s="15"/>
      <c r="AG157" s="15"/>
      <c r="AH157" s="91"/>
      <c r="AI157" s="88"/>
      <c r="AJ157" s="88"/>
      <c r="AK157" s="88"/>
      <c r="AL157" s="88"/>
      <c r="AM157" s="88"/>
      <c r="AN157" s="20"/>
      <c r="AO157" s="20"/>
      <c r="AP157" s="20"/>
      <c r="AQ157" s="20"/>
      <c r="AR157" s="20"/>
      <c r="AS157" s="20"/>
      <c r="AT157" s="20"/>
      <c r="AU157" s="20"/>
      <c r="AV157" s="20"/>
    </row>
    <row r="158" spans="1:48" ht="18" hidden="1" customHeight="1">
      <c r="A158" s="376" t="s">
        <v>96</v>
      </c>
      <c r="B158" s="377"/>
      <c r="C158" s="377"/>
      <c r="D158" s="378"/>
      <c r="E158" s="378"/>
      <c r="F158" s="378"/>
      <c r="G158" s="15"/>
      <c r="H158" s="15"/>
      <c r="I158" s="15"/>
      <c r="J158" s="15"/>
      <c r="K158" s="103"/>
      <c r="L158" s="376" t="s">
        <v>97</v>
      </c>
      <c r="M158" s="377"/>
      <c r="N158" s="377"/>
      <c r="O158" s="378"/>
      <c r="P158" s="378"/>
      <c r="Q158" s="378"/>
      <c r="R158" s="15"/>
      <c r="S158" s="103"/>
      <c r="T158" s="103"/>
      <c r="U158" s="103"/>
      <c r="V158" s="355"/>
      <c r="W158" s="355"/>
      <c r="X158" s="355"/>
      <c r="Y158" s="355"/>
      <c r="Z158" s="104"/>
      <c r="AA158" s="104"/>
      <c r="AB158" s="104"/>
      <c r="AC158" s="104"/>
      <c r="AD158" s="15"/>
      <c r="AE158" s="15"/>
      <c r="AF158" s="15"/>
      <c r="AG158" s="15"/>
      <c r="AH158" s="91"/>
      <c r="AI158" s="88"/>
      <c r="AJ158" s="88"/>
      <c r="AK158" s="88"/>
      <c r="AL158" s="88"/>
      <c r="AM158" s="88"/>
      <c r="AN158" s="20"/>
      <c r="AO158" s="20"/>
      <c r="AP158" s="20"/>
      <c r="AQ158" s="20"/>
      <c r="AR158" s="20"/>
      <c r="AS158" s="20"/>
      <c r="AT158" s="20"/>
      <c r="AU158" s="20"/>
      <c r="AV158" s="20"/>
    </row>
    <row r="159" spans="1:48" ht="18" hidden="1" customHeight="1">
      <c r="A159" s="363" t="s">
        <v>83</v>
      </c>
      <c r="B159" s="364"/>
      <c r="C159" s="363" t="s">
        <v>84</v>
      </c>
      <c r="D159" s="375"/>
      <c r="E159" s="375"/>
      <c r="F159" s="375"/>
      <c r="G159" s="364"/>
      <c r="H159" s="15"/>
      <c r="J159" s="15"/>
      <c r="K159" s="15"/>
      <c r="L159" s="363" t="s">
        <v>83</v>
      </c>
      <c r="M159" s="364"/>
      <c r="N159" s="363" t="s">
        <v>84</v>
      </c>
      <c r="O159" s="375"/>
      <c r="P159" s="375"/>
      <c r="Q159" s="375"/>
      <c r="R159" s="364"/>
      <c r="S159" s="15"/>
      <c r="T159" s="15"/>
      <c r="U159" s="15"/>
      <c r="V159" s="355"/>
      <c r="W159" s="355"/>
      <c r="X159" s="355"/>
      <c r="Y159" s="355"/>
      <c r="Z159" s="15"/>
      <c r="AA159" s="15"/>
      <c r="AB159" s="15"/>
      <c r="AC159" s="15"/>
      <c r="AD159" s="15"/>
      <c r="AE159" s="15"/>
      <c r="AF159" s="15"/>
      <c r="AG159" s="15"/>
      <c r="AH159" s="91"/>
      <c r="AI159" s="20"/>
      <c r="AJ159" s="20"/>
      <c r="AK159" s="20"/>
      <c r="AL159" s="20"/>
      <c r="AM159" s="20"/>
      <c r="AN159" s="20"/>
      <c r="AO159" s="20"/>
      <c r="AP159" s="20"/>
      <c r="AQ159" s="20"/>
      <c r="AR159" s="20"/>
      <c r="AS159" s="20"/>
      <c r="AT159" s="20"/>
      <c r="AU159" s="20"/>
      <c r="AV159" s="20"/>
    </row>
    <row r="160" spans="1:48" ht="18" hidden="1" customHeight="1">
      <c r="A160" s="363" t="s">
        <v>85</v>
      </c>
      <c r="B160" s="364"/>
      <c r="C160" s="370"/>
      <c r="D160" s="371"/>
      <c r="E160" s="94" t="s">
        <v>72</v>
      </c>
      <c r="F160" s="366"/>
      <c r="G160" s="374"/>
      <c r="H160" s="15"/>
      <c r="I160" s="100"/>
      <c r="J160" s="15"/>
      <c r="K160" s="15"/>
      <c r="L160" s="363" t="s">
        <v>85</v>
      </c>
      <c r="M160" s="364"/>
      <c r="N160" s="370"/>
      <c r="O160" s="371"/>
      <c r="P160" s="94" t="s">
        <v>72</v>
      </c>
      <c r="Q160" s="366"/>
      <c r="R160" s="374"/>
      <c r="S160" s="15"/>
      <c r="T160" s="15"/>
      <c r="U160" s="15"/>
      <c r="V160" s="355"/>
      <c r="W160" s="355"/>
      <c r="X160" s="355"/>
      <c r="Y160" s="355"/>
      <c r="Z160" s="15"/>
      <c r="AA160" s="15"/>
      <c r="AB160" s="15"/>
      <c r="AC160" s="15"/>
      <c r="AD160" s="15"/>
      <c r="AE160" s="15"/>
      <c r="AF160" s="15"/>
      <c r="AG160" s="15"/>
      <c r="AH160" s="91"/>
      <c r="AI160" s="20"/>
      <c r="AJ160" s="20"/>
      <c r="AK160" s="20"/>
      <c r="AL160" s="20"/>
      <c r="AM160" s="20"/>
      <c r="AN160" s="20"/>
      <c r="AO160" s="20"/>
      <c r="AP160" s="20"/>
      <c r="AQ160" s="20"/>
      <c r="AR160" s="20"/>
      <c r="AS160" s="20"/>
      <c r="AT160" s="20"/>
      <c r="AU160" s="20"/>
      <c r="AV160" s="20"/>
    </row>
    <row r="161" spans="1:48" ht="18" hidden="1" customHeight="1">
      <c r="A161" s="363" t="s">
        <v>87</v>
      </c>
      <c r="B161" s="364"/>
      <c r="C161" s="365"/>
      <c r="D161" s="373"/>
      <c r="E161" s="94" t="s">
        <v>72</v>
      </c>
      <c r="F161" s="366"/>
      <c r="G161" s="374"/>
      <c r="H161" s="15"/>
      <c r="I161" s="100"/>
      <c r="J161" s="15"/>
      <c r="K161" s="15"/>
      <c r="L161" s="363" t="s">
        <v>87</v>
      </c>
      <c r="M161" s="364"/>
      <c r="N161" s="365"/>
      <c r="O161" s="373"/>
      <c r="P161" s="94" t="s">
        <v>72</v>
      </c>
      <c r="Q161" s="366"/>
      <c r="R161" s="374"/>
      <c r="S161" s="15"/>
      <c r="T161" s="15"/>
      <c r="U161" s="15"/>
      <c r="V161" s="355"/>
      <c r="W161" s="355"/>
      <c r="X161" s="355"/>
      <c r="Y161" s="355"/>
      <c r="Z161" s="15"/>
      <c r="AA161" s="15"/>
      <c r="AB161" s="15"/>
      <c r="AC161" s="15"/>
      <c r="AD161" s="15"/>
      <c r="AE161" s="15"/>
      <c r="AF161" s="15"/>
      <c r="AG161" s="15"/>
      <c r="AH161" s="91"/>
      <c r="AI161" s="20"/>
      <c r="AJ161" s="20"/>
      <c r="AK161" s="20"/>
      <c r="AL161" s="20"/>
      <c r="AM161" s="20"/>
      <c r="AN161" s="20"/>
      <c r="AO161" s="20"/>
      <c r="AP161" s="20"/>
      <c r="AQ161" s="20"/>
      <c r="AR161" s="20"/>
      <c r="AS161" s="20"/>
      <c r="AT161" s="20"/>
      <c r="AU161" s="20"/>
      <c r="AV161" s="20"/>
    </row>
    <row r="162" spans="1:48" ht="18" hidden="1" customHeight="1">
      <c r="A162" s="363" t="s">
        <v>88</v>
      </c>
      <c r="B162" s="364"/>
      <c r="C162" s="365"/>
      <c r="D162" s="373"/>
      <c r="E162" s="94" t="s">
        <v>72</v>
      </c>
      <c r="F162" s="366"/>
      <c r="G162" s="374"/>
      <c r="H162" s="15"/>
      <c r="I162" s="100"/>
      <c r="J162" s="15"/>
      <c r="K162" s="15"/>
      <c r="L162" s="363" t="s">
        <v>88</v>
      </c>
      <c r="M162" s="364"/>
      <c r="N162" s="365"/>
      <c r="O162" s="373"/>
      <c r="P162" s="94" t="s">
        <v>72</v>
      </c>
      <c r="Q162" s="366"/>
      <c r="R162" s="374"/>
      <c r="S162" s="15"/>
      <c r="T162" s="15"/>
      <c r="U162" s="15"/>
      <c r="V162" s="355"/>
      <c r="W162" s="355"/>
      <c r="X162" s="355"/>
      <c r="Y162" s="355"/>
      <c r="Z162" s="15"/>
      <c r="AA162" s="15"/>
      <c r="AB162" s="15"/>
      <c r="AC162" s="15"/>
      <c r="AD162" s="15"/>
      <c r="AE162" s="15"/>
      <c r="AF162" s="15"/>
      <c r="AG162" s="15"/>
      <c r="AH162" s="91"/>
      <c r="AI162" s="20"/>
      <c r="AJ162" s="20"/>
      <c r="AK162" s="20"/>
      <c r="AL162" s="20"/>
      <c r="AM162" s="20"/>
      <c r="AN162" s="20"/>
      <c r="AO162" s="20"/>
      <c r="AP162" s="20"/>
      <c r="AQ162" s="20"/>
      <c r="AR162" s="20"/>
      <c r="AS162" s="20"/>
      <c r="AT162" s="20"/>
      <c r="AU162" s="20"/>
      <c r="AV162" s="20"/>
    </row>
    <row r="163" spans="1:48" ht="18" hidden="1" customHeight="1">
      <c r="A163" s="363" t="s">
        <v>90</v>
      </c>
      <c r="B163" s="364"/>
      <c r="C163" s="365"/>
      <c r="D163" s="373"/>
      <c r="E163" s="94" t="s">
        <v>72</v>
      </c>
      <c r="F163" s="366"/>
      <c r="G163" s="374"/>
      <c r="H163" s="15"/>
      <c r="I163" s="100"/>
      <c r="J163" s="15"/>
      <c r="K163" s="15"/>
      <c r="L163" s="363" t="s">
        <v>90</v>
      </c>
      <c r="M163" s="364"/>
      <c r="N163" s="365"/>
      <c r="O163" s="373"/>
      <c r="P163" s="94" t="s">
        <v>72</v>
      </c>
      <c r="Q163" s="366"/>
      <c r="R163" s="374"/>
      <c r="S163" s="15"/>
      <c r="T163" s="15"/>
      <c r="U163" s="15"/>
      <c r="V163" s="355"/>
      <c r="W163" s="355"/>
      <c r="X163" s="355"/>
      <c r="Y163" s="355"/>
      <c r="Z163" s="15"/>
      <c r="AA163" s="15"/>
      <c r="AB163" s="15"/>
      <c r="AC163" s="15"/>
      <c r="AD163" s="15"/>
      <c r="AE163" s="15"/>
      <c r="AF163" s="15"/>
      <c r="AG163" s="15"/>
      <c r="AH163" s="91"/>
      <c r="AI163" s="20"/>
      <c r="AJ163" s="20"/>
      <c r="AK163" s="20"/>
      <c r="AL163" s="20"/>
      <c r="AM163" s="20"/>
      <c r="AN163" s="20"/>
      <c r="AO163" s="20"/>
      <c r="AP163" s="20"/>
      <c r="AQ163" s="20"/>
      <c r="AR163" s="20"/>
      <c r="AS163" s="20"/>
      <c r="AT163" s="20"/>
      <c r="AU163" s="20"/>
      <c r="AV163" s="20"/>
    </row>
    <row r="164" spans="1:48" ht="18" hidden="1" customHeight="1">
      <c r="A164" s="363" t="s">
        <v>91</v>
      </c>
      <c r="B164" s="364"/>
      <c r="C164" s="365"/>
      <c r="D164" s="373"/>
      <c r="E164" s="94" t="s">
        <v>72</v>
      </c>
      <c r="F164" s="366"/>
      <c r="G164" s="374"/>
      <c r="H164" s="15"/>
      <c r="I164" s="100"/>
      <c r="J164" s="15"/>
      <c r="K164" s="15"/>
      <c r="L164" s="363" t="s">
        <v>91</v>
      </c>
      <c r="M164" s="364"/>
      <c r="N164" s="365"/>
      <c r="O164" s="373"/>
      <c r="P164" s="94" t="s">
        <v>72</v>
      </c>
      <c r="Q164" s="366"/>
      <c r="R164" s="374"/>
      <c r="S164" s="15"/>
      <c r="T164" s="15"/>
      <c r="U164" s="15"/>
      <c r="V164" s="355"/>
      <c r="W164" s="355"/>
      <c r="X164" s="355"/>
      <c r="Y164" s="355"/>
      <c r="Z164" s="15"/>
      <c r="AA164" s="15"/>
      <c r="AB164" s="15"/>
      <c r="AC164" s="15"/>
      <c r="AD164" s="15"/>
      <c r="AE164" s="15"/>
      <c r="AF164" s="15"/>
      <c r="AG164" s="15"/>
      <c r="AH164" s="91"/>
      <c r="AI164" s="20"/>
      <c r="AJ164" s="20"/>
      <c r="AK164" s="20"/>
      <c r="AL164" s="20"/>
      <c r="AM164" s="20"/>
      <c r="AN164" s="20"/>
      <c r="AO164" s="20"/>
      <c r="AP164" s="20"/>
      <c r="AQ164" s="20"/>
      <c r="AR164" s="20"/>
      <c r="AS164" s="20"/>
      <c r="AT164" s="20"/>
      <c r="AU164" s="20"/>
      <c r="AV164" s="20"/>
    </row>
    <row r="165" spans="1:48" ht="18" hidden="1" customHeight="1">
      <c r="A165" s="363" t="s">
        <v>93</v>
      </c>
      <c r="B165" s="364"/>
      <c r="C165" s="365"/>
      <c r="D165" s="373"/>
      <c r="E165" s="94" t="s">
        <v>72</v>
      </c>
      <c r="F165" s="366"/>
      <c r="G165" s="374"/>
      <c r="H165" s="15"/>
      <c r="I165" s="100"/>
      <c r="J165" s="15"/>
      <c r="K165" s="15"/>
      <c r="L165" s="363" t="s">
        <v>93</v>
      </c>
      <c r="M165" s="364"/>
      <c r="N165" s="365"/>
      <c r="O165" s="373"/>
      <c r="P165" s="94" t="s">
        <v>72</v>
      </c>
      <c r="Q165" s="366"/>
      <c r="R165" s="374"/>
      <c r="S165" s="15"/>
      <c r="T165" s="15"/>
      <c r="U165" s="15"/>
      <c r="V165" s="355"/>
      <c r="W165" s="355"/>
      <c r="X165" s="355"/>
      <c r="Y165" s="355"/>
      <c r="Z165" s="15"/>
      <c r="AA165" s="15"/>
      <c r="AB165" s="15"/>
      <c r="AC165" s="15"/>
      <c r="AD165" s="15"/>
      <c r="AE165" s="15"/>
      <c r="AF165" s="15"/>
      <c r="AG165" s="15"/>
      <c r="AH165" s="91"/>
      <c r="AI165" s="20"/>
      <c r="AJ165" s="20"/>
      <c r="AK165" s="20"/>
      <c r="AL165" s="20"/>
      <c r="AM165" s="20"/>
      <c r="AN165" s="20"/>
      <c r="AO165" s="20"/>
      <c r="AP165" s="20"/>
      <c r="AQ165" s="20"/>
      <c r="AR165" s="20"/>
      <c r="AS165" s="20"/>
      <c r="AT165" s="20"/>
      <c r="AU165" s="20"/>
      <c r="AV165" s="20"/>
    </row>
    <row r="166" spans="1:48" ht="18" hidden="1" customHeight="1">
      <c r="A166" s="363" t="s">
        <v>94</v>
      </c>
      <c r="B166" s="364"/>
      <c r="C166" s="365"/>
      <c r="D166" s="373"/>
      <c r="E166" s="94" t="s">
        <v>72</v>
      </c>
      <c r="F166" s="366"/>
      <c r="G166" s="374"/>
      <c r="H166" s="15"/>
      <c r="I166" s="100"/>
      <c r="J166" s="15"/>
      <c r="K166" s="15"/>
      <c r="L166" s="363" t="s">
        <v>94</v>
      </c>
      <c r="M166" s="364"/>
      <c r="N166" s="365"/>
      <c r="O166" s="373"/>
      <c r="P166" s="94" t="s">
        <v>72</v>
      </c>
      <c r="Q166" s="366"/>
      <c r="R166" s="374"/>
      <c r="S166" s="15"/>
      <c r="T166" s="15"/>
      <c r="U166" s="15"/>
      <c r="V166" s="355"/>
      <c r="W166" s="355"/>
      <c r="X166" s="355"/>
      <c r="Y166" s="355"/>
      <c r="Z166" s="15"/>
      <c r="AA166" s="15"/>
      <c r="AB166" s="15"/>
      <c r="AC166" s="15"/>
      <c r="AD166" s="15"/>
      <c r="AE166" s="15"/>
      <c r="AF166" s="15"/>
      <c r="AG166" s="15"/>
      <c r="AH166" s="91"/>
      <c r="AI166" s="20"/>
      <c r="AJ166" s="20"/>
      <c r="AK166" s="20"/>
      <c r="AL166" s="20"/>
      <c r="AM166" s="20"/>
      <c r="AN166" s="20"/>
      <c r="AO166" s="20"/>
      <c r="AP166" s="20"/>
      <c r="AQ166" s="20"/>
      <c r="AR166" s="20"/>
      <c r="AS166" s="20"/>
      <c r="AT166" s="20"/>
      <c r="AU166" s="20"/>
      <c r="AV166" s="20"/>
    </row>
    <row r="167" spans="1:48" ht="18" hidden="1" customHeight="1">
      <c r="A167" s="368" t="s">
        <v>95</v>
      </c>
      <c r="B167" s="369"/>
      <c r="C167" s="370"/>
      <c r="D167" s="371"/>
      <c r="E167" s="102" t="s">
        <v>72</v>
      </c>
      <c r="F167" s="371"/>
      <c r="G167" s="372"/>
      <c r="H167" s="15"/>
      <c r="I167" s="15"/>
      <c r="J167" s="15"/>
      <c r="K167" s="103"/>
      <c r="L167" s="368" t="s">
        <v>95</v>
      </c>
      <c r="M167" s="369"/>
      <c r="N167" s="370"/>
      <c r="O167" s="371"/>
      <c r="P167" s="102" t="s">
        <v>72</v>
      </c>
      <c r="Q167" s="371"/>
      <c r="R167" s="372"/>
      <c r="S167" s="103"/>
      <c r="T167" s="103"/>
      <c r="U167" s="103"/>
      <c r="V167" s="355"/>
      <c r="W167" s="355"/>
      <c r="X167" s="355"/>
      <c r="Y167" s="355"/>
      <c r="Z167" s="104"/>
      <c r="AA167" s="104"/>
      <c r="AB167" s="104"/>
      <c r="AC167" s="104"/>
      <c r="AD167" s="15"/>
      <c r="AE167" s="15"/>
      <c r="AF167" s="15"/>
      <c r="AG167" s="15"/>
      <c r="AH167" s="91"/>
      <c r="AI167" s="88"/>
      <c r="AJ167" s="88"/>
      <c r="AK167" s="88"/>
      <c r="AL167" s="88"/>
      <c r="AM167" s="88"/>
      <c r="AN167" s="20"/>
      <c r="AO167" s="20"/>
      <c r="AP167" s="20"/>
      <c r="AQ167" s="20"/>
      <c r="AR167" s="20"/>
      <c r="AS167" s="20"/>
      <c r="AT167" s="20"/>
      <c r="AU167" s="20"/>
      <c r="AV167" s="20"/>
    </row>
    <row r="168" spans="1:48" ht="18" hidden="1" customHeight="1">
      <c r="A168" s="363" t="s">
        <v>94</v>
      </c>
      <c r="B168" s="364"/>
      <c r="C168" s="365"/>
      <c r="D168" s="366"/>
      <c r="E168" s="94" t="s">
        <v>72</v>
      </c>
      <c r="F168" s="366"/>
      <c r="G168" s="367"/>
      <c r="H168" s="15"/>
      <c r="I168" s="15"/>
      <c r="J168" s="15"/>
      <c r="K168" s="103"/>
      <c r="L168" s="363" t="s">
        <v>94</v>
      </c>
      <c r="M168" s="364"/>
      <c r="N168" s="365"/>
      <c r="O168" s="366"/>
      <c r="P168" s="94" t="s">
        <v>72</v>
      </c>
      <c r="Q168" s="366"/>
      <c r="R168" s="367"/>
      <c r="S168" s="103"/>
      <c r="T168" s="103"/>
      <c r="U168" s="103"/>
      <c r="V168" s="355"/>
      <c r="W168" s="355"/>
      <c r="X168" s="355"/>
      <c r="Y168" s="355"/>
      <c r="Z168" s="104"/>
      <c r="AA168" s="104"/>
      <c r="AB168" s="104"/>
      <c r="AC168" s="104"/>
      <c r="AD168" s="15"/>
      <c r="AE168" s="15"/>
      <c r="AF168" s="15"/>
      <c r="AG168" s="15"/>
      <c r="AH168" s="91"/>
      <c r="AI168" s="88"/>
      <c r="AJ168" s="88"/>
      <c r="AK168" s="88"/>
      <c r="AL168" s="88"/>
      <c r="AM168" s="88"/>
      <c r="AN168" s="20"/>
      <c r="AO168" s="20"/>
      <c r="AP168" s="20"/>
      <c r="AQ168" s="20"/>
      <c r="AR168" s="20"/>
      <c r="AS168" s="20"/>
      <c r="AT168" s="20"/>
      <c r="AU168" s="20"/>
      <c r="AV168" s="20"/>
    </row>
    <row r="169" spans="1:48" ht="80.099999999999994" customHeight="1">
      <c r="D169" s="106"/>
      <c r="E169" s="106"/>
      <c r="F169" s="106"/>
      <c r="G169" s="106"/>
      <c r="H169" s="106"/>
      <c r="I169" s="106"/>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91"/>
      <c r="AI169" s="20"/>
      <c r="AJ169" s="20"/>
      <c r="AK169" s="20"/>
      <c r="AL169" s="20"/>
      <c r="AM169" s="20"/>
      <c r="AN169" s="20"/>
      <c r="AO169" s="20"/>
      <c r="AP169" s="20"/>
      <c r="AQ169" s="20"/>
      <c r="AR169" s="20"/>
      <c r="AS169" s="20"/>
      <c r="AT169" s="20"/>
      <c r="AU169" s="20"/>
      <c r="AV169" s="20"/>
    </row>
    <row r="170" spans="1:48" ht="18" customHeight="1">
      <c r="A170" s="356" t="s">
        <v>98</v>
      </c>
      <c r="B170" s="356"/>
      <c r="C170" s="356"/>
      <c r="D170" s="356"/>
      <c r="E170" s="356"/>
      <c r="F170" s="356"/>
      <c r="G170" s="356"/>
      <c r="H170" s="356"/>
      <c r="I170" s="356"/>
      <c r="J170" s="356"/>
      <c r="K170" s="356"/>
      <c r="L170" s="356"/>
      <c r="M170" s="356"/>
      <c r="N170" s="356"/>
      <c r="O170" s="356"/>
      <c r="P170" s="357" t="str">
        <f>IF(AND(訓練種別コード="001",AI21+AI44+AI66+AI88&gt;0),"　　能開講習設定日数：　　　　　"&amp;AI21+AI44+AI66+AI88&amp;"　日","")</f>
        <v/>
      </c>
      <c r="Q170" s="357"/>
      <c r="R170" s="357"/>
      <c r="S170" s="357"/>
      <c r="T170" s="357"/>
      <c r="U170" s="357"/>
      <c r="V170" s="357"/>
      <c r="W170" s="357"/>
      <c r="X170" s="15"/>
      <c r="Y170" s="15"/>
      <c r="Z170" s="15"/>
      <c r="AA170" s="15"/>
      <c r="AB170" s="15"/>
      <c r="AC170" s="15"/>
      <c r="AD170" s="15"/>
      <c r="AE170" s="15"/>
      <c r="AF170" s="15"/>
      <c r="AG170" s="15"/>
      <c r="AH170" s="91"/>
      <c r="AI170" s="20"/>
      <c r="AJ170" s="20"/>
      <c r="AK170" s="20"/>
      <c r="AL170" s="20"/>
      <c r="AM170" s="20"/>
      <c r="AN170" s="20"/>
      <c r="AO170" s="20"/>
      <c r="AP170" s="20"/>
      <c r="AQ170" s="20"/>
      <c r="AR170" s="20"/>
      <c r="AS170" s="20"/>
      <c r="AT170" s="20"/>
      <c r="AU170" s="20"/>
      <c r="AV170" s="20"/>
    </row>
    <row r="171" spans="1:48" ht="18" customHeight="1">
      <c r="A171" s="93"/>
      <c r="B171" s="94"/>
      <c r="C171" s="94"/>
      <c r="D171" s="95"/>
      <c r="E171" s="349" t="s">
        <v>73</v>
      </c>
      <c r="F171" s="350"/>
      <c r="G171" s="350"/>
      <c r="H171" s="350"/>
      <c r="I171" s="350"/>
      <c r="J171" s="350"/>
      <c r="K171" s="350"/>
      <c r="L171" s="350"/>
      <c r="M171" s="350"/>
      <c r="N171" s="350"/>
      <c r="O171" s="350"/>
      <c r="P171" s="349" t="s">
        <v>99</v>
      </c>
      <c r="Q171" s="350"/>
      <c r="R171" s="350"/>
      <c r="S171" s="351"/>
      <c r="T171" s="349" t="s">
        <v>100</v>
      </c>
      <c r="U171" s="358"/>
      <c r="V171" s="358"/>
      <c r="W171" s="359"/>
      <c r="X171" s="360" t="str">
        <f>IF(訓練種別コード="002","オンライン訓練時間","")</f>
        <v>オンライン訓練時間</v>
      </c>
      <c r="Y171" s="361"/>
      <c r="Z171" s="361"/>
      <c r="AA171" s="361"/>
      <c r="AB171" s="362"/>
      <c r="AC171" s="349" t="s">
        <v>101</v>
      </c>
      <c r="AD171" s="350"/>
      <c r="AE171" s="350"/>
      <c r="AF171" s="350"/>
      <c r="AG171" s="351"/>
      <c r="AH171" s="91"/>
      <c r="AI171" s="352" t="s">
        <v>102</v>
      </c>
      <c r="AJ171" s="352"/>
      <c r="AK171" s="20"/>
      <c r="AL171" s="20"/>
      <c r="AM171" s="20"/>
      <c r="AN171" s="20"/>
      <c r="AO171" s="20"/>
      <c r="AP171" s="20"/>
      <c r="AQ171" s="20"/>
      <c r="AR171" s="20"/>
      <c r="AS171" s="20"/>
      <c r="AT171" s="20"/>
      <c r="AU171" s="20"/>
      <c r="AV171" s="20"/>
    </row>
    <row r="172" spans="1:48" ht="18" customHeight="1">
      <c r="A172" s="108"/>
      <c r="B172" s="214">
        <f>IF(E172="","",1)</f>
        <v>1</v>
      </c>
      <c r="C172" s="109" t="s">
        <v>103</v>
      </c>
      <c r="D172" s="110"/>
      <c r="E172" s="339">
        <f>訓練開始日</f>
        <v>46100</v>
      </c>
      <c r="F172" s="340"/>
      <c r="G172" s="340"/>
      <c r="H172" s="340"/>
      <c r="I172" s="340"/>
      <c r="J172" s="94" t="s">
        <v>104</v>
      </c>
      <c r="K172" s="340">
        <f>IF(訓練開始日="","",IF(訓練終了日&lt;EDATE(訓練開始日,1)-1,訓練終了日,EDATE(E172,1)-1))</f>
        <v>46130</v>
      </c>
      <c r="L172" s="340"/>
      <c r="M172" s="340"/>
      <c r="N172" s="340"/>
      <c r="O172" s="341"/>
      <c r="P172" s="108"/>
      <c r="Q172" s="215">
        <f>IF(E172="","",(K172-E172+1))</f>
        <v>31</v>
      </c>
      <c r="R172" s="112" t="s">
        <v>52</v>
      </c>
      <c r="S172" s="101"/>
      <c r="T172" s="113"/>
      <c r="U172" s="215">
        <f>IF(E172="","",[9]機構処理!$BG$24)</f>
        <v>17</v>
      </c>
      <c r="V172" s="112" t="s">
        <v>52</v>
      </c>
      <c r="W172" s="101"/>
      <c r="X172" s="353">
        <f>IF(E172="","",[9]機構処理!BG72)</f>
        <v>0</v>
      </c>
      <c r="Y172" s="354"/>
      <c r="Z172" s="354"/>
      <c r="AA172" s="114" t="s">
        <v>66</v>
      </c>
      <c r="AB172" s="107"/>
      <c r="AC172" s="344">
        <f>IF(E172="","",[9]機構処理!$BH$25)</f>
        <v>84</v>
      </c>
      <c r="AD172" s="345"/>
      <c r="AE172" s="345"/>
      <c r="AF172" s="324" t="s">
        <v>66</v>
      </c>
      <c r="AG172" s="325"/>
      <c r="AH172" s="346" t="str">
        <f>[9]機構処理!BR26</f>
        <v/>
      </c>
      <c r="AI172" s="347"/>
      <c r="AJ172" s="347"/>
      <c r="AK172" s="347"/>
      <c r="AL172" s="347"/>
      <c r="AM172" s="20"/>
      <c r="AN172" s="20"/>
      <c r="AO172" s="348"/>
      <c r="AP172" s="348"/>
      <c r="AQ172" s="348"/>
      <c r="AR172" s="20"/>
      <c r="AS172" s="20"/>
      <c r="AT172" s="20"/>
      <c r="AU172" s="20"/>
      <c r="AV172" s="20"/>
    </row>
    <row r="173" spans="1:48" ht="18" customHeight="1">
      <c r="A173" s="108"/>
      <c r="B173" s="214">
        <f>IF(E173="","",2)</f>
        <v>2</v>
      </c>
      <c r="C173" s="109" t="s">
        <v>103</v>
      </c>
      <c r="D173" s="110"/>
      <c r="E173" s="339">
        <f>IF(訓練開始日="","",IF(EDATE(訓練開始日,1)&gt;訓練終了日,"",EDATE(訓練開始日,1)))</f>
        <v>46131</v>
      </c>
      <c r="F173" s="340"/>
      <c r="G173" s="340"/>
      <c r="H173" s="340"/>
      <c r="I173" s="340"/>
      <c r="J173" s="94" t="s">
        <v>104</v>
      </c>
      <c r="K173" s="340">
        <f>IF(E173="","",IF(EDATE(E173,1)-1&lt;訓練終了日,EDATE(E173,1)-1,訓練終了日))</f>
        <v>46160</v>
      </c>
      <c r="L173" s="340"/>
      <c r="M173" s="340"/>
      <c r="N173" s="340"/>
      <c r="O173" s="341"/>
      <c r="P173" s="108"/>
      <c r="Q173" s="215">
        <f>IF(E173="","",(K173-E173+1))</f>
        <v>30</v>
      </c>
      <c r="R173" s="109" t="s">
        <v>52</v>
      </c>
      <c r="S173" s="101"/>
      <c r="T173" s="108"/>
      <c r="U173" s="215">
        <f>IF(E173="","",[9]機構処理!$BG$30)</f>
        <v>14</v>
      </c>
      <c r="V173" s="109" t="s">
        <v>52</v>
      </c>
      <c r="W173" s="101"/>
      <c r="X173" s="342">
        <f>IF(E173="","",[9]機構処理!BG77)</f>
        <v>0</v>
      </c>
      <c r="Y173" s="343"/>
      <c r="Z173" s="343"/>
      <c r="AA173" s="114" t="s">
        <v>66</v>
      </c>
      <c r="AB173" s="107"/>
      <c r="AC173" s="344">
        <f>IF(E173="","",[9]機構処理!$BH$31)</f>
        <v>84</v>
      </c>
      <c r="AD173" s="345"/>
      <c r="AE173" s="345"/>
      <c r="AF173" s="324" t="s">
        <v>66</v>
      </c>
      <c r="AG173" s="325"/>
      <c r="AH173" s="346" t="str">
        <f>[9]機構処理!BR27</f>
        <v/>
      </c>
      <c r="AI173" s="347"/>
      <c r="AJ173" s="347"/>
      <c r="AK173" s="347"/>
      <c r="AL173" s="347"/>
      <c r="AM173" s="20"/>
      <c r="AN173" s="20"/>
      <c r="AO173" s="20"/>
      <c r="AP173" s="20"/>
      <c r="AQ173" s="20"/>
      <c r="AR173" s="20"/>
      <c r="AS173" s="20"/>
      <c r="AT173" s="20"/>
      <c r="AU173" s="20"/>
      <c r="AV173" s="20"/>
    </row>
    <row r="174" spans="1:48" ht="18" customHeight="1">
      <c r="A174" s="108"/>
      <c r="B174" s="214">
        <f>IF(E174="","",3)</f>
        <v>3</v>
      </c>
      <c r="C174" s="109" t="s">
        <v>103</v>
      </c>
      <c r="D174" s="110"/>
      <c r="E174" s="339">
        <f>IF(E173="","",IF(EDATE(E173,1)&lt;=訓練終了日,EDATE(E173,1),""))</f>
        <v>46161</v>
      </c>
      <c r="F174" s="340"/>
      <c r="G174" s="340"/>
      <c r="H174" s="340"/>
      <c r="I174" s="340"/>
      <c r="J174" s="94" t="s">
        <v>104</v>
      </c>
      <c r="K174" s="340">
        <f>IF(E174="","",IF(EDATE(E174,1)-1&lt;訓練終了日,EDATE(E174,1)-1,訓練終了日))</f>
        <v>46191</v>
      </c>
      <c r="L174" s="340"/>
      <c r="M174" s="340"/>
      <c r="N174" s="340"/>
      <c r="O174" s="341"/>
      <c r="P174" s="108"/>
      <c r="Q174" s="215">
        <f>IF(E174="","",(K174-E174+1))</f>
        <v>31</v>
      </c>
      <c r="R174" s="109" t="s">
        <v>52</v>
      </c>
      <c r="S174" s="101"/>
      <c r="T174" s="108"/>
      <c r="U174" s="215">
        <f>IF(E174="","",[9]機構処理!$BG$36)</f>
        <v>19</v>
      </c>
      <c r="V174" s="109" t="s">
        <v>52</v>
      </c>
      <c r="W174" s="101"/>
      <c r="X174" s="342">
        <f>IF(E174="","",[9]機構処理!BG81)</f>
        <v>0</v>
      </c>
      <c r="Y174" s="343"/>
      <c r="Z174" s="343"/>
      <c r="AA174" s="114" t="s">
        <v>66</v>
      </c>
      <c r="AB174" s="107"/>
      <c r="AC174" s="344">
        <f>IF(E174="","",[9]機構処理!$BH$37)</f>
        <v>102</v>
      </c>
      <c r="AD174" s="345"/>
      <c r="AE174" s="345"/>
      <c r="AF174" s="324" t="s">
        <v>66</v>
      </c>
      <c r="AG174" s="325"/>
      <c r="AH174" s="346" t="str">
        <f>[9]機構処理!BR28</f>
        <v/>
      </c>
      <c r="AI174" s="347"/>
      <c r="AJ174" s="347"/>
      <c r="AK174" s="347"/>
      <c r="AL174" s="347"/>
      <c r="AM174" s="26"/>
      <c r="AN174" s="20"/>
      <c r="AO174" s="20"/>
      <c r="AP174" s="20"/>
      <c r="AQ174" s="20"/>
      <c r="AR174" s="20"/>
      <c r="AS174" s="20"/>
      <c r="AT174" s="20"/>
      <c r="AU174" s="20"/>
      <c r="AV174" s="20"/>
    </row>
    <row r="175" spans="1:48" ht="18" customHeight="1">
      <c r="A175" s="108"/>
      <c r="B175" s="214">
        <f>IF(E175="","",4)</f>
        <v>4</v>
      </c>
      <c r="C175" s="109" t="s">
        <v>103</v>
      </c>
      <c r="D175" s="110"/>
      <c r="E175" s="339">
        <f>IF(E174="","",IF(EDATE(E173,2)&lt;=訓練終了日,EDATE(E173,2),""))</f>
        <v>46192</v>
      </c>
      <c r="F175" s="340"/>
      <c r="G175" s="340"/>
      <c r="H175" s="340"/>
      <c r="I175" s="340"/>
      <c r="J175" s="94" t="s">
        <v>104</v>
      </c>
      <c r="K175" s="340">
        <f>IF(E175="","",IF(EDATE(E175,1)-1&lt;訓練終了日,EDATE(E175,1)-1,訓練終了日))</f>
        <v>46221</v>
      </c>
      <c r="L175" s="340"/>
      <c r="M175" s="340"/>
      <c r="N175" s="340"/>
      <c r="O175" s="341"/>
      <c r="P175" s="108"/>
      <c r="Q175" s="215">
        <f>IF(E175="","",(K175-E175+1))</f>
        <v>30</v>
      </c>
      <c r="R175" s="109" t="s">
        <v>52</v>
      </c>
      <c r="S175" s="101"/>
      <c r="T175" s="108"/>
      <c r="U175" s="215">
        <f>IF(E175="","",[9]機構処理!$BG$42)</f>
        <v>17</v>
      </c>
      <c r="V175" s="109" t="s">
        <v>52</v>
      </c>
      <c r="W175" s="101"/>
      <c r="X175" s="342">
        <f>IF(E175="","",[9]機構処理!BG85)</f>
        <v>0</v>
      </c>
      <c r="Y175" s="343"/>
      <c r="Z175" s="343"/>
      <c r="AA175" s="114" t="s">
        <v>66</v>
      </c>
      <c r="AB175" s="107"/>
      <c r="AC175" s="344">
        <f>IF(E175="","",[9]機構処理!$BH$43)</f>
        <v>102</v>
      </c>
      <c r="AD175" s="345"/>
      <c r="AE175" s="345"/>
      <c r="AF175" s="324" t="s">
        <v>66</v>
      </c>
      <c r="AG175" s="325"/>
      <c r="AH175" s="346" t="str">
        <f>[9]機構処理!BR29</f>
        <v/>
      </c>
      <c r="AI175" s="347"/>
      <c r="AJ175" s="347"/>
      <c r="AK175" s="347"/>
      <c r="AL175" s="347"/>
      <c r="AM175" s="26"/>
      <c r="AN175" s="20"/>
      <c r="AO175" s="20"/>
      <c r="AP175" s="20"/>
      <c r="AQ175" s="20"/>
      <c r="AR175" s="20"/>
      <c r="AS175" s="20"/>
      <c r="AT175" s="20"/>
      <c r="AU175" s="20"/>
      <c r="AV175" s="20"/>
    </row>
    <row r="176" spans="1:48" ht="18" customHeight="1">
      <c r="A176" s="108"/>
      <c r="B176" s="214">
        <f>IF(E176="","",5)</f>
        <v>5</v>
      </c>
      <c r="C176" s="109" t="s">
        <v>103</v>
      </c>
      <c r="D176" s="110"/>
      <c r="E176" s="339">
        <f>IF(E175="","",IF(EDATE(E173,3)&lt;=訓練終了日,EDATE(E173,3),""))</f>
        <v>46222</v>
      </c>
      <c r="F176" s="340"/>
      <c r="G176" s="340"/>
      <c r="H176" s="340"/>
      <c r="I176" s="340"/>
      <c r="J176" s="94" t="s">
        <v>104</v>
      </c>
      <c r="K176" s="340">
        <f>IF(E176="","",IF(EDATE(E176,1)-1&lt;訓練終了日,EDATE(E176,1)-1,訓練終了日))</f>
        <v>46252</v>
      </c>
      <c r="L176" s="340"/>
      <c r="M176" s="340"/>
      <c r="N176" s="340"/>
      <c r="O176" s="341"/>
      <c r="P176" s="108"/>
      <c r="Q176" s="215">
        <f>IF(E176="","",K176-E176+1)</f>
        <v>31</v>
      </c>
      <c r="R176" s="109" t="s">
        <v>52</v>
      </c>
      <c r="S176" s="101"/>
      <c r="T176" s="108"/>
      <c r="U176" s="215">
        <f>IF(E176="","",[9]機構処理!$BG$48)</f>
        <v>14</v>
      </c>
      <c r="V176" s="109" t="s">
        <v>52</v>
      </c>
      <c r="W176" s="101"/>
      <c r="X176" s="342">
        <f>IF(E176="","",[9]機構処理!BG89)</f>
        <v>0</v>
      </c>
      <c r="Y176" s="343"/>
      <c r="Z176" s="343"/>
      <c r="AA176" s="114" t="s">
        <v>66</v>
      </c>
      <c r="AB176" s="107"/>
      <c r="AC176" s="344">
        <f>IF(E176="","",[9]機構処理!$BH$49)</f>
        <v>84</v>
      </c>
      <c r="AD176" s="345"/>
      <c r="AE176" s="345"/>
      <c r="AF176" s="324" t="s">
        <v>66</v>
      </c>
      <c r="AG176" s="325"/>
      <c r="AH176" s="346" t="str">
        <f>[9]機構処理!BQ30</f>
        <v/>
      </c>
      <c r="AI176" s="347"/>
      <c r="AJ176" s="347"/>
      <c r="AK176" s="347"/>
      <c r="AL176" s="347"/>
      <c r="AM176" s="26"/>
      <c r="AN176" s="20"/>
      <c r="AO176" s="20"/>
      <c r="AP176" s="20"/>
      <c r="AQ176" s="20"/>
      <c r="AR176" s="20"/>
      <c r="AS176" s="20"/>
      <c r="AT176" s="20"/>
      <c r="AU176" s="20"/>
      <c r="AV176" s="20"/>
    </row>
    <row r="177" spans="1:48" ht="18" customHeight="1">
      <c r="A177" s="108"/>
      <c r="B177" s="214">
        <f>IF(E177="","",6)</f>
        <v>6</v>
      </c>
      <c r="C177" s="109" t="s">
        <v>103</v>
      </c>
      <c r="D177" s="110"/>
      <c r="E177" s="339">
        <f>IF(E176="","",IF(EDATE(E173,4)&lt;=訓練終了日,EDATE(E173,4),""))</f>
        <v>46253</v>
      </c>
      <c r="F177" s="340"/>
      <c r="G177" s="340"/>
      <c r="H177" s="340"/>
      <c r="I177" s="340"/>
      <c r="J177" s="94" t="s">
        <v>104</v>
      </c>
      <c r="K177" s="340">
        <f>IF(E177="","",IF(EDATE(E177,1)-1&lt;訓練終了日,EDATE(E177,1)-1,訓練終了日))</f>
        <v>46283</v>
      </c>
      <c r="L177" s="340"/>
      <c r="M177" s="340"/>
      <c r="N177" s="340"/>
      <c r="O177" s="341"/>
      <c r="P177" s="108"/>
      <c r="Q177" s="215">
        <f>IF(E177="","",K177-E177+1)</f>
        <v>31</v>
      </c>
      <c r="R177" s="109" t="s">
        <v>52</v>
      </c>
      <c r="S177" s="101"/>
      <c r="T177" s="108"/>
      <c r="U177" s="215">
        <f>IF(E177="","",[9]機構処理!$BG$54)</f>
        <v>17</v>
      </c>
      <c r="V177" s="109" t="s">
        <v>52</v>
      </c>
      <c r="W177" s="101"/>
      <c r="X177" s="342">
        <f>IF(E177="","",[9]機構処理!BG93)</f>
        <v>0</v>
      </c>
      <c r="Y177" s="343"/>
      <c r="Z177" s="343"/>
      <c r="AA177" s="114" t="s">
        <v>66</v>
      </c>
      <c r="AB177" s="107"/>
      <c r="AC177" s="344">
        <f>IF(E177="","",[9]機構処理!$BH$55)</f>
        <v>84</v>
      </c>
      <c r="AD177" s="345"/>
      <c r="AE177" s="345"/>
      <c r="AF177" s="324" t="s">
        <v>66</v>
      </c>
      <c r="AG177" s="325"/>
      <c r="AH177" s="346" t="str">
        <f>[9]機構処理!BQ31</f>
        <v/>
      </c>
      <c r="AI177" s="347"/>
      <c r="AJ177" s="347"/>
      <c r="AK177" s="347"/>
      <c r="AL177" s="347"/>
      <c r="AM177" s="26"/>
      <c r="AN177" s="20"/>
      <c r="AO177" s="20"/>
      <c r="AP177" s="20"/>
      <c r="AQ177" s="20"/>
      <c r="AR177" s="20"/>
      <c r="AS177" s="20"/>
      <c r="AT177" s="20"/>
      <c r="AU177" s="20"/>
      <c r="AV177" s="20"/>
    </row>
    <row r="178" spans="1:48" ht="18" customHeight="1">
      <c r="A178" s="329" t="s">
        <v>105</v>
      </c>
      <c r="B178" s="329"/>
      <c r="C178" s="329"/>
      <c r="D178" s="329"/>
      <c r="E178" s="330"/>
      <c r="F178" s="331"/>
      <c r="G178" s="331"/>
      <c r="H178" s="331"/>
      <c r="I178" s="331"/>
      <c r="J178" s="331"/>
      <c r="K178" s="331"/>
      <c r="L178" s="331"/>
      <c r="M178" s="331"/>
      <c r="N178" s="331"/>
      <c r="O178" s="332"/>
      <c r="P178" s="333">
        <f>IF(Q172="","",SUM(Q172:Q177))</f>
        <v>184</v>
      </c>
      <c r="Q178" s="334"/>
      <c r="R178" s="111" t="s">
        <v>52</v>
      </c>
      <c r="S178" s="115"/>
      <c r="T178" s="333">
        <f>IF(U172="","",SUM(U172:U177))</f>
        <v>98</v>
      </c>
      <c r="U178" s="335"/>
      <c r="V178" s="109" t="s">
        <v>52</v>
      </c>
      <c r="W178" s="101"/>
      <c r="X178" s="336">
        <f>IF(X172="","",SUM(X172:Z177))</f>
        <v>0</v>
      </c>
      <c r="Y178" s="337"/>
      <c r="Z178" s="337"/>
      <c r="AA178" s="114" t="s">
        <v>66</v>
      </c>
      <c r="AB178" s="107"/>
      <c r="AC178" s="333">
        <f>IF(AC172="","",SUM(AC172:AC177))</f>
        <v>540</v>
      </c>
      <c r="AD178" s="338"/>
      <c r="AE178" s="338"/>
      <c r="AF178" s="324" t="s">
        <v>66</v>
      </c>
      <c r="AG178" s="325"/>
      <c r="AH178" s="216" t="str">
        <f>IF(AI178="","","←")</f>
        <v/>
      </c>
      <c r="AI178" s="326" t="str">
        <f>IF(AND(VALUE(訓練総時間)=訓練時間合計,VALUE(訓練総時間)=IF(様6_訓練時間合計="",0,様6_訓練時間合計)),"","様式5号と訓練時間合計不一致")</f>
        <v/>
      </c>
      <c r="AJ178" s="326"/>
      <c r="AK178" s="326"/>
      <c r="AL178" s="326"/>
      <c r="AM178" s="116"/>
      <c r="AN178" s="20"/>
      <c r="AO178" s="20"/>
      <c r="AP178" s="20"/>
      <c r="AQ178" s="20"/>
      <c r="AR178" s="20"/>
      <c r="AS178" s="20"/>
      <c r="AT178" s="20"/>
      <c r="AU178" s="20"/>
      <c r="AV178" s="20"/>
    </row>
    <row r="179" spans="1:48">
      <c r="A179" s="117" t="s">
        <v>106</v>
      </c>
      <c r="B179" s="22"/>
      <c r="C179" s="22"/>
      <c r="D179" s="22"/>
      <c r="E179" s="103"/>
      <c r="F179" s="103"/>
      <c r="G179" s="103"/>
      <c r="H179" s="103"/>
      <c r="I179" s="103"/>
      <c r="J179" s="103"/>
      <c r="K179" s="103"/>
      <c r="L179" s="27"/>
      <c r="M179" s="103"/>
      <c r="N179" s="103"/>
      <c r="O179" s="103"/>
      <c r="P179" s="103"/>
      <c r="Q179" s="103"/>
      <c r="R179" s="103"/>
      <c r="S179" s="103"/>
      <c r="T179" s="118"/>
      <c r="U179" s="118"/>
      <c r="V179" s="119"/>
      <c r="W179" s="103"/>
      <c r="X179" s="120"/>
      <c r="Y179" s="120"/>
      <c r="Z179" s="27"/>
      <c r="AA179" s="103"/>
      <c r="AB179" s="120"/>
      <c r="AC179" s="120"/>
      <c r="AD179" s="120"/>
      <c r="AE179" s="120"/>
      <c r="AF179" s="75"/>
      <c r="AG179" s="75"/>
      <c r="AH179" s="135"/>
      <c r="AI179" s="136"/>
      <c r="AJ179" s="137"/>
      <c r="AK179" s="137"/>
      <c r="AL179" s="137"/>
      <c r="AM179" s="20"/>
      <c r="AN179" s="20"/>
      <c r="AO179" s="20"/>
      <c r="AP179" s="20"/>
      <c r="AQ179" s="20"/>
      <c r="AR179" s="20"/>
      <c r="AS179" s="20"/>
      <c r="AT179" s="20"/>
      <c r="AU179" s="20"/>
      <c r="AV179" s="20"/>
    </row>
    <row r="180" spans="1:48">
      <c r="A180" s="327"/>
      <c r="B180" s="327"/>
      <c r="C180" s="327"/>
      <c r="D180" s="327"/>
      <c r="E180" s="327"/>
      <c r="F180" s="327"/>
      <c r="G180" s="327"/>
      <c r="H180" s="327"/>
      <c r="I180" s="327"/>
      <c r="J180" s="327"/>
      <c r="K180" s="327"/>
      <c r="L180" s="327"/>
      <c r="M180" s="327"/>
      <c r="N180" s="327"/>
      <c r="O180" s="327"/>
      <c r="P180" s="327"/>
      <c r="Q180" s="327"/>
      <c r="R180" s="327"/>
      <c r="S180" s="327"/>
      <c r="T180" s="327"/>
      <c r="U180" s="86"/>
      <c r="V180" s="86"/>
      <c r="W180" s="86"/>
      <c r="X180" s="86"/>
      <c r="Y180" s="86"/>
      <c r="Z180" s="86"/>
      <c r="AA180" s="86"/>
      <c r="AB180" s="86"/>
      <c r="AC180" s="86"/>
      <c r="AD180" s="86"/>
      <c r="AE180" s="86"/>
      <c r="AF180" s="86"/>
      <c r="AG180" s="86"/>
      <c r="AH180" s="138"/>
      <c r="AI180" s="20"/>
      <c r="AJ180" s="20"/>
      <c r="AK180" s="20"/>
      <c r="AL180" s="20"/>
      <c r="AM180" s="20"/>
      <c r="AN180" s="20"/>
      <c r="AO180" s="20"/>
      <c r="AP180" s="20"/>
      <c r="AQ180" s="20"/>
      <c r="AR180" s="20"/>
      <c r="AS180" s="20"/>
      <c r="AT180" s="20"/>
      <c r="AU180" s="20"/>
      <c r="AV180" s="20"/>
    </row>
    <row r="181" spans="1:48" ht="12.9" customHeight="1">
      <c r="AH181" s="100"/>
    </row>
    <row r="182" spans="1:48" ht="12.9" customHeight="1">
      <c r="AH182" s="100"/>
    </row>
    <row r="183" spans="1:48" ht="12.9" customHeight="1">
      <c r="X183" s="121"/>
      <c r="AH183" s="100"/>
    </row>
    <row r="184" spans="1:48" ht="30" hidden="1" customHeight="1">
      <c r="V184" s="217" t="s">
        <v>206</v>
      </c>
      <c r="X184" s="218" t="s">
        <v>207</v>
      </c>
      <c r="AC184" s="218">
        <f>VALUE(訓練総時間)</f>
        <v>540</v>
      </c>
      <c r="AH184" s="219" t="s">
        <v>208</v>
      </c>
    </row>
    <row r="185" spans="1:48" ht="30" hidden="1" customHeight="1">
      <c r="V185" s="217" t="s">
        <v>209</v>
      </c>
      <c r="X185" s="218" t="s">
        <v>210</v>
      </c>
      <c r="AC185" s="218">
        <f>訓練時間合計</f>
        <v>540</v>
      </c>
      <c r="AH185" s="219" t="s">
        <v>211</v>
      </c>
    </row>
    <row r="186" spans="1:48" ht="30" hidden="1" customHeight="1">
      <c r="V186" s="217" t="s">
        <v>212</v>
      </c>
      <c r="X186" s="218" t="s">
        <v>213</v>
      </c>
      <c r="AC186" s="218">
        <f>IF(様6_訓練時間合計="",0,様6_訓練時間合計)</f>
        <v>540</v>
      </c>
      <c r="AH186" s="220" t="s">
        <v>214</v>
      </c>
    </row>
    <row r="187" spans="1:48" ht="30" hidden="1" customHeight="1"/>
    <row r="188" spans="1:48" ht="30" hidden="1" customHeight="1">
      <c r="X188" s="328" t="b">
        <f>AND(VALUE(訓練総時間)=訓練時間合計,VALUE(訓練総時間)=IF(様6_訓練時間合計="",0,様6_訓練時間合計))</f>
        <v>1</v>
      </c>
      <c r="Y188" s="328"/>
      <c r="AH188" s="221" t="str">
        <f>IF(AND(VALUE(訓練総時間)=訓練時間合計,VALUE(訓練総時間)=IF(様6_訓練時間合計="",0,様6_訓練時間合計)),"","様式5号と訓練時間合計不一致")</f>
        <v/>
      </c>
    </row>
    <row r="189" spans="1:48" ht="30" hidden="1" customHeight="1">
      <c r="AH189" s="222" t="str">
        <f>IF(AND(VALUE(訓練総時間)=訓練時間合計,VALUE(訓練総時間)=IF(様6_訓練時間合計="",0,様6_訓練時間合計)),"","訓練時間総合計が様式6号と違っています")</f>
        <v/>
      </c>
      <c r="AJ189" s="14" t="b">
        <f>AND(VALUE(訓練総時間)=訓練時間合計,VALUE(訓練総時間)=IF(様6_訓練時間合計="",0,様6_訓練時間合計))</f>
        <v>1</v>
      </c>
      <c r="AK189" s="328" t="b">
        <f>AND(NOT(VALUE(訓練総時間)=訓練時間合計),NOT(VALUE(訓練総時間)=IF(様6_訓練時間合計="",0,様6_訓練時間合計)))</f>
        <v>0</v>
      </c>
      <c r="AL189" s="328"/>
    </row>
    <row r="191" spans="1:48">
      <c r="J191" s="121"/>
    </row>
    <row r="208" spans="10:10" ht="14.4">
      <c r="J208" s="122"/>
    </row>
    <row r="211" spans="10:34" ht="14.25" customHeight="1">
      <c r="J211" s="122"/>
      <c r="K211" s="122"/>
      <c r="L211" s="122"/>
      <c r="M211" s="122"/>
      <c r="N211" s="122"/>
      <c r="O211" s="122"/>
      <c r="P211" s="122"/>
      <c r="Q211" s="122"/>
      <c r="R211" s="122"/>
      <c r="S211" s="122"/>
      <c r="T211" s="122"/>
      <c r="U211" s="122"/>
      <c r="V211" s="122"/>
      <c r="W211" s="122"/>
      <c r="X211" s="122"/>
      <c r="Y211" s="122"/>
      <c r="Z211" s="122"/>
      <c r="AA211" s="122"/>
      <c r="AB211" s="122"/>
      <c r="AC211" s="122"/>
      <c r="AD211" s="122"/>
    </row>
    <row r="212" spans="10:34" ht="14.25" customHeight="1"/>
    <row r="213" spans="10:34" ht="14.25" customHeight="1">
      <c r="J213" s="123"/>
    </row>
    <row r="214" spans="10:34" ht="14.25" customHeight="1"/>
    <row r="215" spans="10:34" ht="14.25" customHeight="1"/>
    <row r="216" spans="10:34" s="24" customFormat="1" ht="14.25" customHeight="1">
      <c r="AH216" s="124"/>
    </row>
    <row r="217" spans="10:34" ht="14.25" customHeight="1"/>
    <row r="218" spans="10:34" ht="14.25" customHeight="1"/>
    <row r="219" spans="10:34" ht="14.25" customHeight="1"/>
    <row r="220" spans="10:34" s="126" customFormat="1" ht="14.25" customHeight="1">
      <c r="J220" s="125"/>
      <c r="AH220" s="127"/>
    </row>
    <row r="221" spans="10:34" ht="14.25" customHeight="1"/>
    <row r="222" spans="10:34" s="126" customFormat="1" ht="14.25" customHeight="1">
      <c r="J222" s="125"/>
      <c r="AH222" s="127"/>
    </row>
    <row r="223" spans="10:34" ht="14.25" customHeight="1"/>
    <row r="224" spans="10:34" s="125" customFormat="1" ht="14.25" customHeight="1">
      <c r="AH224" s="128"/>
    </row>
    <row r="225" spans="10:34" ht="14.25" customHeight="1"/>
    <row r="226" spans="10:34" s="125" customFormat="1" ht="14.25" customHeight="1">
      <c r="AH226" s="128"/>
    </row>
    <row r="227" spans="10:34" s="125" customFormat="1" ht="14.25" customHeight="1">
      <c r="AH227" s="128"/>
    </row>
    <row r="228" spans="10:34" s="126" customFormat="1" ht="14.25" customHeight="1">
      <c r="J228" s="125"/>
      <c r="AH228" s="127"/>
    </row>
    <row r="229" spans="10:34" ht="14.25" customHeight="1"/>
    <row r="230" spans="10:34" ht="14.25" customHeight="1"/>
    <row r="231" spans="10:34" ht="14.25" customHeight="1">
      <c r="J231" s="125"/>
    </row>
    <row r="232" spans="10:34" ht="14.25" customHeight="1"/>
    <row r="233" spans="10:34" ht="14.25" customHeight="1">
      <c r="J233" s="123"/>
    </row>
    <row r="234" spans="10:34" ht="14.25" customHeight="1">
      <c r="J234" s="123"/>
    </row>
    <row r="235" spans="10:34" ht="14.25" customHeight="1"/>
    <row r="236" spans="10:34" ht="14.25" customHeight="1"/>
    <row r="237" spans="10:34" ht="14.25" customHeight="1"/>
    <row r="238" spans="10:34" ht="14.25" customHeight="1">
      <c r="J238" s="129"/>
    </row>
    <row r="239" spans="10:34" ht="14.25" customHeight="1"/>
    <row r="240" spans="10:34" ht="14.25" customHeight="1"/>
    <row r="241" ht="14.25" customHeight="1"/>
    <row r="242" ht="14.25" customHeight="1"/>
    <row r="243" ht="14.25" customHeight="1"/>
    <row r="244" ht="14.25" customHeight="1"/>
    <row r="245" ht="14.25" customHeight="1"/>
    <row r="246" ht="14.25" customHeight="1"/>
    <row r="247" ht="14.25" customHeight="1"/>
    <row r="248" ht="14.25" customHeight="1"/>
  </sheetData>
  <sheetProtection sheet="1" formatCells="0" formatColumns="0" formatRows="0"/>
  <mergeCells count="435">
    <mergeCell ref="K1:U1"/>
    <mergeCell ref="A2:AF2"/>
    <mergeCell ref="A4:D4"/>
    <mergeCell ref="E4:O4"/>
    <mergeCell ref="P4:R4"/>
    <mergeCell ref="S4:AG4"/>
    <mergeCell ref="H9:H20"/>
    <mergeCell ref="I9:I20"/>
    <mergeCell ref="J9:J20"/>
    <mergeCell ref="K9:K20"/>
    <mergeCell ref="L9:L20"/>
    <mergeCell ref="M9:M20"/>
    <mergeCell ref="A9:A20"/>
    <mergeCell ref="C9:C20"/>
    <mergeCell ref="D9:D20"/>
    <mergeCell ref="E9:E20"/>
    <mergeCell ref="F9:F20"/>
    <mergeCell ref="G9:G20"/>
    <mergeCell ref="AF9:AF20"/>
    <mergeCell ref="AG9:AG20"/>
    <mergeCell ref="AI22:AJ22"/>
    <mergeCell ref="AI23:AJ23"/>
    <mergeCell ref="B24:B27"/>
    <mergeCell ref="AI27:AJ27"/>
    <mergeCell ref="Z9:Z20"/>
    <mergeCell ref="AA9:AA20"/>
    <mergeCell ref="AB9:AB20"/>
    <mergeCell ref="AC9:AC20"/>
    <mergeCell ref="AD9:AD20"/>
    <mergeCell ref="AE9:AE20"/>
    <mergeCell ref="T9:T20"/>
    <mergeCell ref="U9:U20"/>
    <mergeCell ref="V9:V20"/>
    <mergeCell ref="W9:W20"/>
    <mergeCell ref="X9:X20"/>
    <mergeCell ref="Y9:Y20"/>
    <mergeCell ref="N9:N20"/>
    <mergeCell ref="O9:O20"/>
    <mergeCell ref="P9:P20"/>
    <mergeCell ref="Q9:Q20"/>
    <mergeCell ref="R9:R20"/>
    <mergeCell ref="S9:S20"/>
    <mergeCell ref="H32:H43"/>
    <mergeCell ref="I32:I43"/>
    <mergeCell ref="J32:J43"/>
    <mergeCell ref="K32:K43"/>
    <mergeCell ref="L32:L43"/>
    <mergeCell ref="M32:M43"/>
    <mergeCell ref="A32:A43"/>
    <mergeCell ref="C32:C43"/>
    <mergeCell ref="D32:D43"/>
    <mergeCell ref="E32:E43"/>
    <mergeCell ref="F32:F43"/>
    <mergeCell ref="G32:G43"/>
    <mergeCell ref="AF32:AF43"/>
    <mergeCell ref="AG32:AG43"/>
    <mergeCell ref="AI45:AJ45"/>
    <mergeCell ref="AI46:AJ46"/>
    <mergeCell ref="B47:B49"/>
    <mergeCell ref="AI49:AJ49"/>
    <mergeCell ref="Z32:Z43"/>
    <mergeCell ref="AA32:AA43"/>
    <mergeCell ref="AB32:AB43"/>
    <mergeCell ref="AC32:AC43"/>
    <mergeCell ref="AD32:AD43"/>
    <mergeCell ref="AE32:AE43"/>
    <mergeCell ref="T32:T43"/>
    <mergeCell ref="U32:U43"/>
    <mergeCell ref="V32:V43"/>
    <mergeCell ref="W32:W43"/>
    <mergeCell ref="X32:X43"/>
    <mergeCell ref="Y32:Y43"/>
    <mergeCell ref="N32:N43"/>
    <mergeCell ref="O32:O43"/>
    <mergeCell ref="P32:P43"/>
    <mergeCell ref="Q32:Q43"/>
    <mergeCell ref="R32:R43"/>
    <mergeCell ref="S32:S43"/>
    <mergeCell ref="H54:H65"/>
    <mergeCell ref="I54:I65"/>
    <mergeCell ref="J54:J65"/>
    <mergeCell ref="K54:K65"/>
    <mergeCell ref="L54:L65"/>
    <mergeCell ref="M54:M65"/>
    <mergeCell ref="A54:A65"/>
    <mergeCell ref="C54:C65"/>
    <mergeCell ref="D54:D65"/>
    <mergeCell ref="E54:E65"/>
    <mergeCell ref="F54:F65"/>
    <mergeCell ref="G54:G65"/>
    <mergeCell ref="AF54:AF65"/>
    <mergeCell ref="AG54:AG65"/>
    <mergeCell ref="AI67:AJ67"/>
    <mergeCell ref="AI68:AJ68"/>
    <mergeCell ref="B69:B71"/>
    <mergeCell ref="AI71:AJ71"/>
    <mergeCell ref="Z54:Z65"/>
    <mergeCell ref="AA54:AA65"/>
    <mergeCell ref="AB54:AB65"/>
    <mergeCell ref="AC54:AC65"/>
    <mergeCell ref="AD54:AD65"/>
    <mergeCell ref="AE54:AE65"/>
    <mergeCell ref="T54:T65"/>
    <mergeCell ref="U54:U65"/>
    <mergeCell ref="V54:V65"/>
    <mergeCell ref="W54:W65"/>
    <mergeCell ref="X54:X65"/>
    <mergeCell ref="Y54:Y65"/>
    <mergeCell ref="N54:N65"/>
    <mergeCell ref="O54:O65"/>
    <mergeCell ref="P54:P65"/>
    <mergeCell ref="Q54:Q65"/>
    <mergeCell ref="R54:R65"/>
    <mergeCell ref="S54:S65"/>
    <mergeCell ref="H76:H87"/>
    <mergeCell ref="I76:I87"/>
    <mergeCell ref="J76:J87"/>
    <mergeCell ref="K76:K87"/>
    <mergeCell ref="L76:L87"/>
    <mergeCell ref="M76:M87"/>
    <mergeCell ref="A76:A87"/>
    <mergeCell ref="C76:C87"/>
    <mergeCell ref="D76:D87"/>
    <mergeCell ref="E76:E87"/>
    <mergeCell ref="F76:F87"/>
    <mergeCell ref="G76:G87"/>
    <mergeCell ref="AF76:AF87"/>
    <mergeCell ref="AG76:AG87"/>
    <mergeCell ref="AI89:AJ89"/>
    <mergeCell ref="AI90:AJ90"/>
    <mergeCell ref="B91:B93"/>
    <mergeCell ref="AI93:AJ93"/>
    <mergeCell ref="Z76:Z87"/>
    <mergeCell ref="AA76:AA87"/>
    <mergeCell ref="AB76:AB87"/>
    <mergeCell ref="AC76:AC87"/>
    <mergeCell ref="AD76:AD87"/>
    <mergeCell ref="AE76:AE87"/>
    <mergeCell ref="T76:T87"/>
    <mergeCell ref="U76:U87"/>
    <mergeCell ref="V76:V87"/>
    <mergeCell ref="W76:W87"/>
    <mergeCell ref="X76:X87"/>
    <mergeCell ref="Y76:Y87"/>
    <mergeCell ref="N76:N87"/>
    <mergeCell ref="O76:O87"/>
    <mergeCell ref="P76:P87"/>
    <mergeCell ref="Q76:Q87"/>
    <mergeCell ref="R76:R87"/>
    <mergeCell ref="S76:S87"/>
    <mergeCell ref="H98:H109"/>
    <mergeCell ref="I98:I109"/>
    <mergeCell ref="J98:J109"/>
    <mergeCell ref="K98:K109"/>
    <mergeCell ref="L98:L109"/>
    <mergeCell ref="M98:M109"/>
    <mergeCell ref="A98:A109"/>
    <mergeCell ref="C98:C109"/>
    <mergeCell ref="D98:D109"/>
    <mergeCell ref="E98:E109"/>
    <mergeCell ref="F98:F109"/>
    <mergeCell ref="G98:G109"/>
    <mergeCell ref="AF98:AF109"/>
    <mergeCell ref="AG98:AG109"/>
    <mergeCell ref="AI110:AJ110"/>
    <mergeCell ref="AI111:AJ111"/>
    <mergeCell ref="B112:B114"/>
    <mergeCell ref="AI114:AJ114"/>
    <mergeCell ref="Z98:Z109"/>
    <mergeCell ref="AA98:AA109"/>
    <mergeCell ref="AB98:AB109"/>
    <mergeCell ref="AC98:AC109"/>
    <mergeCell ref="AD98:AD109"/>
    <mergeCell ref="AE98:AE109"/>
    <mergeCell ref="T98:T109"/>
    <mergeCell ref="U98:U109"/>
    <mergeCell ref="V98:V109"/>
    <mergeCell ref="W98:W109"/>
    <mergeCell ref="X98:X109"/>
    <mergeCell ref="Y98:Y109"/>
    <mergeCell ref="N98:N109"/>
    <mergeCell ref="O98:O109"/>
    <mergeCell ref="P98:P109"/>
    <mergeCell ref="Q98:Q109"/>
    <mergeCell ref="R98:R109"/>
    <mergeCell ref="S98:S109"/>
    <mergeCell ref="H119:H130"/>
    <mergeCell ref="I119:I130"/>
    <mergeCell ref="J119:J130"/>
    <mergeCell ref="K119:K130"/>
    <mergeCell ref="L119:L130"/>
    <mergeCell ref="M119:M130"/>
    <mergeCell ref="A119:A130"/>
    <mergeCell ref="C119:C130"/>
    <mergeCell ref="D119:D130"/>
    <mergeCell ref="E119:E130"/>
    <mergeCell ref="F119:F130"/>
    <mergeCell ref="G119:G130"/>
    <mergeCell ref="AF119:AF130"/>
    <mergeCell ref="AG119:AG130"/>
    <mergeCell ref="AI131:AJ131"/>
    <mergeCell ref="AI132:AJ132"/>
    <mergeCell ref="B133:B135"/>
    <mergeCell ref="AI135:AJ135"/>
    <mergeCell ref="Z119:Z130"/>
    <mergeCell ref="AA119:AA130"/>
    <mergeCell ref="AB119:AB130"/>
    <mergeCell ref="AC119:AC130"/>
    <mergeCell ref="AD119:AD130"/>
    <mergeCell ref="AE119:AE130"/>
    <mergeCell ref="T119:T130"/>
    <mergeCell ref="U119:U130"/>
    <mergeCell ref="V119:V130"/>
    <mergeCell ref="W119:W130"/>
    <mergeCell ref="X119:X130"/>
    <mergeCell ref="Y119:Y130"/>
    <mergeCell ref="N119:N130"/>
    <mergeCell ref="O119:O130"/>
    <mergeCell ref="P119:P130"/>
    <mergeCell ref="Q119:Q130"/>
    <mergeCell ref="R119:R130"/>
    <mergeCell ref="S119:S130"/>
    <mergeCell ref="A140:C140"/>
    <mergeCell ref="D140:F140"/>
    <mergeCell ref="I140:J140"/>
    <mergeCell ref="K140:O140"/>
    <mergeCell ref="Q140:U140"/>
    <mergeCell ref="V140:AG140"/>
    <mergeCell ref="A137:AG137"/>
    <mergeCell ref="A139:C139"/>
    <mergeCell ref="D139:F139"/>
    <mergeCell ref="I139:J139"/>
    <mergeCell ref="K139:U139"/>
    <mergeCell ref="V139:AG139"/>
    <mergeCell ref="I141:J141"/>
    <mergeCell ref="K141:O141"/>
    <mergeCell ref="Q141:U141"/>
    <mergeCell ref="V141:AG141"/>
    <mergeCell ref="I142:J142"/>
    <mergeCell ref="K142:O142"/>
    <mergeCell ref="Q142:U142"/>
    <mergeCell ref="V142:AG142"/>
    <mergeCell ref="AJ139:AL139"/>
    <mergeCell ref="V145:AG145"/>
    <mergeCell ref="A146:C146"/>
    <mergeCell ref="A147:B147"/>
    <mergeCell ref="C147:G147"/>
    <mergeCell ref="I143:J143"/>
    <mergeCell ref="K143:O143"/>
    <mergeCell ref="Q143:U143"/>
    <mergeCell ref="V143:AG143"/>
    <mergeCell ref="I144:J144"/>
    <mergeCell ref="K144:O144"/>
    <mergeCell ref="Q144:U144"/>
    <mergeCell ref="V144:AG144"/>
    <mergeCell ref="A148:B148"/>
    <mergeCell ref="C148:D148"/>
    <mergeCell ref="F148:G148"/>
    <mergeCell ref="A149:B149"/>
    <mergeCell ref="C149:D149"/>
    <mergeCell ref="F149:G149"/>
    <mergeCell ref="I145:J145"/>
    <mergeCell ref="K145:O145"/>
    <mergeCell ref="Q145:U145"/>
    <mergeCell ref="I149:J149"/>
    <mergeCell ref="K149:U149"/>
    <mergeCell ref="V149:Y149"/>
    <mergeCell ref="A150:B150"/>
    <mergeCell ref="C150:D150"/>
    <mergeCell ref="F150:G150"/>
    <mergeCell ref="I150:J150"/>
    <mergeCell ref="K150:U150"/>
    <mergeCell ref="V150:Y150"/>
    <mergeCell ref="A152:B152"/>
    <mergeCell ref="C152:D152"/>
    <mergeCell ref="F152:G152"/>
    <mergeCell ref="I152:J152"/>
    <mergeCell ref="K152:U152"/>
    <mergeCell ref="V152:Y152"/>
    <mergeCell ref="A151:B151"/>
    <mergeCell ref="C151:D151"/>
    <mergeCell ref="F151:G151"/>
    <mergeCell ref="I151:J151"/>
    <mergeCell ref="K151:U151"/>
    <mergeCell ref="V151:Y151"/>
    <mergeCell ref="A154:B154"/>
    <mergeCell ref="C154:D154"/>
    <mergeCell ref="F154:G154"/>
    <mergeCell ref="I154:J154"/>
    <mergeCell ref="K154:U154"/>
    <mergeCell ref="V154:Y154"/>
    <mergeCell ref="A153:B153"/>
    <mergeCell ref="C153:D153"/>
    <mergeCell ref="F153:G153"/>
    <mergeCell ref="I153:J153"/>
    <mergeCell ref="K153:U153"/>
    <mergeCell ref="V153:Y153"/>
    <mergeCell ref="V157:Y157"/>
    <mergeCell ref="A158:C158"/>
    <mergeCell ref="D158:F158"/>
    <mergeCell ref="L158:N158"/>
    <mergeCell ref="O158:Q158"/>
    <mergeCell ref="V158:Y158"/>
    <mergeCell ref="A155:B155"/>
    <mergeCell ref="C155:D155"/>
    <mergeCell ref="F155:G155"/>
    <mergeCell ref="V155:Y155"/>
    <mergeCell ref="A156:B156"/>
    <mergeCell ref="C156:D156"/>
    <mergeCell ref="F156:G156"/>
    <mergeCell ref="V156:Y156"/>
    <mergeCell ref="A159:B159"/>
    <mergeCell ref="C159:G159"/>
    <mergeCell ref="L159:M159"/>
    <mergeCell ref="N159:R159"/>
    <mergeCell ref="V159:Y159"/>
    <mergeCell ref="A160:B160"/>
    <mergeCell ref="C160:D160"/>
    <mergeCell ref="F160:G160"/>
    <mergeCell ref="L160:M160"/>
    <mergeCell ref="N160:O160"/>
    <mergeCell ref="Q160:R160"/>
    <mergeCell ref="V160:Y160"/>
    <mergeCell ref="A161:B161"/>
    <mergeCell ref="C161:D161"/>
    <mergeCell ref="F161:G161"/>
    <mergeCell ref="L161:M161"/>
    <mergeCell ref="N161:O161"/>
    <mergeCell ref="Q161:R161"/>
    <mergeCell ref="V161:Y161"/>
    <mergeCell ref="V162:Y162"/>
    <mergeCell ref="A163:B163"/>
    <mergeCell ref="C163:D163"/>
    <mergeCell ref="F163:G163"/>
    <mergeCell ref="L163:M163"/>
    <mergeCell ref="N163:O163"/>
    <mergeCell ref="Q163:R163"/>
    <mergeCell ref="V163:Y163"/>
    <mergeCell ref="A162:B162"/>
    <mergeCell ref="C162:D162"/>
    <mergeCell ref="F162:G162"/>
    <mergeCell ref="L162:M162"/>
    <mergeCell ref="N162:O162"/>
    <mergeCell ref="Q162:R162"/>
    <mergeCell ref="V164:Y164"/>
    <mergeCell ref="A165:B165"/>
    <mergeCell ref="C165:D165"/>
    <mergeCell ref="F165:G165"/>
    <mergeCell ref="L165:M165"/>
    <mergeCell ref="N165:O165"/>
    <mergeCell ref="Q165:R165"/>
    <mergeCell ref="V165:Y165"/>
    <mergeCell ref="A164:B164"/>
    <mergeCell ref="C164:D164"/>
    <mergeCell ref="F164:G164"/>
    <mergeCell ref="L164:M164"/>
    <mergeCell ref="N164:O164"/>
    <mergeCell ref="Q164:R164"/>
    <mergeCell ref="V166:Y166"/>
    <mergeCell ref="A167:B167"/>
    <mergeCell ref="C167:D167"/>
    <mergeCell ref="F167:G167"/>
    <mergeCell ref="L167:M167"/>
    <mergeCell ref="N167:O167"/>
    <mergeCell ref="Q167:R167"/>
    <mergeCell ref="V167:Y167"/>
    <mergeCell ref="A166:B166"/>
    <mergeCell ref="C166:D166"/>
    <mergeCell ref="F166:G166"/>
    <mergeCell ref="L166:M166"/>
    <mergeCell ref="N166:O166"/>
    <mergeCell ref="Q166:R166"/>
    <mergeCell ref="V168:Y168"/>
    <mergeCell ref="A170:O170"/>
    <mergeCell ref="P170:W170"/>
    <mergeCell ref="E171:O171"/>
    <mergeCell ref="P171:S171"/>
    <mergeCell ref="T171:W171"/>
    <mergeCell ref="X171:AB171"/>
    <mergeCell ref="A168:B168"/>
    <mergeCell ref="C168:D168"/>
    <mergeCell ref="F168:G168"/>
    <mergeCell ref="L168:M168"/>
    <mergeCell ref="N168:O168"/>
    <mergeCell ref="Q168:R168"/>
    <mergeCell ref="AO172:AQ172"/>
    <mergeCell ref="E173:I173"/>
    <mergeCell ref="K173:O173"/>
    <mergeCell ref="X173:Z173"/>
    <mergeCell ref="AC173:AE173"/>
    <mergeCell ref="AF173:AG173"/>
    <mergeCell ref="AH173:AL173"/>
    <mergeCell ref="AC171:AG171"/>
    <mergeCell ref="AI171:AJ171"/>
    <mergeCell ref="E172:I172"/>
    <mergeCell ref="K172:O172"/>
    <mergeCell ref="X172:Z172"/>
    <mergeCell ref="AC172:AE172"/>
    <mergeCell ref="AF172:AG172"/>
    <mergeCell ref="AH172:AL172"/>
    <mergeCell ref="E175:I175"/>
    <mergeCell ref="K175:O175"/>
    <mergeCell ref="X175:Z175"/>
    <mergeCell ref="AC175:AE175"/>
    <mergeCell ref="AF175:AG175"/>
    <mergeCell ref="AH175:AL175"/>
    <mergeCell ref="E174:I174"/>
    <mergeCell ref="K174:O174"/>
    <mergeCell ref="X174:Z174"/>
    <mergeCell ref="AC174:AE174"/>
    <mergeCell ref="AF174:AG174"/>
    <mergeCell ref="AH174:AL174"/>
    <mergeCell ref="E177:I177"/>
    <mergeCell ref="K177:O177"/>
    <mergeCell ref="X177:Z177"/>
    <mergeCell ref="AC177:AE177"/>
    <mergeCell ref="AF177:AG177"/>
    <mergeCell ref="AH177:AL177"/>
    <mergeCell ref="E176:I176"/>
    <mergeCell ref="K176:O176"/>
    <mergeCell ref="X176:Z176"/>
    <mergeCell ref="AC176:AE176"/>
    <mergeCell ref="AF176:AG176"/>
    <mergeCell ref="AH176:AL176"/>
    <mergeCell ref="AF178:AG178"/>
    <mergeCell ref="AI178:AL178"/>
    <mergeCell ref="A180:T180"/>
    <mergeCell ref="X188:Y188"/>
    <mergeCell ref="AK189:AL189"/>
    <mergeCell ref="A178:D178"/>
    <mergeCell ref="E178:O178"/>
    <mergeCell ref="P178:Q178"/>
    <mergeCell ref="T178:U178"/>
    <mergeCell ref="X178:Z178"/>
    <mergeCell ref="AC178:AE178"/>
  </mergeCells>
  <phoneticPr fontId="4"/>
  <conditionalFormatting sqref="C160">
    <cfRule type="containsBlanks" dxfId="63" priority="33">
      <formula>LEN(TRIM(C160))=0</formula>
    </cfRule>
  </conditionalFormatting>
  <conditionalFormatting sqref="C46:AE46">
    <cfRule type="expression" dxfId="62" priority="21">
      <formula>AND(OR(#REF!="✔",#REF!="✔"),COUNTA($C46:$AG46)=0)</formula>
    </cfRule>
    <cfRule type="expression" dxfId="61" priority="22">
      <formula>AND(OR(#REF!="✔",#REF!="✔"),COUNTA($C46:$AG46)&gt;=1)</formula>
    </cfRule>
  </conditionalFormatting>
  <conditionalFormatting sqref="C6:AG27">
    <cfRule type="expression" dxfId="60" priority="24">
      <formula>WORKDAY(C$6+1,-1,祝祭日)&lt;&gt;C$6</formula>
    </cfRule>
  </conditionalFormatting>
  <conditionalFormatting sqref="C22:AG22">
    <cfRule type="expression" dxfId="59" priority="27">
      <formula>$AH$22&lt;&gt;""</formula>
    </cfRule>
  </conditionalFormatting>
  <conditionalFormatting sqref="C23:AG23">
    <cfRule type="expression" dxfId="58" priority="25">
      <formula>AND(OR(#REF!="✔",#REF!="✔"),COUNTA($C23:$AG23)=0)</formula>
    </cfRule>
    <cfRule type="expression" dxfId="57" priority="26">
      <formula>AND(OR(#REF!="✔",#REF!="✔"),COUNTA($C23:$AG23)&gt;=1)</formula>
    </cfRule>
  </conditionalFormatting>
  <conditionalFormatting sqref="C29:AG49">
    <cfRule type="expression" dxfId="56" priority="20">
      <formula>WORKDAY(C$29+1,-1,祝祭日)&lt;&gt;C$29</formula>
    </cfRule>
  </conditionalFormatting>
  <conditionalFormatting sqref="C45:AG45">
    <cfRule type="expression" dxfId="55" priority="23">
      <formula>+$AH$45&lt;&gt;""</formula>
    </cfRule>
  </conditionalFormatting>
  <conditionalFormatting sqref="C51:AG53 C54:C65 G54:AG65 C66:AG71">
    <cfRule type="expression" dxfId="54" priority="16">
      <formula>WORKDAY(C$51+1,-1,祝祭日)&lt;&gt;C$51</formula>
    </cfRule>
  </conditionalFormatting>
  <conditionalFormatting sqref="C67:AG67">
    <cfRule type="expression" dxfId="53" priority="19">
      <formula>+$AH$67&lt;&gt;""</formula>
    </cfRule>
  </conditionalFormatting>
  <conditionalFormatting sqref="C73:AG93">
    <cfRule type="expression" dxfId="52" priority="2">
      <formula>WORKDAY(C$73+1,-1,祝祭日)&lt;&gt;C$73</formula>
    </cfRule>
  </conditionalFormatting>
  <conditionalFormatting sqref="C89:AG89">
    <cfRule type="expression" dxfId="51" priority="5">
      <formula>+$AH$89&lt;&gt;""</formula>
    </cfRule>
  </conditionalFormatting>
  <conditionalFormatting sqref="C90:AG90">
    <cfRule type="expression" dxfId="50" priority="3">
      <formula>AND(OR(#REF!="✔",#REF!="✔"),$A76&lt;&gt;"",COUNTA($C90:$AG90)=0)</formula>
    </cfRule>
    <cfRule type="expression" dxfId="49" priority="4">
      <formula>AND(OR(#REF!="✔",#REF!="✔"),COUNTA($C90:$AG90)&gt;=1)</formula>
    </cfRule>
  </conditionalFormatting>
  <conditionalFormatting sqref="C95:AG114">
    <cfRule type="expression" dxfId="48" priority="12">
      <formula>WORKDAY(C$95+1,-1,祝祭日)&lt;&gt;C$95</formula>
    </cfRule>
  </conditionalFormatting>
  <conditionalFormatting sqref="C110:AG110">
    <cfRule type="expression" dxfId="47" priority="13">
      <formula>+$AH$110&lt;&gt;""</formula>
    </cfRule>
  </conditionalFormatting>
  <conditionalFormatting sqref="C116:AG135">
    <cfRule type="expression" dxfId="46" priority="8">
      <formula>WORKDAY(C$116+1,-1,祝祭日)&lt;&gt;C$116</formula>
    </cfRule>
  </conditionalFormatting>
  <conditionalFormatting sqref="C131:AG131">
    <cfRule type="expression" dxfId="45" priority="9">
      <formula>+$AH$131&lt;&gt;""</formula>
    </cfRule>
  </conditionalFormatting>
  <conditionalFormatting sqref="D158:E158">
    <cfRule type="containsBlanks" dxfId="44" priority="56">
      <formula>LEN(TRIM(D158))=0</formula>
    </cfRule>
  </conditionalFormatting>
  <conditionalFormatting sqref="D54:F65">
    <cfRule type="expression" dxfId="43" priority="1">
      <formula>WORKDAY(D$29+1,-1,祝祭日)&lt;&gt;D$29</formula>
    </cfRule>
  </conditionalFormatting>
  <conditionalFormatting sqref="D139:F140">
    <cfRule type="cellIs" dxfId="42" priority="55" operator="equal">
      <formula>""</formula>
    </cfRule>
  </conditionalFormatting>
  <conditionalFormatting sqref="D68:AG68">
    <cfRule type="expression" dxfId="41" priority="17">
      <formula>AND(OR(#REF!="✔",#REF!="✔"),$A54&lt;&gt;"",COUNTA($C68:$AG68)=0)</formula>
    </cfRule>
    <cfRule type="expression" dxfId="40" priority="18">
      <formula>AND(OR(#REF!="✔",#REF!="✔"),COUNTA($C68:$AG68)&gt;=1)</formula>
    </cfRule>
  </conditionalFormatting>
  <conditionalFormatting sqref="E132:AG132">
    <cfRule type="expression" dxfId="39" priority="10">
      <formula>AND(OR(#REF!="✔",#REF!="✔"),$A119&lt;&gt;"",COUNTA($C132:$AG132)=0)</formula>
    </cfRule>
    <cfRule type="expression" dxfId="38" priority="11">
      <formula>AND(OR(#REF!="✔",#REF!="✔"),COUNTA($C132:$AG132)&gt;=1)</formula>
    </cfRule>
  </conditionalFormatting>
  <conditionalFormatting sqref="F148:F154 C149:C154">
    <cfRule type="cellIs" dxfId="37" priority="63" stopIfTrue="1" operator="equal">
      <formula>""</formula>
    </cfRule>
  </conditionalFormatting>
  <conditionalFormatting sqref="F154">
    <cfRule type="cellIs" dxfId="36" priority="62" operator="greaterThan">
      <formula>0.917</formula>
    </cfRule>
  </conditionalFormatting>
  <conditionalFormatting sqref="F155:F156 C155:C156">
    <cfRule type="containsBlanks" dxfId="35" priority="35">
      <formula>LEN(TRIM(C155))=0</formula>
    </cfRule>
  </conditionalFormatting>
  <conditionalFormatting sqref="F153:G153">
    <cfRule type="cellIs" dxfId="34" priority="28" operator="greaterThan">
      <formula>0.917</formula>
    </cfRule>
  </conditionalFormatting>
  <conditionalFormatting sqref="F156:G156">
    <cfRule type="cellIs" dxfId="33" priority="31" operator="greaterThan">
      <formula>0.917</formula>
    </cfRule>
  </conditionalFormatting>
  <conditionalFormatting sqref="F160:G168 C161:D168">
    <cfRule type="containsBlanks" dxfId="32" priority="60">
      <formula>LEN(TRIM(C160))=0</formula>
    </cfRule>
  </conditionalFormatting>
  <conditionalFormatting sqref="F166:G166">
    <cfRule type="cellIs" dxfId="31" priority="30" operator="greaterThan">
      <formula>0.917</formula>
    </cfRule>
  </conditionalFormatting>
  <conditionalFormatting sqref="F168:G168">
    <cfRule type="cellIs" dxfId="30" priority="59" operator="greaterThan">
      <formula>0.917</formula>
    </cfRule>
  </conditionalFormatting>
  <conditionalFormatting sqref="F111:AC111">
    <cfRule type="expression" dxfId="29" priority="14">
      <formula>AND(OR(#REF!="✔",#REF!="✔"),$A98&lt;&gt;"",COUNTA($C111:$AG111)=0)</formula>
    </cfRule>
    <cfRule type="expression" dxfId="28" priority="15">
      <formula>AND(OR(#REF!="✔",#REF!="✔"),COUNTA($C111:$AG111)&gt;=1)</formula>
    </cfRule>
  </conditionalFormatting>
  <conditionalFormatting sqref="K1">
    <cfRule type="expression" dxfId="27" priority="53">
      <formula>$K$1&lt;&gt;""</formula>
    </cfRule>
  </conditionalFormatting>
  <conditionalFormatting sqref="K140:O145">
    <cfRule type="containsBlanks" dxfId="26" priority="7">
      <formula>LEN(TRIM(K140))=0</formula>
    </cfRule>
  </conditionalFormatting>
  <conditionalFormatting sqref="N160">
    <cfRule type="containsBlanks" dxfId="25" priority="32">
      <formula>LEN(TRIM(N160))=0</formula>
    </cfRule>
  </conditionalFormatting>
  <conditionalFormatting sqref="O158:P158">
    <cfRule type="containsBlanks" dxfId="24" priority="34">
      <formula>LEN(TRIM(O158))=0</formula>
    </cfRule>
  </conditionalFormatting>
  <conditionalFormatting sqref="P170:W170">
    <cfRule type="expression" dxfId="23" priority="64">
      <formula>AND(訓練種別コード="001",AI21+AI44+AI66+AI88+#REF!+#REF!&gt;0)</formula>
    </cfRule>
  </conditionalFormatting>
  <conditionalFormatting sqref="Q172:Q177">
    <cfRule type="cellIs" dxfId="22" priority="61" stopIfTrue="1" operator="lessThan">
      <formula>28</formula>
    </cfRule>
  </conditionalFormatting>
  <conditionalFormatting sqref="Q160:R168 N161:O168">
    <cfRule type="containsBlanks" dxfId="21" priority="58">
      <formula>LEN(TRIM(N160))=0</formula>
    </cfRule>
  </conditionalFormatting>
  <conditionalFormatting sqref="Q166:R166">
    <cfRule type="cellIs" dxfId="20" priority="57" operator="greaterThan">
      <formula>0.917</formula>
    </cfRule>
  </conditionalFormatting>
  <conditionalFormatting sqref="Q168:R168">
    <cfRule type="cellIs" dxfId="19" priority="29" operator="greaterThan">
      <formula>0.917</formula>
    </cfRule>
  </conditionalFormatting>
  <conditionalFormatting sqref="Q140:AG145">
    <cfRule type="containsBlanks" dxfId="18" priority="6">
      <formula>LEN(TRIM(Q140))=0</formula>
    </cfRule>
  </conditionalFormatting>
  <conditionalFormatting sqref="X171:AB171 X172 AA172:AB172 X173:AB178">
    <cfRule type="expression" dxfId="17" priority="54">
      <formula>$X$171=""</formula>
    </cfRule>
  </conditionalFormatting>
  <conditionalFormatting sqref="AC178:AE178">
    <cfRule type="expression" dxfId="16" priority="36">
      <formula>AND(NOT(VALUE(訓練総時間)=訓練時間合計),NOT(VALUE(訓練総時間)=IF(様6_訓練時間合計="",0,様6_訓練時間合計)))</formula>
    </cfRule>
  </conditionalFormatting>
  <conditionalFormatting sqref="AH89:AI89">
    <cfRule type="expression" dxfId="15" priority="48">
      <formula>$AI89=""</formula>
    </cfRule>
  </conditionalFormatting>
  <conditionalFormatting sqref="AH111:AI111">
    <cfRule type="expression" dxfId="14" priority="47">
      <formula>$AI111=""</formula>
    </cfRule>
  </conditionalFormatting>
  <conditionalFormatting sqref="AH22:AJ23">
    <cfRule type="expression" dxfId="13" priority="52">
      <formula>$AI22=""</formula>
    </cfRule>
  </conditionalFormatting>
  <conditionalFormatting sqref="AH45:AJ46">
    <cfRule type="expression" dxfId="12" priority="51">
      <formula>$AI45=""</formula>
    </cfRule>
  </conditionalFormatting>
  <conditionalFormatting sqref="AH67:AJ68">
    <cfRule type="expression" dxfId="11" priority="50">
      <formula>$AI67=""</formula>
    </cfRule>
  </conditionalFormatting>
  <conditionalFormatting sqref="AH90:AJ90">
    <cfRule type="expression" dxfId="10" priority="49">
      <formula>$AI90=""</formula>
    </cfRule>
  </conditionalFormatting>
  <conditionalFormatting sqref="AH110:AJ110">
    <cfRule type="expression" dxfId="9" priority="46">
      <formula>$AI110=""</formula>
    </cfRule>
  </conditionalFormatting>
  <conditionalFormatting sqref="AH131:AJ132">
    <cfRule type="expression" dxfId="8" priority="45">
      <formula>$AI131=""</formula>
    </cfRule>
  </conditionalFormatting>
  <conditionalFormatting sqref="AH178:AL178">
    <cfRule type="expression" dxfId="7" priority="38">
      <formula>$AH$178=""</formula>
    </cfRule>
  </conditionalFormatting>
  <conditionalFormatting sqref="AI27:AL27">
    <cfRule type="expression" dxfId="6" priority="44">
      <formula>$C6=""</formula>
    </cfRule>
  </conditionalFormatting>
  <conditionalFormatting sqref="AI49:AL49">
    <cfRule type="expression" dxfId="5" priority="43">
      <formula>$C29=""</formula>
    </cfRule>
  </conditionalFormatting>
  <conditionalFormatting sqref="AI71:AL71">
    <cfRule type="expression" dxfId="4" priority="42">
      <formula>$C51=""</formula>
    </cfRule>
  </conditionalFormatting>
  <conditionalFormatting sqref="AI93:AL93">
    <cfRule type="expression" dxfId="3" priority="41">
      <formula>$C73=""</formula>
    </cfRule>
  </conditionalFormatting>
  <conditionalFormatting sqref="AI114:AL114">
    <cfRule type="expression" dxfId="2" priority="40">
      <formula>$C$95=""</formula>
    </cfRule>
  </conditionalFormatting>
  <conditionalFormatting sqref="AI135:AL135">
    <cfRule type="expression" dxfId="1" priority="39">
      <formula>$C$116=""</formula>
    </cfRule>
  </conditionalFormatting>
  <conditionalFormatting sqref="AK189:AL189">
    <cfRule type="expression" dxfId="0" priority="37">
      <formula>AND(NOT(VALUE(訓練総時間)=訓練時間合計),NOT(VALUE(訓練総時間)=IF(様6_訓練時間合計="",0,様6_訓練時間合計)))</formula>
    </cfRule>
  </conditionalFormatting>
  <dataValidations count="5">
    <dataValidation type="list" imeMode="hiragana" allowBlank="1" showInputMessage="1" showErrorMessage="1" sqref="C21:AG21 C44:AG44 C66:AG66 C88:AG88" xr:uid="{BCE3E440-D9C6-44C5-AC88-35178677245C}">
      <formula1>"○"</formula1>
    </dataValidation>
    <dataValidation type="whole" imeMode="off" allowBlank="1" showInputMessage="1" showErrorMessage="1" sqref="C24:AG27 C47:AG49 C133:AG135 C91:AG93 C112:AG114 C69:AG71" xr:uid="{D0DCB4EB-3785-44C3-877B-884F61F08E7C}">
      <formula1>0</formula1>
      <formula2>8</formula2>
    </dataValidation>
    <dataValidation imeMode="off" allowBlank="1" showInputMessage="1" showErrorMessage="1" sqref="K140:O145 Q140:U145 K167:K168 D139:F140 O158:Q158 C148 C149:D154 F148:G154 D166 C155:C157 F155:F157 K150:K158 G166 O166 C160:C168 Q160:Q168 R166 D158:F158 F160:F168 N160:N168" xr:uid="{BEED8312-4D3C-4EC1-A43A-3FA19118C806}"/>
    <dataValidation type="list" allowBlank="1" showInputMessage="1" showErrorMessage="1" sqref="C89:AG89 C45:AG45 C110:AG110 C22:AG22 C67:AG67 C131:AG131" xr:uid="{100AEAB9-9A32-4A24-98E1-3CD127D32FE1}">
      <formula1>"○,◎"</formula1>
    </dataValidation>
    <dataValidation imeMode="hiragana" allowBlank="1" showInputMessage="1" showErrorMessage="1" sqref="C97:AG109 C118:AG130 C75:AG87 C53:AG65 C31:AG43 C8:AG20 V140:AG145" xr:uid="{1D89EEB6-925E-4A56-9C57-3EB0D0BABE79}"/>
  </dataValidations>
  <hyperlinks>
    <hyperlink ref="AJ150" location="様式7の１!B8" display="様式7の１作成へ" xr:uid="{D23328AB-27AE-47D1-8AE3-81868CCB1F09}"/>
    <hyperlink ref="AJ152" location="一覧表!M42" display="一覧表へ戻る" xr:uid="{6EC2DE85-1609-4004-B4D5-FEAE2A01C6A1}"/>
  </hyperlinks>
  <printOptions horizontalCentered="1"/>
  <pageMargins left="0.6692913385826772" right="0.31496062992125984" top="0.35433070866141736" bottom="0.35433070866141736" header="0.11811023622047245" footer="0.11811023622047245"/>
  <pageSetup paperSize="9" scale="55" fitToHeight="0" orientation="portrait" r:id="rId1"/>
  <rowBreaks count="1" manualBreakCount="1">
    <brk id="93"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552961" r:id="rId4" name="来所日選択">
              <controlPr defaultSize="0" print="0" autoLine="0" autoPict="0">
                <anchor moveWithCells="1">
                  <from>
                    <xdr:col>4</xdr:col>
                    <xdr:colOff>312420</xdr:colOff>
                    <xdr:row>0</xdr:row>
                    <xdr:rowOff>182880</xdr:rowOff>
                  </from>
                  <to>
                    <xdr:col>8</xdr:col>
                    <xdr:colOff>312420</xdr:colOff>
                    <xdr:row>1</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1E1B-4D69-4F02-80A1-EAAF681315D7}">
  <sheetPr codeName="Sheet17">
    <tabColor theme="1"/>
  </sheetPr>
  <dimension ref="A1"/>
  <sheetViews>
    <sheetView workbookViewId="0"/>
  </sheetViews>
  <sheetFormatPr defaultRowHeight="13.2"/>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23BDA-DCD5-4040-B139-732C00B71008}">
  <sheetPr codeName="Sheet18"/>
  <dimension ref="A2:D20"/>
  <sheetViews>
    <sheetView workbookViewId="0">
      <selection activeCell="B20" sqref="B20"/>
    </sheetView>
  </sheetViews>
  <sheetFormatPr defaultColWidth="9.44140625" defaultRowHeight="11.4"/>
  <cols>
    <col min="1" max="16384" width="9.44140625" style="1"/>
  </cols>
  <sheetData>
    <row r="2" spans="1:4">
      <c r="A2" s="1" t="s">
        <v>26</v>
      </c>
      <c r="D2" s="3"/>
    </row>
    <row r="3" spans="1:4" ht="13.2">
      <c r="A3" s="1" t="s">
        <v>12</v>
      </c>
      <c r="B3" s="1" t="s">
        <v>27</v>
      </c>
      <c r="D3" s="4"/>
    </row>
    <row r="4" spans="1:4" ht="13.2">
      <c r="A4" s="1" t="s">
        <v>13</v>
      </c>
      <c r="B4" s="1" t="s">
        <v>28</v>
      </c>
      <c r="D4" s="4" t="s">
        <v>111</v>
      </c>
    </row>
    <row r="5" spans="1:4" ht="13.2">
      <c r="A5" s="1" t="s">
        <v>14</v>
      </c>
      <c r="B5" s="1" t="s">
        <v>29</v>
      </c>
      <c r="D5" s="4" t="s">
        <v>112</v>
      </c>
    </row>
    <row r="6" spans="1:4" ht="13.2">
      <c r="A6" s="1" t="s">
        <v>15</v>
      </c>
      <c r="B6" s="1" t="s">
        <v>30</v>
      </c>
      <c r="D6" s="4" t="s">
        <v>113</v>
      </c>
    </row>
    <row r="7" spans="1:4">
      <c r="A7" s="1" t="s">
        <v>16</v>
      </c>
      <c r="B7" s="1" t="s">
        <v>31</v>
      </c>
      <c r="D7" s="139" t="s">
        <v>114</v>
      </c>
    </row>
    <row r="8" spans="1:4">
      <c r="A8" s="1" t="s">
        <v>17</v>
      </c>
      <c r="B8" s="1" t="s">
        <v>32</v>
      </c>
    </row>
    <row r="9" spans="1:4">
      <c r="A9" s="1" t="s">
        <v>18</v>
      </c>
      <c r="B9" s="1" t="s">
        <v>33</v>
      </c>
    </row>
    <row r="10" spans="1:4">
      <c r="A10" s="1" t="s">
        <v>19</v>
      </c>
      <c r="B10" s="1" t="s">
        <v>34</v>
      </c>
    </row>
    <row r="11" spans="1:4">
      <c r="A11" s="1" t="s">
        <v>20</v>
      </c>
      <c r="B11" s="1" t="s">
        <v>35</v>
      </c>
    </row>
    <row r="12" spans="1:4">
      <c r="A12" s="1" t="s">
        <v>21</v>
      </c>
      <c r="B12" s="1" t="s">
        <v>36</v>
      </c>
    </row>
    <row r="13" spans="1:4">
      <c r="A13" s="1" t="s">
        <v>22</v>
      </c>
      <c r="B13" s="1" t="s">
        <v>37</v>
      </c>
    </row>
    <row r="14" spans="1:4">
      <c r="A14" s="1" t="s">
        <v>23</v>
      </c>
      <c r="B14" s="1" t="s">
        <v>38</v>
      </c>
    </row>
    <row r="15" spans="1:4">
      <c r="A15" s="2" t="s">
        <v>41</v>
      </c>
      <c r="B15" s="2" t="s">
        <v>41</v>
      </c>
    </row>
    <row r="16" spans="1:4">
      <c r="A16" s="1" t="s">
        <v>24</v>
      </c>
      <c r="B16" s="1" t="s">
        <v>40</v>
      </c>
    </row>
    <row r="17" spans="1:2">
      <c r="A17" s="1" t="s">
        <v>39</v>
      </c>
      <c r="B17" s="1" t="s">
        <v>39</v>
      </c>
    </row>
    <row r="18" spans="1:2">
      <c r="A18" s="1" t="s">
        <v>25</v>
      </c>
      <c r="B18" s="1" t="s">
        <v>25</v>
      </c>
    </row>
    <row r="19" spans="1:2">
      <c r="A19" s="139" t="s">
        <v>119</v>
      </c>
      <c r="B19" s="139" t="s">
        <v>373</v>
      </c>
    </row>
    <row r="20" spans="1:2">
      <c r="A20" s="139" t="s">
        <v>373</v>
      </c>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3342-809F-4DF5-85C2-28399617CD44}">
  <sheetPr codeName="Sheet52"/>
  <dimension ref="A1:W72"/>
  <sheetViews>
    <sheetView view="pageBreakPreview" topLeftCell="A25" zoomScale="73" zoomScaleNormal="70" workbookViewId="0"/>
  </sheetViews>
  <sheetFormatPr defaultColWidth="10" defaultRowHeight="15"/>
  <cols>
    <col min="1" max="1" width="3.44140625" style="154" customWidth="1"/>
    <col min="2" max="2" width="10" style="154"/>
    <col min="3" max="3" width="17.5546875" style="154" customWidth="1"/>
    <col min="4" max="5" width="7.5546875" style="154" customWidth="1"/>
    <col min="6" max="6" width="3.44140625" style="154" customWidth="1"/>
    <col min="7" max="7" width="6.5546875" style="154" customWidth="1"/>
    <col min="8" max="8" width="10" style="154"/>
    <col min="9" max="9" width="17.5546875" style="154" customWidth="1"/>
    <col min="10" max="11" width="7.5546875" style="154" customWidth="1"/>
    <col min="12" max="12" width="3.44140625" style="154" customWidth="1"/>
    <col min="13" max="13" width="6.5546875" style="154" customWidth="1"/>
    <col min="14" max="14" width="10" style="154"/>
    <col min="15" max="15" width="17.5546875" style="154" customWidth="1"/>
    <col min="16" max="17" width="7.5546875" style="154" customWidth="1"/>
    <col min="18" max="18" width="3.44140625" style="154" customWidth="1"/>
    <col min="19" max="19" width="6.5546875" style="154" customWidth="1"/>
    <col min="20" max="20" width="10" style="154"/>
    <col min="21" max="21" width="17.5546875" style="154" customWidth="1"/>
    <col min="22" max="23" width="7.5546875" style="154" customWidth="1"/>
    <col min="24" max="16384" width="10" style="154"/>
  </cols>
  <sheetData>
    <row r="1" spans="1:23" s="152" customFormat="1" ht="24.6">
      <c r="A1" s="152" t="s">
        <v>124</v>
      </c>
      <c r="I1" s="153" t="s">
        <v>217</v>
      </c>
    </row>
    <row r="2" spans="1:23">
      <c r="B2" s="154" t="s">
        <v>125</v>
      </c>
    </row>
    <row r="3" spans="1:23">
      <c r="B3" s="154" t="s">
        <v>126</v>
      </c>
    </row>
    <row r="4" spans="1:23" ht="4.5" customHeight="1" thickBot="1"/>
    <row r="5" spans="1:23" ht="20.25" customHeight="1" thickTop="1" thickBot="1">
      <c r="B5" s="155" t="s">
        <v>127</v>
      </c>
      <c r="C5" s="233"/>
      <c r="D5" s="156" t="s">
        <v>125</v>
      </c>
      <c r="E5" s="157"/>
      <c r="F5" s="158"/>
      <c r="G5" s="158"/>
      <c r="H5" s="155" t="s">
        <v>127</v>
      </c>
      <c r="I5" s="233"/>
      <c r="J5" s="156" t="s">
        <v>125</v>
      </c>
      <c r="K5" s="157"/>
      <c r="L5" s="158"/>
      <c r="M5" s="159"/>
      <c r="N5" s="160" t="s">
        <v>128</v>
      </c>
      <c r="O5" s="197"/>
      <c r="P5" s="156" t="s">
        <v>125</v>
      </c>
      <c r="Q5" s="157"/>
      <c r="R5" s="158"/>
      <c r="S5" s="158"/>
      <c r="T5" s="160" t="s">
        <v>128</v>
      </c>
      <c r="U5" s="197"/>
      <c r="V5" s="156" t="s">
        <v>125</v>
      </c>
      <c r="W5" s="157"/>
    </row>
    <row r="6" spans="1:23" ht="20.25" customHeight="1" thickTop="1">
      <c r="B6" s="161" t="s">
        <v>129</v>
      </c>
      <c r="C6" s="162"/>
      <c r="D6" s="163" t="s">
        <v>130</v>
      </c>
      <c r="E6" s="163" t="s">
        <v>131</v>
      </c>
      <c r="F6" s="158"/>
      <c r="G6" s="158"/>
      <c r="H6" s="161" t="s">
        <v>129</v>
      </c>
      <c r="I6" s="162"/>
      <c r="J6" s="163" t="s">
        <v>130</v>
      </c>
      <c r="K6" s="163" t="s">
        <v>131</v>
      </c>
      <c r="L6" s="158"/>
      <c r="M6" s="159"/>
      <c r="N6" s="164" t="s">
        <v>132</v>
      </c>
      <c r="O6" s="165"/>
      <c r="P6" s="163" t="s">
        <v>130</v>
      </c>
      <c r="Q6" s="163" t="s">
        <v>131</v>
      </c>
      <c r="R6" s="158"/>
      <c r="S6" s="158"/>
      <c r="T6" s="164" t="s">
        <v>133</v>
      </c>
      <c r="U6" s="165"/>
      <c r="V6" s="163" t="s">
        <v>130</v>
      </c>
      <c r="W6" s="163" t="s">
        <v>131</v>
      </c>
    </row>
    <row r="7" spans="1:23">
      <c r="B7" s="166"/>
      <c r="C7" s="167" t="s">
        <v>134</v>
      </c>
      <c r="D7" s="168"/>
      <c r="E7" s="169"/>
      <c r="F7" s="158"/>
      <c r="G7" s="158"/>
      <c r="H7" s="166"/>
      <c r="I7" s="170" t="s">
        <v>134</v>
      </c>
      <c r="J7" s="168"/>
      <c r="K7" s="169"/>
      <c r="L7" s="158"/>
      <c r="M7" s="159"/>
      <c r="N7" s="166"/>
      <c r="O7" s="170" t="s">
        <v>134</v>
      </c>
      <c r="P7" s="168"/>
      <c r="Q7" s="169"/>
      <c r="R7" s="158"/>
      <c r="S7" s="158"/>
      <c r="T7" s="166"/>
      <c r="U7" s="170" t="s">
        <v>134</v>
      </c>
      <c r="V7" s="168"/>
      <c r="W7" s="169"/>
    </row>
    <row r="8" spans="1:23">
      <c r="A8" s="154">
        <v>1</v>
      </c>
      <c r="B8" s="171" t="s">
        <v>135</v>
      </c>
      <c r="C8" s="194" t="s">
        <v>256</v>
      </c>
      <c r="D8" s="172"/>
      <c r="E8" s="173"/>
      <c r="G8" s="154">
        <v>1</v>
      </c>
      <c r="H8" s="171" t="s">
        <v>135</v>
      </c>
      <c r="I8" s="194" t="s">
        <v>256</v>
      </c>
      <c r="J8" s="172"/>
      <c r="K8" s="173"/>
      <c r="M8" s="174">
        <v>1</v>
      </c>
      <c r="N8" s="171" t="s">
        <v>135</v>
      </c>
      <c r="O8" s="194" t="s">
        <v>256</v>
      </c>
      <c r="P8" s="172"/>
      <c r="Q8" s="173"/>
      <c r="S8" s="154">
        <v>1</v>
      </c>
      <c r="T8" s="171" t="s">
        <v>135</v>
      </c>
      <c r="U8" s="194" t="s">
        <v>256</v>
      </c>
      <c r="V8" s="172"/>
      <c r="W8" s="173"/>
    </row>
    <row r="9" spans="1:23">
      <c r="A9" s="154">
        <v>2</v>
      </c>
      <c r="B9" s="171" t="s">
        <v>136</v>
      </c>
      <c r="C9" s="194" t="s">
        <v>256</v>
      </c>
      <c r="D9" s="172"/>
      <c r="E9" s="173"/>
      <c r="G9" s="154">
        <v>2</v>
      </c>
      <c r="H9" s="171" t="s">
        <v>136</v>
      </c>
      <c r="I9" s="194" t="s">
        <v>256</v>
      </c>
      <c r="J9" s="172"/>
      <c r="K9" s="173"/>
      <c r="M9" s="174">
        <v>2</v>
      </c>
      <c r="N9" s="171" t="s">
        <v>136</v>
      </c>
      <c r="O9" s="194" t="s">
        <v>256</v>
      </c>
      <c r="P9" s="172"/>
      <c r="Q9" s="173"/>
      <c r="S9" s="154">
        <v>2</v>
      </c>
      <c r="T9" s="171" t="s">
        <v>136</v>
      </c>
      <c r="U9" s="194" t="s">
        <v>256</v>
      </c>
      <c r="V9" s="172"/>
      <c r="W9" s="173"/>
    </row>
    <row r="10" spans="1:23">
      <c r="A10" s="154">
        <v>3</v>
      </c>
      <c r="B10" s="171" t="s">
        <v>137</v>
      </c>
      <c r="C10" s="194" t="s">
        <v>256</v>
      </c>
      <c r="D10" s="172"/>
      <c r="E10" s="173"/>
      <c r="G10" s="154">
        <v>3</v>
      </c>
      <c r="H10" s="171" t="s">
        <v>137</v>
      </c>
      <c r="I10" s="194" t="s">
        <v>256</v>
      </c>
      <c r="J10" s="172"/>
      <c r="K10" s="173"/>
      <c r="M10" s="174">
        <v>3</v>
      </c>
      <c r="N10" s="171" t="s">
        <v>137</v>
      </c>
      <c r="O10" s="194" t="s">
        <v>256</v>
      </c>
      <c r="P10" s="172"/>
      <c r="Q10" s="173"/>
      <c r="S10" s="154">
        <v>3</v>
      </c>
      <c r="T10" s="171" t="s">
        <v>137</v>
      </c>
      <c r="U10" s="194" t="s">
        <v>256</v>
      </c>
      <c r="V10" s="172"/>
      <c r="W10" s="173"/>
    </row>
    <row r="11" spans="1:23">
      <c r="A11" s="154">
        <v>4</v>
      </c>
      <c r="B11" s="171" t="s">
        <v>138</v>
      </c>
      <c r="C11" s="194" t="s">
        <v>256</v>
      </c>
      <c r="D11" s="172"/>
      <c r="E11" s="173"/>
      <c r="G11" s="154">
        <v>4</v>
      </c>
      <c r="H11" s="171" t="s">
        <v>138</v>
      </c>
      <c r="I11" s="194" t="s">
        <v>256</v>
      </c>
      <c r="J11" s="172"/>
      <c r="K11" s="173"/>
      <c r="M11" s="174">
        <v>4</v>
      </c>
      <c r="N11" s="171" t="s">
        <v>138</v>
      </c>
      <c r="O11" s="194" t="s">
        <v>256</v>
      </c>
      <c r="P11" s="172"/>
      <c r="Q11" s="173"/>
      <c r="S11" s="154">
        <v>4</v>
      </c>
      <c r="T11" s="171" t="s">
        <v>138</v>
      </c>
      <c r="U11" s="194" t="s">
        <v>256</v>
      </c>
      <c r="V11" s="172"/>
      <c r="W11" s="173"/>
    </row>
    <row r="12" spans="1:23">
      <c r="A12" s="154">
        <v>5</v>
      </c>
      <c r="B12" s="171" t="s">
        <v>139</v>
      </c>
      <c r="C12" s="194" t="s">
        <v>256</v>
      </c>
      <c r="D12" s="172"/>
      <c r="E12" s="173"/>
      <c r="G12" s="154">
        <v>5</v>
      </c>
      <c r="H12" s="171" t="s">
        <v>139</v>
      </c>
      <c r="I12" s="194" t="s">
        <v>256</v>
      </c>
      <c r="J12" s="172"/>
      <c r="K12" s="173"/>
      <c r="M12" s="174">
        <v>5</v>
      </c>
      <c r="N12" s="171" t="s">
        <v>139</v>
      </c>
      <c r="O12" s="194" t="s">
        <v>256</v>
      </c>
      <c r="P12" s="172"/>
      <c r="Q12" s="173"/>
      <c r="S12" s="154">
        <v>5</v>
      </c>
      <c r="T12" s="171" t="s">
        <v>139</v>
      </c>
      <c r="U12" s="194" t="s">
        <v>256</v>
      </c>
      <c r="V12" s="172"/>
      <c r="W12" s="173"/>
    </row>
    <row r="13" spans="1:23">
      <c r="A13" s="154">
        <v>6</v>
      </c>
      <c r="B13" s="171" t="s">
        <v>140</v>
      </c>
      <c r="C13" s="194" t="s">
        <v>256</v>
      </c>
      <c r="D13" s="175"/>
      <c r="E13" s="176"/>
      <c r="G13" s="154">
        <v>6</v>
      </c>
      <c r="H13" s="171" t="s">
        <v>140</v>
      </c>
      <c r="I13" s="194" t="s">
        <v>256</v>
      </c>
      <c r="J13" s="175"/>
      <c r="K13" s="176"/>
      <c r="M13" s="174">
        <v>6</v>
      </c>
      <c r="N13" s="171" t="s">
        <v>140</v>
      </c>
      <c r="O13" s="194" t="s">
        <v>256</v>
      </c>
      <c r="P13" s="175"/>
      <c r="Q13" s="176"/>
      <c r="S13" s="154">
        <v>6</v>
      </c>
      <c r="T13" s="171" t="s">
        <v>140</v>
      </c>
      <c r="U13" s="194" t="s">
        <v>256</v>
      </c>
      <c r="V13" s="175"/>
      <c r="W13" s="176"/>
    </row>
    <row r="14" spans="1:23">
      <c r="M14" s="174"/>
    </row>
    <row r="15" spans="1:23" ht="16.5" customHeight="1" thickBot="1">
      <c r="A15" s="158"/>
      <c r="B15" s="158"/>
      <c r="C15" s="177"/>
      <c r="D15" s="178"/>
      <c r="E15" s="178"/>
      <c r="G15" s="158"/>
      <c r="H15" s="158"/>
      <c r="I15" s="177"/>
      <c r="J15" s="178"/>
      <c r="K15" s="178"/>
      <c r="M15" s="159"/>
      <c r="N15" s="158"/>
      <c r="O15" s="177"/>
      <c r="P15" s="178"/>
      <c r="Q15" s="178"/>
      <c r="R15" s="322"/>
      <c r="S15" s="158"/>
      <c r="T15" s="158"/>
      <c r="U15" s="177"/>
      <c r="V15" s="178"/>
      <c r="W15" s="178"/>
    </row>
    <row r="16" spans="1:23" ht="17.25" customHeight="1" thickTop="1" thickBot="1">
      <c r="A16" s="158"/>
      <c r="B16" s="179" t="s">
        <v>127</v>
      </c>
      <c r="C16" s="232"/>
      <c r="D16" s="156" t="s">
        <v>125</v>
      </c>
      <c r="E16" s="157"/>
      <c r="G16" s="158"/>
      <c r="H16" s="179" t="s">
        <v>127</v>
      </c>
      <c r="I16" s="232"/>
      <c r="J16" s="156" t="s">
        <v>125</v>
      </c>
      <c r="K16" s="157"/>
      <c r="M16" s="159"/>
      <c r="N16" s="160" t="s">
        <v>128</v>
      </c>
      <c r="O16" s="197"/>
      <c r="P16" s="156" t="s">
        <v>125</v>
      </c>
      <c r="Q16" s="157"/>
      <c r="R16" s="322"/>
      <c r="S16" s="158"/>
      <c r="T16" s="160" t="s">
        <v>128</v>
      </c>
      <c r="U16" s="197"/>
      <c r="V16" s="156" t="s">
        <v>125</v>
      </c>
      <c r="W16" s="157"/>
    </row>
    <row r="17" spans="1:23" ht="17.25" customHeight="1" thickTop="1">
      <c r="A17" s="158"/>
      <c r="B17" s="164" t="s">
        <v>133</v>
      </c>
      <c r="C17" s="180"/>
      <c r="D17" s="181" t="s">
        <v>130</v>
      </c>
      <c r="E17" s="181" t="s">
        <v>131</v>
      </c>
      <c r="G17" s="158"/>
      <c r="H17" s="164" t="s">
        <v>133</v>
      </c>
      <c r="I17" s="180"/>
      <c r="J17" s="181" t="s">
        <v>130</v>
      </c>
      <c r="K17" s="181" t="s">
        <v>131</v>
      </c>
      <c r="M17" s="159"/>
      <c r="N17" s="164" t="s">
        <v>133</v>
      </c>
      <c r="O17" s="180"/>
      <c r="P17" s="181" t="s">
        <v>130</v>
      </c>
      <c r="Q17" s="181" t="s">
        <v>131</v>
      </c>
      <c r="R17" s="178"/>
      <c r="S17" s="158"/>
      <c r="T17" s="164" t="s">
        <v>133</v>
      </c>
      <c r="U17" s="180"/>
      <c r="V17" s="181" t="s">
        <v>130</v>
      </c>
      <c r="W17" s="181" t="s">
        <v>131</v>
      </c>
    </row>
    <row r="18" spans="1:23">
      <c r="A18" s="158"/>
      <c r="B18" s="166"/>
      <c r="C18" s="170" t="s">
        <v>134</v>
      </c>
      <c r="D18" s="182"/>
      <c r="E18" s="183"/>
      <c r="G18" s="158"/>
      <c r="H18" s="166"/>
      <c r="I18" s="170" t="s">
        <v>134</v>
      </c>
      <c r="J18" s="182"/>
      <c r="K18" s="183"/>
      <c r="M18" s="159"/>
      <c r="N18" s="166"/>
      <c r="O18" s="170" t="s">
        <v>134</v>
      </c>
      <c r="P18" s="182"/>
      <c r="Q18" s="183"/>
      <c r="R18" s="158"/>
      <c r="S18" s="158"/>
      <c r="T18" s="166"/>
      <c r="U18" s="170" t="s">
        <v>134</v>
      </c>
      <c r="V18" s="182"/>
      <c r="W18" s="183"/>
    </row>
    <row r="19" spans="1:23">
      <c r="A19" s="154">
        <v>1</v>
      </c>
      <c r="B19" s="171" t="s">
        <v>135</v>
      </c>
      <c r="C19" s="194" t="s">
        <v>256</v>
      </c>
      <c r="D19" s="172"/>
      <c r="E19" s="173"/>
      <c r="G19" s="154">
        <v>1</v>
      </c>
      <c r="H19" s="171" t="s">
        <v>135</v>
      </c>
      <c r="I19" s="194" t="s">
        <v>256</v>
      </c>
      <c r="J19" s="172"/>
      <c r="K19" s="173"/>
      <c r="M19" s="174">
        <v>1</v>
      </c>
      <c r="N19" s="171" t="s">
        <v>135</v>
      </c>
      <c r="O19" s="194" t="s">
        <v>256</v>
      </c>
      <c r="P19" s="172"/>
      <c r="Q19" s="173"/>
      <c r="S19" s="154">
        <v>1</v>
      </c>
      <c r="T19" s="171" t="s">
        <v>135</v>
      </c>
      <c r="U19" s="194" t="s">
        <v>256</v>
      </c>
      <c r="V19" s="172"/>
      <c r="W19" s="173"/>
    </row>
    <row r="20" spans="1:23">
      <c r="A20" s="154">
        <v>2</v>
      </c>
      <c r="B20" s="171" t="s">
        <v>136</v>
      </c>
      <c r="C20" s="194" t="s">
        <v>256</v>
      </c>
      <c r="D20" s="172"/>
      <c r="E20" s="173"/>
      <c r="G20" s="154">
        <v>2</v>
      </c>
      <c r="H20" s="171" t="s">
        <v>136</v>
      </c>
      <c r="I20" s="194" t="s">
        <v>256</v>
      </c>
      <c r="J20" s="172"/>
      <c r="K20" s="173"/>
      <c r="M20" s="174">
        <v>2</v>
      </c>
      <c r="N20" s="171" t="s">
        <v>136</v>
      </c>
      <c r="O20" s="194" t="s">
        <v>256</v>
      </c>
      <c r="P20" s="172"/>
      <c r="Q20" s="173"/>
      <c r="S20" s="154">
        <v>2</v>
      </c>
      <c r="T20" s="171" t="s">
        <v>136</v>
      </c>
      <c r="U20" s="194" t="s">
        <v>256</v>
      </c>
      <c r="V20" s="172"/>
      <c r="W20" s="173"/>
    </row>
    <row r="21" spans="1:23">
      <c r="A21" s="154">
        <v>3</v>
      </c>
      <c r="B21" s="171" t="s">
        <v>137</v>
      </c>
      <c r="C21" s="194" t="s">
        <v>256</v>
      </c>
      <c r="D21" s="172"/>
      <c r="E21" s="173"/>
      <c r="G21" s="154">
        <v>3</v>
      </c>
      <c r="H21" s="171" t="s">
        <v>137</v>
      </c>
      <c r="I21" s="194" t="s">
        <v>256</v>
      </c>
      <c r="J21" s="172"/>
      <c r="K21" s="173"/>
      <c r="M21" s="174">
        <v>3</v>
      </c>
      <c r="N21" s="171" t="s">
        <v>137</v>
      </c>
      <c r="O21" s="194" t="s">
        <v>256</v>
      </c>
      <c r="P21" s="172"/>
      <c r="Q21" s="173"/>
      <c r="S21" s="154">
        <v>3</v>
      </c>
      <c r="T21" s="171" t="s">
        <v>137</v>
      </c>
      <c r="U21" s="194" t="s">
        <v>256</v>
      </c>
      <c r="V21" s="172"/>
      <c r="W21" s="173"/>
    </row>
    <row r="22" spans="1:23">
      <c r="A22" s="154">
        <v>4</v>
      </c>
      <c r="B22" s="171" t="s">
        <v>138</v>
      </c>
      <c r="C22" s="194" t="s">
        <v>256</v>
      </c>
      <c r="D22" s="172"/>
      <c r="E22" s="173"/>
      <c r="G22" s="154">
        <v>4</v>
      </c>
      <c r="H22" s="171" t="s">
        <v>138</v>
      </c>
      <c r="I22" s="194" t="s">
        <v>256</v>
      </c>
      <c r="J22" s="172"/>
      <c r="K22" s="173"/>
      <c r="M22" s="174">
        <v>4</v>
      </c>
      <c r="N22" s="171" t="s">
        <v>138</v>
      </c>
      <c r="O22" s="194" t="s">
        <v>256</v>
      </c>
      <c r="P22" s="172"/>
      <c r="Q22" s="173"/>
      <c r="S22" s="154">
        <v>4</v>
      </c>
      <c r="T22" s="171" t="s">
        <v>138</v>
      </c>
      <c r="U22" s="194" t="s">
        <v>256</v>
      </c>
      <c r="V22" s="172"/>
      <c r="W22" s="173"/>
    </row>
    <row r="23" spans="1:23">
      <c r="A23" s="154">
        <v>5</v>
      </c>
      <c r="B23" s="171" t="s">
        <v>139</v>
      </c>
      <c r="C23" s="194" t="s">
        <v>256</v>
      </c>
      <c r="D23" s="172"/>
      <c r="E23" s="173"/>
      <c r="G23" s="154">
        <v>5</v>
      </c>
      <c r="H23" s="171" t="s">
        <v>139</v>
      </c>
      <c r="I23" s="194" t="s">
        <v>256</v>
      </c>
      <c r="J23" s="172"/>
      <c r="K23" s="173"/>
      <c r="M23" s="174">
        <v>5</v>
      </c>
      <c r="N23" s="171" t="s">
        <v>139</v>
      </c>
      <c r="O23" s="194" t="s">
        <v>256</v>
      </c>
      <c r="P23" s="172"/>
      <c r="Q23" s="173"/>
      <c r="S23" s="154">
        <v>5</v>
      </c>
      <c r="T23" s="171" t="s">
        <v>139</v>
      </c>
      <c r="U23" s="194" t="s">
        <v>256</v>
      </c>
      <c r="V23" s="172"/>
      <c r="W23" s="173"/>
    </row>
    <row r="24" spans="1:23">
      <c r="A24" s="154">
        <v>6</v>
      </c>
      <c r="B24" s="171" t="s">
        <v>140</v>
      </c>
      <c r="C24" s="194" t="s">
        <v>256</v>
      </c>
      <c r="D24" s="175"/>
      <c r="E24" s="176"/>
      <c r="G24" s="154">
        <v>6</v>
      </c>
      <c r="H24" s="171" t="s">
        <v>140</v>
      </c>
      <c r="I24" s="194" t="s">
        <v>256</v>
      </c>
      <c r="J24" s="175"/>
      <c r="K24" s="176"/>
      <c r="M24" s="174">
        <v>6</v>
      </c>
      <c r="N24" s="171" t="s">
        <v>140</v>
      </c>
      <c r="O24" s="194" t="s">
        <v>256</v>
      </c>
      <c r="P24" s="175"/>
      <c r="Q24" s="176"/>
      <c r="S24" s="154">
        <v>6</v>
      </c>
      <c r="T24" s="171" t="s">
        <v>140</v>
      </c>
      <c r="U24" s="194" t="s">
        <v>256</v>
      </c>
      <c r="V24" s="175"/>
      <c r="W24" s="176"/>
    </row>
    <row r="25" spans="1:23">
      <c r="M25" s="174"/>
    </row>
    <row r="26" spans="1:23" ht="16.5" customHeight="1" thickBot="1">
      <c r="B26" s="154" t="s">
        <v>141</v>
      </c>
      <c r="C26" s="177"/>
      <c r="D26" s="178"/>
      <c r="E26" s="178"/>
      <c r="I26" s="177"/>
      <c r="J26" s="178"/>
      <c r="K26" s="178"/>
      <c r="M26" s="174"/>
      <c r="O26" s="177"/>
      <c r="P26" s="178"/>
      <c r="Q26" s="178"/>
      <c r="U26" s="184"/>
      <c r="V26" s="178"/>
      <c r="W26" s="178"/>
    </row>
    <row r="27" spans="1:23" ht="16.350000000000001" customHeight="1" thickTop="1" thickBot="1">
      <c r="B27" s="185" t="s">
        <v>142</v>
      </c>
      <c r="C27" s="232"/>
      <c r="D27" s="156" t="s">
        <v>125</v>
      </c>
      <c r="E27" s="157"/>
      <c r="F27" s="158"/>
      <c r="G27" s="158"/>
      <c r="H27" s="185" t="s">
        <v>143</v>
      </c>
      <c r="I27" s="232"/>
      <c r="J27" s="156" t="s">
        <v>125</v>
      </c>
      <c r="K27" s="157"/>
      <c r="L27" s="158"/>
      <c r="M27" s="159"/>
      <c r="N27" s="186" t="s">
        <v>144</v>
      </c>
      <c r="O27" s="197"/>
      <c r="P27" s="156" t="s">
        <v>125</v>
      </c>
      <c r="Q27" s="157"/>
      <c r="R27" s="158"/>
      <c r="S27" s="158"/>
      <c r="T27" s="186" t="s">
        <v>144</v>
      </c>
      <c r="U27" s="197"/>
      <c r="V27" s="156" t="s">
        <v>125</v>
      </c>
      <c r="W27" s="157"/>
    </row>
    <row r="28" spans="1:23" ht="16.350000000000001" customHeight="1" thickTop="1">
      <c r="B28" s="164" t="s">
        <v>133</v>
      </c>
      <c r="C28" s="180"/>
      <c r="D28" s="181" t="s">
        <v>130</v>
      </c>
      <c r="E28" s="181" t="s">
        <v>131</v>
      </c>
      <c r="F28" s="158"/>
      <c r="G28" s="158"/>
      <c r="H28" s="164" t="s">
        <v>133</v>
      </c>
      <c r="I28" s="180"/>
      <c r="J28" s="181" t="s">
        <v>130</v>
      </c>
      <c r="K28" s="181" t="s">
        <v>131</v>
      </c>
      <c r="L28" s="158"/>
      <c r="M28" s="159"/>
      <c r="N28" s="164" t="s">
        <v>133</v>
      </c>
      <c r="O28" s="180"/>
      <c r="P28" s="181" t="s">
        <v>130</v>
      </c>
      <c r="Q28" s="181" t="s">
        <v>131</v>
      </c>
      <c r="R28" s="158"/>
      <c r="S28" s="158"/>
      <c r="T28" s="164" t="s">
        <v>133</v>
      </c>
      <c r="U28" s="187"/>
      <c r="V28" s="181" t="s">
        <v>130</v>
      </c>
      <c r="W28" s="181" t="s">
        <v>131</v>
      </c>
    </row>
    <row r="29" spans="1:23" ht="16.350000000000001" customHeight="1">
      <c r="B29" s="166"/>
      <c r="C29" s="170" t="s">
        <v>134</v>
      </c>
      <c r="D29" s="182"/>
      <c r="E29" s="183"/>
      <c r="F29" s="158"/>
      <c r="G29" s="158"/>
      <c r="H29" s="166"/>
      <c r="I29" s="170" t="s">
        <v>134</v>
      </c>
      <c r="J29" s="182"/>
      <c r="K29" s="183"/>
      <c r="L29" s="158"/>
      <c r="M29" s="159"/>
      <c r="N29" s="166"/>
      <c r="O29" s="170" t="s">
        <v>134</v>
      </c>
      <c r="P29" s="182"/>
      <c r="Q29" s="183"/>
      <c r="R29" s="158"/>
      <c r="S29" s="158"/>
      <c r="T29" s="166"/>
      <c r="U29" s="170" t="s">
        <v>134</v>
      </c>
      <c r="V29" s="182"/>
      <c r="W29" s="183"/>
    </row>
    <row r="30" spans="1:23">
      <c r="A30" s="154">
        <v>1</v>
      </c>
      <c r="B30" s="171" t="s">
        <v>135</v>
      </c>
      <c r="C30" s="194" t="s">
        <v>256</v>
      </c>
      <c r="D30" s="172"/>
      <c r="E30" s="173"/>
      <c r="G30" s="154">
        <v>1</v>
      </c>
      <c r="H30" s="171" t="s">
        <v>135</v>
      </c>
      <c r="I30" s="194" t="s">
        <v>256</v>
      </c>
      <c r="J30" s="172"/>
      <c r="K30" s="173"/>
      <c r="M30" s="174">
        <v>1</v>
      </c>
      <c r="N30" s="171" t="s">
        <v>135</v>
      </c>
      <c r="O30" s="194" t="s">
        <v>256</v>
      </c>
      <c r="P30" s="172"/>
      <c r="Q30" s="173"/>
      <c r="S30" s="154">
        <v>1</v>
      </c>
      <c r="T30" s="171" t="s">
        <v>135</v>
      </c>
      <c r="U30" s="194" t="s">
        <v>256</v>
      </c>
      <c r="V30" s="172"/>
      <c r="W30" s="173"/>
    </row>
    <row r="31" spans="1:23">
      <c r="A31" s="154">
        <v>2</v>
      </c>
      <c r="B31" s="171" t="s">
        <v>136</v>
      </c>
      <c r="C31" s="194" t="s">
        <v>256</v>
      </c>
      <c r="D31" s="172"/>
      <c r="E31" s="173"/>
      <c r="G31" s="154">
        <v>2</v>
      </c>
      <c r="H31" s="171" t="s">
        <v>136</v>
      </c>
      <c r="I31" s="194" t="s">
        <v>256</v>
      </c>
      <c r="J31" s="172"/>
      <c r="K31" s="173"/>
      <c r="M31" s="174">
        <v>2</v>
      </c>
      <c r="N31" s="171" t="s">
        <v>136</v>
      </c>
      <c r="O31" s="194" t="s">
        <v>256</v>
      </c>
      <c r="P31" s="172"/>
      <c r="Q31" s="173"/>
      <c r="S31" s="154">
        <v>2</v>
      </c>
      <c r="T31" s="171" t="s">
        <v>136</v>
      </c>
      <c r="U31" s="194" t="s">
        <v>256</v>
      </c>
      <c r="V31" s="172"/>
      <c r="W31" s="173"/>
    </row>
    <row r="32" spans="1:23">
      <c r="A32" s="154">
        <v>3</v>
      </c>
      <c r="B32" s="171" t="s">
        <v>137</v>
      </c>
      <c r="C32" s="194" t="s">
        <v>256</v>
      </c>
      <c r="D32" s="172"/>
      <c r="E32" s="173"/>
      <c r="G32" s="154">
        <v>3</v>
      </c>
      <c r="H32" s="171" t="s">
        <v>137</v>
      </c>
      <c r="I32" s="194" t="s">
        <v>256</v>
      </c>
      <c r="J32" s="172"/>
      <c r="K32" s="173"/>
      <c r="M32" s="174">
        <v>3</v>
      </c>
      <c r="N32" s="171" t="s">
        <v>137</v>
      </c>
      <c r="O32" s="194" t="s">
        <v>256</v>
      </c>
      <c r="P32" s="172"/>
      <c r="Q32" s="173"/>
      <c r="S32" s="154">
        <v>3</v>
      </c>
      <c r="T32" s="171" t="s">
        <v>137</v>
      </c>
      <c r="U32" s="194" t="s">
        <v>256</v>
      </c>
      <c r="V32" s="172"/>
      <c r="W32" s="173"/>
    </row>
    <row r="33" spans="1:23">
      <c r="A33" s="154">
        <v>4</v>
      </c>
      <c r="B33" s="171" t="s">
        <v>138</v>
      </c>
      <c r="C33" s="194" t="s">
        <v>256</v>
      </c>
      <c r="D33" s="172"/>
      <c r="E33" s="173"/>
      <c r="G33" s="154">
        <v>4</v>
      </c>
      <c r="H33" s="171" t="s">
        <v>138</v>
      </c>
      <c r="I33" s="194" t="s">
        <v>256</v>
      </c>
      <c r="J33" s="172"/>
      <c r="K33" s="173"/>
      <c r="M33" s="174">
        <v>4</v>
      </c>
      <c r="N33" s="171" t="s">
        <v>138</v>
      </c>
      <c r="O33" s="194" t="s">
        <v>256</v>
      </c>
      <c r="P33" s="172"/>
      <c r="Q33" s="173"/>
      <c r="S33" s="154">
        <v>4</v>
      </c>
      <c r="T33" s="171" t="s">
        <v>138</v>
      </c>
      <c r="U33" s="194" t="s">
        <v>256</v>
      </c>
      <c r="V33" s="172"/>
      <c r="W33" s="173"/>
    </row>
    <row r="34" spans="1:23">
      <c r="A34" s="154">
        <v>5</v>
      </c>
      <c r="B34" s="171" t="s">
        <v>139</v>
      </c>
      <c r="C34" s="194" t="s">
        <v>256</v>
      </c>
      <c r="D34" s="172"/>
      <c r="E34" s="173"/>
      <c r="G34" s="154">
        <v>5</v>
      </c>
      <c r="H34" s="171" t="s">
        <v>139</v>
      </c>
      <c r="I34" s="194" t="s">
        <v>256</v>
      </c>
      <c r="J34" s="172"/>
      <c r="K34" s="173"/>
      <c r="M34" s="174">
        <v>5</v>
      </c>
      <c r="N34" s="171" t="s">
        <v>139</v>
      </c>
      <c r="O34" s="194" t="s">
        <v>256</v>
      </c>
      <c r="P34" s="172"/>
      <c r="Q34" s="173"/>
      <c r="S34" s="154">
        <v>5</v>
      </c>
      <c r="T34" s="171" t="s">
        <v>139</v>
      </c>
      <c r="U34" s="194" t="s">
        <v>256</v>
      </c>
      <c r="V34" s="172"/>
      <c r="W34" s="173"/>
    </row>
    <row r="35" spans="1:23">
      <c r="A35" s="154">
        <v>6</v>
      </c>
      <c r="B35" s="171" t="s">
        <v>140</v>
      </c>
      <c r="C35" s="194" t="s">
        <v>256</v>
      </c>
      <c r="D35" s="175"/>
      <c r="E35" s="176"/>
      <c r="G35" s="154">
        <v>6</v>
      </c>
      <c r="H35" s="171" t="s">
        <v>140</v>
      </c>
      <c r="I35" s="194" t="s">
        <v>256</v>
      </c>
      <c r="J35" s="175"/>
      <c r="K35" s="176"/>
      <c r="M35" s="174">
        <v>6</v>
      </c>
      <c r="N35" s="171" t="s">
        <v>140</v>
      </c>
      <c r="O35" s="194" t="s">
        <v>256</v>
      </c>
      <c r="P35" s="175"/>
      <c r="Q35" s="176"/>
      <c r="S35" s="154">
        <v>6</v>
      </c>
      <c r="T35" s="171" t="s">
        <v>140</v>
      </c>
      <c r="U35" s="194" t="s">
        <v>256</v>
      </c>
      <c r="V35" s="175"/>
      <c r="W35" s="176"/>
    </row>
    <row r="36" spans="1:23">
      <c r="M36" s="174"/>
    </row>
    <row r="37" spans="1:23" ht="16.5" customHeight="1" thickBot="1">
      <c r="C37" s="177"/>
      <c r="D37" s="178"/>
      <c r="E37" s="178"/>
      <c r="I37" s="177"/>
      <c r="J37" s="178"/>
      <c r="K37" s="178"/>
      <c r="M37" s="174"/>
      <c r="O37" s="177"/>
      <c r="P37" s="178"/>
      <c r="Q37" s="178"/>
      <c r="R37" s="323"/>
      <c r="U37" s="184"/>
      <c r="V37" s="178"/>
      <c r="W37" s="152"/>
    </row>
    <row r="38" spans="1:23" ht="17.25" customHeight="1" thickTop="1" thickBot="1">
      <c r="B38" s="185" t="s">
        <v>142</v>
      </c>
      <c r="C38" s="232"/>
      <c r="D38" s="156" t="s">
        <v>125</v>
      </c>
      <c r="E38" s="157"/>
      <c r="F38" s="158"/>
      <c r="G38" s="158"/>
      <c r="H38" s="185" t="s">
        <v>143</v>
      </c>
      <c r="I38" s="232"/>
      <c r="J38" s="156" t="s">
        <v>125</v>
      </c>
      <c r="K38" s="157"/>
      <c r="L38" s="158"/>
      <c r="M38" s="159"/>
      <c r="N38" s="186" t="s">
        <v>144</v>
      </c>
      <c r="O38" s="197"/>
      <c r="P38" s="156" t="s">
        <v>125</v>
      </c>
      <c r="Q38" s="157"/>
      <c r="R38" s="322"/>
      <c r="S38" s="158"/>
      <c r="T38" s="186" t="s">
        <v>144</v>
      </c>
      <c r="U38" s="197"/>
      <c r="V38" s="156" t="s">
        <v>125</v>
      </c>
      <c r="W38" s="157"/>
    </row>
    <row r="39" spans="1:23" ht="17.25" customHeight="1" thickTop="1">
      <c r="B39" s="164" t="s">
        <v>133</v>
      </c>
      <c r="C39" s="180"/>
      <c r="D39" s="181" t="s">
        <v>130</v>
      </c>
      <c r="E39" s="181" t="s">
        <v>131</v>
      </c>
      <c r="F39" s="158"/>
      <c r="G39" s="158"/>
      <c r="H39" s="164" t="s">
        <v>133</v>
      </c>
      <c r="I39" s="180"/>
      <c r="J39" s="181" t="s">
        <v>130</v>
      </c>
      <c r="K39" s="181" t="s">
        <v>131</v>
      </c>
      <c r="L39" s="158"/>
      <c r="M39" s="159"/>
      <c r="N39" s="164" t="s">
        <v>133</v>
      </c>
      <c r="O39" s="180"/>
      <c r="P39" s="181" t="s">
        <v>130</v>
      </c>
      <c r="Q39" s="181" t="s">
        <v>131</v>
      </c>
      <c r="R39" s="178"/>
      <c r="S39" s="158"/>
      <c r="T39" s="164" t="s">
        <v>133</v>
      </c>
      <c r="U39" s="187"/>
      <c r="V39" s="181" t="s">
        <v>130</v>
      </c>
      <c r="W39" s="181" t="s">
        <v>131</v>
      </c>
    </row>
    <row r="40" spans="1:23">
      <c r="B40" s="166"/>
      <c r="C40" s="170" t="s">
        <v>134</v>
      </c>
      <c r="D40" s="182"/>
      <c r="E40" s="183"/>
      <c r="F40" s="158"/>
      <c r="G40" s="158"/>
      <c r="H40" s="166"/>
      <c r="I40" s="170" t="s">
        <v>134</v>
      </c>
      <c r="J40" s="182"/>
      <c r="K40" s="183"/>
      <c r="L40" s="158"/>
      <c r="M40" s="159"/>
      <c r="N40" s="166"/>
      <c r="O40" s="170" t="s">
        <v>134</v>
      </c>
      <c r="P40" s="182"/>
      <c r="Q40" s="183"/>
      <c r="R40" s="158"/>
      <c r="S40" s="158"/>
      <c r="T40" s="166"/>
      <c r="U40" s="170" t="s">
        <v>134</v>
      </c>
      <c r="V40" s="182"/>
      <c r="W40" s="183"/>
    </row>
    <row r="41" spans="1:23">
      <c r="A41" s="154">
        <v>1</v>
      </c>
      <c r="B41" s="171" t="s">
        <v>135</v>
      </c>
      <c r="C41" s="194" t="s">
        <v>256</v>
      </c>
      <c r="D41" s="172"/>
      <c r="E41" s="173"/>
      <c r="G41" s="154">
        <v>1</v>
      </c>
      <c r="H41" s="171" t="s">
        <v>135</v>
      </c>
      <c r="I41" s="194" t="s">
        <v>256</v>
      </c>
      <c r="J41" s="172"/>
      <c r="K41" s="173"/>
      <c r="M41" s="174">
        <v>1</v>
      </c>
      <c r="N41" s="171" t="s">
        <v>135</v>
      </c>
      <c r="O41" s="194" t="s">
        <v>256</v>
      </c>
      <c r="P41" s="172"/>
      <c r="Q41" s="173"/>
      <c r="S41" s="154">
        <v>1</v>
      </c>
      <c r="T41" s="171" t="s">
        <v>135</v>
      </c>
      <c r="U41" s="194" t="s">
        <v>256</v>
      </c>
      <c r="V41" s="172"/>
      <c r="W41" s="173"/>
    </row>
    <row r="42" spans="1:23">
      <c r="A42" s="154">
        <v>2</v>
      </c>
      <c r="B42" s="171" t="s">
        <v>136</v>
      </c>
      <c r="C42" s="194" t="s">
        <v>256</v>
      </c>
      <c r="D42" s="172"/>
      <c r="E42" s="173"/>
      <c r="G42" s="154">
        <v>2</v>
      </c>
      <c r="H42" s="171" t="s">
        <v>136</v>
      </c>
      <c r="I42" s="194" t="s">
        <v>256</v>
      </c>
      <c r="J42" s="172"/>
      <c r="K42" s="173"/>
      <c r="M42" s="174">
        <v>2</v>
      </c>
      <c r="N42" s="171" t="s">
        <v>136</v>
      </c>
      <c r="O42" s="194" t="s">
        <v>256</v>
      </c>
      <c r="P42" s="172"/>
      <c r="Q42" s="173"/>
      <c r="S42" s="154">
        <v>2</v>
      </c>
      <c r="T42" s="171" t="s">
        <v>136</v>
      </c>
      <c r="U42" s="194" t="s">
        <v>256</v>
      </c>
      <c r="V42" s="172"/>
      <c r="W42" s="173"/>
    </row>
    <row r="43" spans="1:23">
      <c r="A43" s="154">
        <v>3</v>
      </c>
      <c r="B43" s="171" t="s">
        <v>137</v>
      </c>
      <c r="C43" s="194" t="s">
        <v>256</v>
      </c>
      <c r="D43" s="172"/>
      <c r="E43" s="173"/>
      <c r="G43" s="154">
        <v>3</v>
      </c>
      <c r="H43" s="171" t="s">
        <v>137</v>
      </c>
      <c r="I43" s="194" t="s">
        <v>256</v>
      </c>
      <c r="J43" s="172"/>
      <c r="K43" s="173"/>
      <c r="M43" s="174">
        <v>3</v>
      </c>
      <c r="N43" s="171" t="s">
        <v>137</v>
      </c>
      <c r="O43" s="194" t="s">
        <v>256</v>
      </c>
      <c r="P43" s="172"/>
      <c r="Q43" s="173"/>
      <c r="S43" s="154">
        <v>3</v>
      </c>
      <c r="T43" s="171" t="s">
        <v>137</v>
      </c>
      <c r="U43" s="194" t="s">
        <v>256</v>
      </c>
      <c r="V43" s="172"/>
      <c r="W43" s="173"/>
    </row>
    <row r="44" spans="1:23">
      <c r="A44" s="154">
        <v>4</v>
      </c>
      <c r="B44" s="171" t="s">
        <v>138</v>
      </c>
      <c r="C44" s="194" t="s">
        <v>256</v>
      </c>
      <c r="D44" s="172"/>
      <c r="E44" s="173"/>
      <c r="G44" s="154">
        <v>4</v>
      </c>
      <c r="H44" s="171" t="s">
        <v>138</v>
      </c>
      <c r="I44" s="194" t="s">
        <v>256</v>
      </c>
      <c r="J44" s="172"/>
      <c r="K44" s="173"/>
      <c r="M44" s="174">
        <v>4</v>
      </c>
      <c r="N44" s="171" t="s">
        <v>138</v>
      </c>
      <c r="O44" s="194" t="s">
        <v>256</v>
      </c>
      <c r="P44" s="172"/>
      <c r="Q44" s="173"/>
      <c r="S44" s="154">
        <v>4</v>
      </c>
      <c r="T44" s="171" t="s">
        <v>138</v>
      </c>
      <c r="U44" s="194" t="s">
        <v>256</v>
      </c>
      <c r="V44" s="172"/>
      <c r="W44" s="173"/>
    </row>
    <row r="45" spans="1:23">
      <c r="A45" s="154">
        <v>5</v>
      </c>
      <c r="B45" s="171" t="s">
        <v>139</v>
      </c>
      <c r="C45" s="194" t="s">
        <v>256</v>
      </c>
      <c r="D45" s="172"/>
      <c r="E45" s="173"/>
      <c r="G45" s="154">
        <v>5</v>
      </c>
      <c r="H45" s="171" t="s">
        <v>139</v>
      </c>
      <c r="I45" s="194" t="s">
        <v>256</v>
      </c>
      <c r="J45" s="172"/>
      <c r="K45" s="173"/>
      <c r="M45" s="174">
        <v>5</v>
      </c>
      <c r="N45" s="171" t="s">
        <v>139</v>
      </c>
      <c r="O45" s="194" t="s">
        <v>256</v>
      </c>
      <c r="P45" s="172"/>
      <c r="Q45" s="173"/>
      <c r="S45" s="154">
        <v>5</v>
      </c>
      <c r="T45" s="171" t="s">
        <v>139</v>
      </c>
      <c r="U45" s="194" t="s">
        <v>256</v>
      </c>
      <c r="V45" s="172"/>
      <c r="W45" s="173"/>
    </row>
    <row r="46" spans="1:23">
      <c r="A46" s="154">
        <v>6</v>
      </c>
      <c r="B46" s="171" t="s">
        <v>140</v>
      </c>
      <c r="C46" s="194" t="s">
        <v>256</v>
      </c>
      <c r="D46" s="175"/>
      <c r="E46" s="176"/>
      <c r="G46" s="154">
        <v>6</v>
      </c>
      <c r="H46" s="171" t="s">
        <v>140</v>
      </c>
      <c r="I46" s="194" t="s">
        <v>256</v>
      </c>
      <c r="J46" s="175"/>
      <c r="K46" s="176"/>
      <c r="M46" s="174">
        <v>6</v>
      </c>
      <c r="N46" s="171" t="s">
        <v>140</v>
      </c>
      <c r="O46" s="194" t="s">
        <v>256</v>
      </c>
      <c r="P46" s="175"/>
      <c r="Q46" s="176"/>
      <c r="S46" s="154">
        <v>6</v>
      </c>
      <c r="T46" s="171" t="s">
        <v>140</v>
      </c>
      <c r="U46" s="194" t="s">
        <v>256</v>
      </c>
      <c r="V46" s="175"/>
      <c r="W46" s="176"/>
    </row>
    <row r="47" spans="1:23">
      <c r="M47" s="174"/>
    </row>
    <row r="48" spans="1:23" ht="16.5" customHeight="1">
      <c r="C48" s="177"/>
      <c r="D48" s="178"/>
      <c r="E48" s="178"/>
      <c r="I48" s="177"/>
      <c r="J48" s="178"/>
      <c r="K48" s="178"/>
      <c r="M48" s="174"/>
      <c r="O48" s="177"/>
      <c r="P48" s="178"/>
      <c r="Q48" s="178"/>
      <c r="U48" s="177"/>
      <c r="V48" s="178"/>
      <c r="W48" s="178"/>
    </row>
    <row r="49" spans="1:23" s="152" customFormat="1" ht="24.6">
      <c r="A49" s="152" t="s">
        <v>124</v>
      </c>
      <c r="I49" s="153" t="s">
        <v>217</v>
      </c>
      <c r="L49" s="188"/>
    </row>
    <row r="50" spans="1:23" ht="16.2">
      <c r="L50" s="189"/>
      <c r="N50" s="223"/>
    </row>
    <row r="51" spans="1:23" ht="15.6" thickBot="1">
      <c r="L51" s="189"/>
    </row>
    <row r="52" spans="1:23" ht="17.25" customHeight="1" thickTop="1" thickBot="1">
      <c r="B52" s="190" t="s">
        <v>145</v>
      </c>
      <c r="C52" s="232"/>
      <c r="D52" s="156" t="s">
        <v>125</v>
      </c>
      <c r="E52" s="157"/>
      <c r="F52" s="158"/>
      <c r="G52" s="158"/>
      <c r="H52" s="190" t="s">
        <v>146</v>
      </c>
      <c r="I52" s="232"/>
      <c r="J52" s="156" t="s">
        <v>125</v>
      </c>
      <c r="K52" s="157"/>
      <c r="L52" s="158"/>
      <c r="M52" s="159"/>
      <c r="N52" s="191" t="s">
        <v>147</v>
      </c>
      <c r="O52" s="197"/>
      <c r="P52" s="156" t="s">
        <v>125</v>
      </c>
      <c r="Q52" s="157"/>
      <c r="R52" s="158"/>
      <c r="S52" s="158"/>
      <c r="T52" s="191" t="s">
        <v>147</v>
      </c>
      <c r="U52" s="197"/>
      <c r="V52" s="156" t="s">
        <v>125</v>
      </c>
      <c r="W52" s="157"/>
    </row>
    <row r="53" spans="1:23" ht="17.25" customHeight="1" thickTop="1">
      <c r="B53" s="164" t="s">
        <v>133</v>
      </c>
      <c r="C53" s="180"/>
      <c r="D53" s="181" t="s">
        <v>130</v>
      </c>
      <c r="E53" s="181" t="s">
        <v>131</v>
      </c>
      <c r="F53" s="158"/>
      <c r="G53" s="158"/>
      <c r="H53" s="164" t="s">
        <v>133</v>
      </c>
      <c r="I53" s="180"/>
      <c r="J53" s="181" t="s">
        <v>130</v>
      </c>
      <c r="K53" s="181" t="s">
        <v>131</v>
      </c>
      <c r="L53" s="158"/>
      <c r="M53" s="159"/>
      <c r="N53" s="164" t="s">
        <v>133</v>
      </c>
      <c r="O53" s="180"/>
      <c r="P53" s="181" t="s">
        <v>130</v>
      </c>
      <c r="Q53" s="181" t="s">
        <v>131</v>
      </c>
      <c r="R53" s="158"/>
      <c r="S53" s="158"/>
      <c r="T53" s="164" t="s">
        <v>133</v>
      </c>
      <c r="U53" s="180"/>
      <c r="V53" s="181" t="s">
        <v>130</v>
      </c>
      <c r="W53" s="181" t="s">
        <v>131</v>
      </c>
    </row>
    <row r="54" spans="1:23">
      <c r="B54" s="166"/>
      <c r="C54" s="170" t="s">
        <v>134</v>
      </c>
      <c r="D54" s="182"/>
      <c r="E54" s="183"/>
      <c r="F54" s="158"/>
      <c r="G54" s="158"/>
      <c r="H54" s="166"/>
      <c r="I54" s="170" t="s">
        <v>134</v>
      </c>
      <c r="J54" s="182"/>
      <c r="K54" s="183"/>
      <c r="L54" s="158"/>
      <c r="M54" s="159"/>
      <c r="N54" s="166"/>
      <c r="O54" s="170" t="s">
        <v>134</v>
      </c>
      <c r="P54" s="182"/>
      <c r="Q54" s="183"/>
      <c r="R54" s="158"/>
      <c r="S54" s="158"/>
      <c r="T54" s="166"/>
      <c r="U54" s="170" t="s">
        <v>134</v>
      </c>
      <c r="V54" s="182"/>
      <c r="W54" s="183"/>
    </row>
    <row r="55" spans="1:23">
      <c r="A55" s="154">
        <v>1</v>
      </c>
      <c r="B55" s="171" t="s">
        <v>135</v>
      </c>
      <c r="C55" s="194" t="s">
        <v>256</v>
      </c>
      <c r="D55" s="172"/>
      <c r="E55" s="173"/>
      <c r="G55" s="154">
        <v>1</v>
      </c>
      <c r="H55" s="171" t="s">
        <v>135</v>
      </c>
      <c r="I55" s="194" t="s">
        <v>256</v>
      </c>
      <c r="J55" s="172"/>
      <c r="K55" s="173"/>
      <c r="M55" s="174">
        <v>1</v>
      </c>
      <c r="N55" s="171" t="s">
        <v>135</v>
      </c>
      <c r="O55" s="194" t="s">
        <v>256</v>
      </c>
      <c r="P55" s="172"/>
      <c r="Q55" s="173"/>
      <c r="S55" s="154">
        <v>1</v>
      </c>
      <c r="T55" s="171" t="s">
        <v>135</v>
      </c>
      <c r="U55" s="194" t="s">
        <v>256</v>
      </c>
      <c r="V55" s="172"/>
      <c r="W55" s="173"/>
    </row>
    <row r="56" spans="1:23">
      <c r="A56" s="154">
        <v>2</v>
      </c>
      <c r="B56" s="171" t="s">
        <v>136</v>
      </c>
      <c r="C56" s="194" t="s">
        <v>256</v>
      </c>
      <c r="D56" s="172"/>
      <c r="E56" s="173"/>
      <c r="G56" s="154">
        <v>2</v>
      </c>
      <c r="H56" s="171" t="s">
        <v>136</v>
      </c>
      <c r="I56" s="194" t="s">
        <v>256</v>
      </c>
      <c r="J56" s="172"/>
      <c r="K56" s="173"/>
      <c r="M56" s="174">
        <v>2</v>
      </c>
      <c r="N56" s="171" t="s">
        <v>136</v>
      </c>
      <c r="O56" s="194" t="s">
        <v>256</v>
      </c>
      <c r="P56" s="172"/>
      <c r="Q56" s="173"/>
      <c r="S56" s="154">
        <v>2</v>
      </c>
      <c r="T56" s="171" t="s">
        <v>136</v>
      </c>
      <c r="U56" s="194" t="s">
        <v>256</v>
      </c>
      <c r="V56" s="172"/>
      <c r="W56" s="173"/>
    </row>
    <row r="57" spans="1:23">
      <c r="A57" s="154">
        <v>3</v>
      </c>
      <c r="B57" s="171" t="s">
        <v>137</v>
      </c>
      <c r="C57" s="194" t="s">
        <v>256</v>
      </c>
      <c r="D57" s="172"/>
      <c r="E57" s="173"/>
      <c r="G57" s="154">
        <v>3</v>
      </c>
      <c r="H57" s="171" t="s">
        <v>137</v>
      </c>
      <c r="I57" s="194" t="s">
        <v>256</v>
      </c>
      <c r="J57" s="172"/>
      <c r="K57" s="173"/>
      <c r="M57" s="174">
        <v>3</v>
      </c>
      <c r="N57" s="171" t="s">
        <v>137</v>
      </c>
      <c r="O57" s="194" t="s">
        <v>256</v>
      </c>
      <c r="P57" s="172"/>
      <c r="Q57" s="173"/>
      <c r="S57" s="154">
        <v>3</v>
      </c>
      <c r="T57" s="171" t="s">
        <v>137</v>
      </c>
      <c r="U57" s="194" t="s">
        <v>256</v>
      </c>
      <c r="V57" s="172"/>
      <c r="W57" s="173"/>
    </row>
    <row r="58" spans="1:23">
      <c r="A58" s="154">
        <v>4</v>
      </c>
      <c r="B58" s="171" t="s">
        <v>138</v>
      </c>
      <c r="C58" s="194" t="s">
        <v>256</v>
      </c>
      <c r="D58" s="172"/>
      <c r="E58" s="173"/>
      <c r="G58" s="154">
        <v>4</v>
      </c>
      <c r="H58" s="171" t="s">
        <v>138</v>
      </c>
      <c r="I58" s="194" t="s">
        <v>256</v>
      </c>
      <c r="J58" s="172"/>
      <c r="K58" s="173"/>
      <c r="M58" s="174">
        <v>1</v>
      </c>
      <c r="N58" s="171" t="s">
        <v>138</v>
      </c>
      <c r="O58" s="194" t="s">
        <v>256</v>
      </c>
      <c r="P58" s="172"/>
      <c r="Q58" s="173"/>
      <c r="S58" s="154">
        <v>4</v>
      </c>
      <c r="T58" s="171" t="s">
        <v>138</v>
      </c>
      <c r="U58" s="194" t="s">
        <v>256</v>
      </c>
      <c r="V58" s="172"/>
      <c r="W58" s="173"/>
    </row>
    <row r="59" spans="1:23">
      <c r="A59" s="154">
        <v>5</v>
      </c>
      <c r="B59" s="171" t="s">
        <v>139</v>
      </c>
      <c r="C59" s="194" t="s">
        <v>256</v>
      </c>
      <c r="D59" s="172"/>
      <c r="E59" s="173"/>
      <c r="G59" s="154">
        <v>4</v>
      </c>
      <c r="H59" s="171" t="s">
        <v>139</v>
      </c>
      <c r="I59" s="194" t="s">
        <v>256</v>
      </c>
      <c r="J59" s="172"/>
      <c r="K59" s="173"/>
      <c r="M59" s="174">
        <v>2</v>
      </c>
      <c r="N59" s="171" t="s">
        <v>139</v>
      </c>
      <c r="O59" s="194" t="s">
        <v>256</v>
      </c>
      <c r="P59" s="172"/>
      <c r="Q59" s="173"/>
      <c r="S59" s="154">
        <v>5</v>
      </c>
      <c r="T59" s="171" t="s">
        <v>139</v>
      </c>
      <c r="U59" s="194" t="s">
        <v>256</v>
      </c>
      <c r="V59" s="172"/>
      <c r="W59" s="173"/>
    </row>
    <row r="60" spans="1:23">
      <c r="A60" s="154">
        <v>6</v>
      </c>
      <c r="B60" s="171" t="s">
        <v>140</v>
      </c>
      <c r="C60" s="194" t="s">
        <v>256</v>
      </c>
      <c r="D60" s="175"/>
      <c r="E60" s="176"/>
      <c r="G60" s="154">
        <v>6</v>
      </c>
      <c r="H60" s="171" t="s">
        <v>140</v>
      </c>
      <c r="I60" s="194" t="s">
        <v>256</v>
      </c>
      <c r="J60" s="175"/>
      <c r="K60" s="176"/>
      <c r="M60" s="174">
        <v>3</v>
      </c>
      <c r="N60" s="171" t="s">
        <v>140</v>
      </c>
      <c r="O60" s="194" t="s">
        <v>256</v>
      </c>
      <c r="P60" s="175"/>
      <c r="Q60" s="176"/>
      <c r="S60" s="154">
        <v>6</v>
      </c>
      <c r="T60" s="171" t="s">
        <v>140</v>
      </c>
      <c r="U60" s="194" t="s">
        <v>256</v>
      </c>
      <c r="V60" s="175"/>
      <c r="W60" s="176"/>
    </row>
    <row r="61" spans="1:23">
      <c r="M61" s="174"/>
    </row>
    <row r="62" spans="1:23" ht="16.5" customHeight="1" thickBot="1">
      <c r="C62" s="177"/>
      <c r="D62" s="178"/>
      <c r="E62" s="178"/>
      <c r="F62" s="322"/>
      <c r="I62" s="177"/>
      <c r="J62" s="178"/>
      <c r="K62" s="178"/>
      <c r="M62" s="174"/>
      <c r="O62" s="177"/>
      <c r="P62" s="178"/>
      <c r="Q62" s="178"/>
      <c r="R62" s="322"/>
      <c r="U62" s="177"/>
      <c r="V62" s="178"/>
      <c r="W62" s="178"/>
    </row>
    <row r="63" spans="1:23" ht="17.25" customHeight="1" thickTop="1" thickBot="1">
      <c r="B63" s="190" t="s">
        <v>145</v>
      </c>
      <c r="C63" s="232"/>
      <c r="D63" s="156" t="s">
        <v>125</v>
      </c>
      <c r="E63" s="157"/>
      <c r="F63" s="322"/>
      <c r="G63" s="158"/>
      <c r="H63" s="190" t="s">
        <v>146</v>
      </c>
      <c r="I63" s="232"/>
      <c r="J63" s="156" t="s">
        <v>125</v>
      </c>
      <c r="K63" s="157"/>
      <c r="M63" s="159"/>
      <c r="N63" s="191" t="s">
        <v>147</v>
      </c>
      <c r="O63" s="197"/>
      <c r="P63" s="156" t="s">
        <v>125</v>
      </c>
      <c r="Q63" s="157"/>
      <c r="R63" s="322"/>
      <c r="S63" s="158"/>
      <c r="T63" s="191" t="s">
        <v>147</v>
      </c>
      <c r="U63" s="197"/>
      <c r="V63" s="156" t="s">
        <v>125</v>
      </c>
      <c r="W63" s="157"/>
    </row>
    <row r="64" spans="1:23" ht="17.25" customHeight="1" thickTop="1">
      <c r="B64" s="164" t="s">
        <v>133</v>
      </c>
      <c r="C64" s="162"/>
      <c r="D64" s="181" t="s">
        <v>130</v>
      </c>
      <c r="E64" s="181" t="s">
        <v>131</v>
      </c>
      <c r="F64" s="178"/>
      <c r="G64" s="158"/>
      <c r="H64" s="164" t="s">
        <v>133</v>
      </c>
      <c r="I64" s="162"/>
      <c r="J64" s="181" t="s">
        <v>130</v>
      </c>
      <c r="K64" s="181" t="s">
        <v>131</v>
      </c>
      <c r="M64" s="159"/>
      <c r="N64" s="192" t="s">
        <v>133</v>
      </c>
      <c r="O64" s="180"/>
      <c r="P64" s="181" t="s">
        <v>130</v>
      </c>
      <c r="Q64" s="181" t="s">
        <v>131</v>
      </c>
      <c r="R64" s="178"/>
      <c r="S64" s="158"/>
      <c r="T64" s="192" t="s">
        <v>133</v>
      </c>
      <c r="U64" s="180"/>
      <c r="V64" s="181" t="s">
        <v>130</v>
      </c>
      <c r="W64" s="181" t="s">
        <v>131</v>
      </c>
    </row>
    <row r="65" spans="1:23">
      <c r="B65" s="166"/>
      <c r="C65" s="170" t="s">
        <v>134</v>
      </c>
      <c r="D65" s="182"/>
      <c r="E65" s="183"/>
      <c r="F65" s="193"/>
      <c r="G65" s="158"/>
      <c r="H65" s="166"/>
      <c r="I65" s="170" t="s">
        <v>134</v>
      </c>
      <c r="J65" s="182"/>
      <c r="K65" s="183"/>
      <c r="M65" s="159"/>
      <c r="N65" s="166"/>
      <c r="O65" s="170" t="s">
        <v>134</v>
      </c>
      <c r="P65" s="182"/>
      <c r="Q65" s="183"/>
      <c r="R65" s="158"/>
      <c r="S65" s="158"/>
      <c r="T65" s="166"/>
      <c r="U65" s="170" t="s">
        <v>134</v>
      </c>
      <c r="V65" s="182"/>
      <c r="W65" s="183"/>
    </row>
    <row r="66" spans="1:23">
      <c r="A66" s="154">
        <v>1</v>
      </c>
      <c r="B66" s="171" t="s">
        <v>135</v>
      </c>
      <c r="C66" s="194" t="s">
        <v>256</v>
      </c>
      <c r="D66" s="172"/>
      <c r="E66" s="173"/>
      <c r="G66" s="154">
        <v>1</v>
      </c>
      <c r="H66" s="171" t="s">
        <v>135</v>
      </c>
      <c r="I66" s="194" t="s">
        <v>256</v>
      </c>
      <c r="J66" s="172"/>
      <c r="K66" s="173"/>
      <c r="M66" s="174">
        <v>1</v>
      </c>
      <c r="N66" s="171" t="s">
        <v>135</v>
      </c>
      <c r="O66" s="194" t="s">
        <v>256</v>
      </c>
      <c r="P66" s="172"/>
      <c r="Q66" s="173"/>
      <c r="S66" s="154">
        <v>1</v>
      </c>
      <c r="T66" s="171" t="s">
        <v>135</v>
      </c>
      <c r="U66" s="194" t="s">
        <v>256</v>
      </c>
      <c r="V66" s="172"/>
      <c r="W66" s="173"/>
    </row>
    <row r="67" spans="1:23">
      <c r="A67" s="154">
        <v>2</v>
      </c>
      <c r="B67" s="171" t="s">
        <v>136</v>
      </c>
      <c r="C67" s="194" t="s">
        <v>256</v>
      </c>
      <c r="D67" s="172"/>
      <c r="E67" s="173"/>
      <c r="G67" s="154">
        <v>2</v>
      </c>
      <c r="H67" s="171" t="s">
        <v>136</v>
      </c>
      <c r="I67" s="194" t="s">
        <v>256</v>
      </c>
      <c r="J67" s="172"/>
      <c r="K67" s="173"/>
      <c r="M67" s="174">
        <v>2</v>
      </c>
      <c r="N67" s="171" t="s">
        <v>136</v>
      </c>
      <c r="O67" s="194" t="s">
        <v>256</v>
      </c>
      <c r="P67" s="172"/>
      <c r="Q67" s="173"/>
      <c r="S67" s="154">
        <v>2</v>
      </c>
      <c r="T67" s="171" t="s">
        <v>136</v>
      </c>
      <c r="U67" s="194" t="s">
        <v>256</v>
      </c>
      <c r="V67" s="172"/>
      <c r="W67" s="173"/>
    </row>
    <row r="68" spans="1:23">
      <c r="A68" s="154">
        <v>3</v>
      </c>
      <c r="B68" s="171" t="s">
        <v>137</v>
      </c>
      <c r="C68" s="194" t="s">
        <v>256</v>
      </c>
      <c r="D68" s="172"/>
      <c r="E68" s="173"/>
      <c r="G68" s="154">
        <v>3</v>
      </c>
      <c r="H68" s="171" t="s">
        <v>137</v>
      </c>
      <c r="I68" s="194" t="s">
        <v>256</v>
      </c>
      <c r="J68" s="172"/>
      <c r="K68" s="173"/>
      <c r="M68" s="174">
        <v>3</v>
      </c>
      <c r="N68" s="171" t="s">
        <v>137</v>
      </c>
      <c r="O68" s="194" t="s">
        <v>256</v>
      </c>
      <c r="P68" s="172"/>
      <c r="Q68" s="173"/>
      <c r="S68" s="154">
        <v>3</v>
      </c>
      <c r="T68" s="171" t="s">
        <v>137</v>
      </c>
      <c r="U68" s="194" t="s">
        <v>256</v>
      </c>
      <c r="V68" s="172"/>
      <c r="W68" s="173"/>
    </row>
    <row r="69" spans="1:23">
      <c r="A69" s="154">
        <v>4</v>
      </c>
      <c r="B69" s="171" t="s">
        <v>138</v>
      </c>
      <c r="C69" s="194" t="s">
        <v>256</v>
      </c>
      <c r="D69" s="172"/>
      <c r="E69" s="173"/>
      <c r="G69" s="154">
        <v>4</v>
      </c>
      <c r="H69" s="171" t="s">
        <v>138</v>
      </c>
      <c r="I69" s="194" t="s">
        <v>256</v>
      </c>
      <c r="J69" s="172"/>
      <c r="K69" s="173"/>
      <c r="M69" s="174">
        <v>4</v>
      </c>
      <c r="N69" s="171" t="s">
        <v>138</v>
      </c>
      <c r="O69" s="194" t="s">
        <v>256</v>
      </c>
      <c r="P69" s="172"/>
      <c r="Q69" s="173"/>
      <c r="S69" s="154">
        <v>4</v>
      </c>
      <c r="T69" s="171" t="s">
        <v>138</v>
      </c>
      <c r="U69" s="194" t="s">
        <v>256</v>
      </c>
      <c r="V69" s="172"/>
      <c r="W69" s="173"/>
    </row>
    <row r="70" spans="1:23">
      <c r="A70" s="154">
        <v>5</v>
      </c>
      <c r="B70" s="171" t="s">
        <v>139</v>
      </c>
      <c r="C70" s="194" t="s">
        <v>256</v>
      </c>
      <c r="D70" s="172"/>
      <c r="E70" s="173"/>
      <c r="G70" s="154">
        <v>5</v>
      </c>
      <c r="H70" s="171" t="s">
        <v>139</v>
      </c>
      <c r="I70" s="194" t="s">
        <v>256</v>
      </c>
      <c r="J70" s="172"/>
      <c r="K70" s="173"/>
      <c r="M70" s="174">
        <v>5</v>
      </c>
      <c r="N70" s="171" t="s">
        <v>139</v>
      </c>
      <c r="O70" s="194" t="s">
        <v>256</v>
      </c>
      <c r="P70" s="172"/>
      <c r="Q70" s="173"/>
      <c r="S70" s="154">
        <v>5</v>
      </c>
      <c r="T70" s="171" t="s">
        <v>139</v>
      </c>
      <c r="U70" s="194" t="s">
        <v>256</v>
      </c>
      <c r="V70" s="172"/>
      <c r="W70" s="173"/>
    </row>
    <row r="71" spans="1:23">
      <c r="A71" s="154">
        <v>6</v>
      </c>
      <c r="B71" s="171" t="s">
        <v>140</v>
      </c>
      <c r="C71" s="194" t="s">
        <v>256</v>
      </c>
      <c r="D71" s="175"/>
      <c r="E71" s="176"/>
      <c r="G71" s="154">
        <v>6</v>
      </c>
      <c r="H71" s="171" t="s">
        <v>140</v>
      </c>
      <c r="I71" s="194" t="s">
        <v>256</v>
      </c>
      <c r="J71" s="175"/>
      <c r="K71" s="176"/>
      <c r="M71" s="174">
        <v>6</v>
      </c>
      <c r="N71" s="171" t="s">
        <v>140</v>
      </c>
      <c r="O71" s="194" t="s">
        <v>256</v>
      </c>
      <c r="P71" s="175"/>
      <c r="Q71" s="176"/>
      <c r="S71" s="154">
        <v>6</v>
      </c>
      <c r="T71" s="171" t="s">
        <v>140</v>
      </c>
      <c r="U71" s="194" t="s">
        <v>256</v>
      </c>
      <c r="V71" s="175"/>
      <c r="W71" s="176"/>
    </row>
    <row r="72" spans="1:23">
      <c r="B72" s="195"/>
      <c r="C72" s="195"/>
      <c r="D72" s="196"/>
      <c r="E72" s="195"/>
    </row>
  </sheetData>
  <mergeCells count="4">
    <mergeCell ref="R15:R16"/>
    <mergeCell ref="R37:R38"/>
    <mergeCell ref="F62:F63"/>
    <mergeCell ref="R62:R63"/>
  </mergeCells>
  <phoneticPr fontId="4"/>
  <pageMargins left="0.7" right="0.7" top="0.75" bottom="0.75" header="0.3" footer="0.3"/>
  <pageSetup paperSize="9" scale="64" orientation="landscape" r:id="rId1"/>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25</vt:i4>
      </vt:variant>
    </vt:vector>
  </HeadingPairs>
  <TitlesOfParts>
    <vt:vector size="50" baseType="lpstr">
      <vt:lpstr>管理表</vt:lpstr>
      <vt:lpstr>top</vt:lpstr>
      <vt:lpstr>list</vt:lpstr>
      <vt:lpstr>student</vt:lpstr>
      <vt:lpstr>Sheet1</vt:lpstr>
      <vt:lpstr>config</vt:lpstr>
      <vt:lpstr>日程表→</vt:lpstr>
      <vt:lpstr>6B日程 </vt:lpstr>
      <vt:lpstr>6D日程</vt:lpstr>
      <vt:lpstr>6E日程</vt:lpstr>
      <vt:lpstr>←日程表</vt:lpstr>
      <vt:lpstr>日別表→</vt:lpstr>
      <vt:lpstr>6B</vt:lpstr>
      <vt:lpstr>6D</vt:lpstr>
      <vt:lpstr>6E</vt:lpstr>
      <vt:lpstr>6F</vt:lpstr>
      <vt:lpstr>6F+</vt:lpstr>
      <vt:lpstr>6H</vt:lpstr>
      <vt:lpstr>7A</vt:lpstr>
      <vt:lpstr>7B</vt:lpstr>
      <vt:lpstr>7C</vt:lpstr>
      <vt:lpstr>7D</vt:lpstr>
      <vt:lpstr>←日別表</vt:lpstr>
      <vt:lpstr>リスト表</vt:lpstr>
      <vt:lpstr>日程 (コピーして利用) (6回版原紙)</vt:lpstr>
      <vt:lpstr>'6B'!Print_Area</vt:lpstr>
      <vt:lpstr>'6B日程 '!Print_Area</vt:lpstr>
      <vt:lpstr>'6D'!Print_Area</vt:lpstr>
      <vt:lpstr>'6D日程'!Print_Area</vt:lpstr>
      <vt:lpstr>'6E'!Print_Area</vt:lpstr>
      <vt:lpstr>'6E日程'!Print_Area</vt:lpstr>
      <vt:lpstr>'6F'!Print_Area</vt:lpstr>
      <vt:lpstr>'6F+'!Print_Area</vt:lpstr>
      <vt:lpstr>'6H'!Print_Area</vt:lpstr>
      <vt:lpstr>'7A'!Print_Area</vt:lpstr>
      <vt:lpstr>'7B'!Print_Area</vt:lpstr>
      <vt:lpstr>'7C'!Print_Area</vt:lpstr>
      <vt:lpstr>'7D'!Print_Area</vt:lpstr>
      <vt:lpstr>管理表!Print_Area</vt:lpstr>
      <vt:lpstr>'日程 (コピーして利用) (6回版原紙)'!Print_Area</vt:lpstr>
      <vt:lpstr>'6B'!様6_訓練時間合計</vt:lpstr>
      <vt:lpstr>'6D'!様6_訓練時間合計</vt:lpstr>
      <vt:lpstr>'6E'!様6_訓練時間合計</vt:lpstr>
      <vt:lpstr>'6F'!様6_訓練時間合計</vt:lpstr>
      <vt:lpstr>'6F+'!様6_訓練時間合計</vt:lpstr>
      <vt:lpstr>'6H'!様6_訓練時間合計</vt:lpstr>
      <vt:lpstr>'7A'!様6_訓練時間合計</vt:lpstr>
      <vt:lpstr>'7B'!様6_訓練時間合計</vt:lpstr>
      <vt:lpstr>'7C'!様6_訓練時間合計</vt:lpstr>
      <vt:lpstr>'7D'!様6_訓練時間合計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創造社リカレントスクール福岡校01</dc:creator>
  <cp:lastModifiedBy>福岡校 創造社リカレントスクール</cp:lastModifiedBy>
  <cp:lastPrinted>2026-04-04T04:20:36Z</cp:lastPrinted>
  <dcterms:created xsi:type="dcterms:W3CDTF">2023-12-29T11:57:42Z</dcterms:created>
  <dcterms:modified xsi:type="dcterms:W3CDTF">2026-04-06T07:23:08Z</dcterms:modified>
</cp:coreProperties>
</file>